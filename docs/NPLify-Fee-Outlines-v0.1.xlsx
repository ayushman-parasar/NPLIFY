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3"/>
    <sheet name="All fee lines" sheetId="2" state="visible" r:id="rId4"/>
    <sheet name="1 Market minus fee" sheetId="3" state="visible" r:id="rId5"/>
    <sheet name="2 Agent rate" sheetId="4" state="visible" r:id="rId6"/>
    <sheet name="3 Sender+receiver pay" sheetId="5" state="visible" r:id="rId7"/>
    <sheet name="4 Fee per deal" sheetId="6" state="visible" r:id="rId8"/>
    <sheet name="5 Fee by volume" sheetId="7" state="visible" r:id="rId9"/>
    <sheet name="6 Shared with client" sheetId="8" state="visible" r:id="rId10"/>
    <sheet name="7 NPL own wallet" sheetId="9" state="visible" r:id="rId11"/>
    <sheet name="8 THB cash to vendors" sheetId="10" state="visible" r:id="rId12"/>
    <sheet name="9 Withdrawal" sheetId="11" state="visible" r:id="rId13"/>
    <sheet name="10 Cash collection" sheetId="12" state="visible" r:id="rId14"/>
    <sheet name="11 No-fee internal" sheetId="13" state="visible" r:id="rId15"/>
    <sheet name="12 Same currency" sheetId="14" state="visible" r:id="rId16"/>
    <sheet name="For New XP"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<sst xmlns="http://schemas.openxmlformats.org/spreadsheetml/2006/main" count="4625" uniqueCount="601">
  <si>
    <t xml:space="preserve">NPLify — Fee outlines for simulation · v0.1 (8 October 2026)</t>
  </si>
  <si>
    <t xml:space="preserve">What this is</t>
  </si>
  <si>
    <t xml:space="preserve">Every line of NPL's 'Table of Remittance Customers Fees' turned into a fill-in outline: who sends, who gets paid, which partner, which currencies, what fee, who pays it, how NPL's share reaches NPL, and how amounts are rounded. Values are pre-filled where your sheet says them and left blank where it does not. Each pattern sheet also has a worked calculation: change the amount or any value and it shows what the customer would be quoted, what the partner delivers, what NPL earns, what is paid out, and the bookkeeping entries — and compares the result with the figure in your sheet.</t>
  </si>
  <si>
    <t xml:space="preserve">How to fill</t>
  </si>
  <si>
    <t xml:space="preserve">Yellow cells are for NPL to fill. Blue cells were copied or worked out from your sheet — correct them if they are wrong. Black cells are calculations; please do not type over them. 'Where it comes from' says how we got a value; 'Please confirm' lists what we could not read from the sheet.</t>
  </si>
  <si>
    <t xml:space="preserve">Sheets</t>
  </si>
  <si>
    <t xml:space="preserve">All fee lines — one row per line of your sheet (45), one column per thing to fill in. Then twelve pattern sheets, one per way a transaction works, each with one worked example from your sheet. Column D of 'All fee lines' says which pattern a line belongs to. The last sheet, 'For New XP', maps each item to the system's field names and is not for NPL to fill.</t>
  </si>
  <si>
    <t xml:space="preserve">The worked calculation</t>
  </si>
  <si>
    <t xml:space="preserve">Uses the same arithmetic as your sheet: rates are written as units received per 1 unit sent; the rate quoted to the sender is the market rate (or the agent rate) less the sender's fee; the receiver's fee, if any, comes off after that; the partner delivers at its own rate; NPL's earnings are what the partner delivers minus what the receiver gets; payouts go out in whole units and the cents stay in the client's balance. Where an item needs a change to the system before it can be handled, the note says 'needs a system change'.</t>
  </si>
  <si>
    <t xml:space="preserve">What to do with it</t>
  </si>
  <si>
    <t xml:space="preserve">1. Fill the yellow cells and correct any blue value. 2. On each pattern sheet, 'Compare with your sheet' should show a difference of zero, or one that the comment explains. 3. We then load the filled-in lines as the system's configuration and use the pattern sheets as test cases: the system passes when it reproduces every figure.</t>
  </si>
  <si>
    <t xml:space="preserve">Legend</t>
  </si>
  <si>
    <t xml:space="preserve">'Needs a system change' marks an item the system cannot handle yet (fees by monthly volume, a fee shown to the customer that differs from the true total, NPL converting in its own wallet, tracking an invoice paid in parts, rounding other than dropping the cents). Please fill it anyway — the answer tells us how to build it.</t>
  </si>
  <si>
    <t xml:space="preserve">Colour</t>
  </si>
  <si>
    <t xml:space="preserve">Meaning</t>
  </si>
  <si>
    <t xml:space="preserve">NPL fills in</t>
  </si>
  <si>
    <t xml:space="preserve">Not in your sheet — please supply</t>
  </si>
  <si>
    <t xml:space="preserve">From your sheet</t>
  </si>
  <si>
    <t xml:space="preserve">Copied or worked out from your fee table (blue text) — correct if wrong</t>
  </si>
  <si>
    <t xml:space="preserve">Calculation</t>
  </si>
  <si>
    <t xml:space="preserve">Worked out by the workbook (black) — please do not overwrite</t>
  </si>
  <si>
    <t xml:space="preserve">Pattern</t>
  </si>
  <si>
    <t xml:space="preserve">Name · sheet lines</t>
  </si>
  <si>
    <t xml:space="preserve">1 Market minus fee</t>
  </si>
  <si>
    <t xml:space="preserve">Fee taken off the market rate; the partner passes NPL its share · rows 3, 4, 6, 9, 10, 11, 13, 17, 18 of your sheet</t>
  </si>
  <si>
    <t xml:space="preserve">2 Agent rate</t>
  </si>
  <si>
    <t xml:space="preserve">Agent rate; the fee shown to the customer differs from the true total · rows 5, 7, 12, 15, 19, 30, 31, 35 of your sheet</t>
  </si>
  <si>
    <t xml:space="preserve">3 Sender+receiver pay</t>
  </si>
  <si>
    <t xml:space="preserve">Sender and receiver both pay a part of the fee · rows 21, 22, 23, 24 of your sheet</t>
  </si>
  <si>
    <t xml:space="preserve">4 Fee per deal</t>
  </si>
  <si>
    <t xml:space="preserve">Fee decided per deal, with a lowest value and a minimum margin · rows 8, 25, 26, 29, 34, 36, 43, 44 of your sheet</t>
  </si>
  <si>
    <t xml:space="preserve">5 Fee by volume</t>
  </si>
  <si>
    <t xml:space="preserve">Fee that drops with monthly volume · rows 32, 33 of your sheet</t>
  </si>
  <si>
    <t xml:space="preserve">6 Shared with client</t>
  </si>
  <si>
    <t xml:space="preserve">NPL's earnings shared with the client · rows 14, 16 of your sheet</t>
  </si>
  <si>
    <t xml:space="preserve">7 NPL own wallet</t>
  </si>
  <si>
    <t xml:space="preserve">Game reseller: NPL converts in its own wallet, no partner · rows 38, 39, 40, 41, 42 of your sheet</t>
  </si>
  <si>
    <t xml:space="preserve">8 THB cash to vendors</t>
  </si>
  <si>
    <t xml:space="preserve">THB cash in, partner converts to USDT, vendors paid in USDT · rows 37 of your sheet</t>
  </si>
  <si>
    <t xml:space="preserve">9 Withdrawal</t>
  </si>
  <si>
    <t xml:space="preserve">Withdrawal: bank transfer in, USDT out · rows 20 of your sheet</t>
  </si>
  <si>
    <t xml:space="preserve">10 Cash collection</t>
  </si>
  <si>
    <t xml:space="preserve">Cash collection · rows 28, 45 of your sheet</t>
  </si>
  <si>
    <t xml:space="preserve">11 No-fee internal</t>
  </si>
  <si>
    <t xml:space="preserve">No-fee internal collection · rows 46, 47 of your sheet</t>
  </si>
  <si>
    <t xml:space="preserve">12 Same currency</t>
  </si>
  <si>
    <t xml:space="preserve">Same-currency bank transfer · rows 27 of your sheet</t>
  </si>
  <si>
    <t xml:space="preserve">Line</t>
  </si>
  <si>
    <t xml:space="preserve">Row in your sheet</t>
  </si>
  <si>
    <t xml:space="preserve">Client / product</t>
  </si>
  <si>
    <t xml:space="preserve">How it works today (from your sheet)</t>
  </si>
  <si>
    <t xml:space="preserve">Who sends the money</t>
  </si>
  <si>
    <t xml:space="preserve">Who gets paid</t>
  </si>
  <si>
    <t xml:space="preserve">Their account: currency · bank or wallet · route (SEPA, SWIFT, TRC-20 …)</t>
  </si>
  <si>
    <t xml:space="preserve">How the money comes in (crypto / bank / cash)</t>
  </si>
  <si>
    <t xml:space="preserve">Where it comes in: which partner company, its wallet or bank account</t>
  </si>
  <si>
    <t xml:space="preserve">Partner / agent</t>
  </si>
  <si>
    <t xml:space="preserve">How the partner prices (fee on top of market / fee inside its rate / NPL's own wallet)</t>
  </si>
  <si>
    <t xml:space="preserve">Exchange pair (sent → paid out)</t>
  </si>
  <si>
    <t xml:space="preserve">Fee taken how (off the rate the sender gets / added to what the sender pays)</t>
  </si>
  <si>
    <t xml:space="preserve">Fee applied to (market rate / agent rate)</t>
  </si>
  <si>
    <t xml:space="preserve">Fee is (fixed / set per deal)</t>
  </si>
  <si>
    <t xml:space="preserve">Total fee %</t>
  </si>
  <si>
    <t xml:space="preserve">Sender pays %</t>
  </si>
  <si>
    <t xml:space="preserve">Receiver pays %</t>
  </si>
  <si>
    <t xml:space="preserve">Lowest fee %</t>
  </si>
  <si>
    <t xml:space="preserve">Highest fee %</t>
  </si>
  <si>
    <t xml:space="preserve">Minimum NPL margin %</t>
  </si>
  <si>
    <t xml:space="preserve">Fee shown to the customer %, if different (needs a system change)</t>
  </si>
  <si>
    <t xml:space="preserve">Partner / agent cost % (from your sheet)</t>
  </si>
  <si>
    <t xml:space="preserve">NPL margin % (from your sheet)</t>
  </si>
  <si>
    <t xml:space="preserve">How NPL's share reaches NPL (partner keeps it for NPL / partner pays it back monthly / NPL's own wallet)</t>
  </si>
  <si>
    <t xml:space="preserve">% of the partner's fee paid back to NPL</t>
  </si>
  <si>
    <t xml:space="preserve">Earnings shared with someone else: who · %</t>
  </si>
  <si>
    <t xml:space="preserve">Rounding (drop the cents / nearest unit / round up / nearest 1,000)</t>
  </si>
  <si>
    <t xml:space="preserve">Bank or EMI that pays out</t>
  </si>
  <si>
    <t xml:space="preserve">Name shown on the transfer</t>
  </si>
  <si>
    <t xml:space="preserve">Has the partner approved the receiver's account? (yes / pending)</t>
  </si>
  <si>
    <t xml:space="preserve">Fee by monthly volume (needs a system change)</t>
  </si>
  <si>
    <t xml:space="preserve">Note from your sheet</t>
  </si>
  <si>
    <t xml:space="preserve">Please confirm</t>
  </si>
  <si>
    <t xml:space="preserve">BF-Seven</t>
  </si>
  <si>
    <t xml:space="preserve">For USDT 661,060:
Rate: 0.857097
Fee: 1%
Amount: EUR 560,927</t>
  </si>
  <si>
    <t xml:space="preserve">Jeton</t>
  </si>
  <si>
    <t xml:space="preserve">fee on top of market</t>
  </si>
  <si>
    <t xml:space="preserve">USDT → EUR</t>
  </si>
  <si>
    <t xml:space="preserve">fixed</t>
  </si>
  <si>
    <t xml:space="preserve">paid back by the partner? (your sheet says 'referral commission') — please confirm</t>
  </si>
  <si>
    <t xml:space="preserve">Fixed Fee</t>
  </si>
  <si>
    <t xml:space="preserve">does the partner keep NPL's share at its end for NPL to draw on, or pay it back monthly?</t>
  </si>
  <si>
    <t xml:space="preserve">"For USDT 195,000:
Fee: 0.80%
Amount: EUR 166,009.55"</t>
  </si>
  <si>
    <t xml:space="preserve">Aquanow</t>
  </si>
  <si>
    <t xml:space="preserve">For USDT 661,060:
Rate: 0.857097
Fee: 1%
Amount: EUR 560,927
Note - source rate is manually recomputed to allow the sender-facing calculation to land at 1%</t>
  </si>
  <si>
    <t xml:space="preserve">Ali</t>
  </si>
  <si>
    <t xml:space="preserve">fee inside its rate</t>
  </si>
  <si>
    <t xml:space="preserve">kept for NPL at the partner</t>
  </si>
  <si>
    <t xml:space="preserve">the real market rate at the time of the quote (your sheet shows the recomputed one)</t>
  </si>
  <si>
    <t xml:space="preserve">BF- Arrow Wood</t>
  </si>
  <si>
    <t xml:space="preserve">For the 499,780 USDT collected:
Rate: 0.843784
Fee: 1%
Amount: EUR 417,489</t>
  </si>
  <si>
    <t xml:space="preserve">For the 400,000 USDT collected:
Rate: 0.8679402
Fee: 1%
Amount: EUR 343,704
Note - source rate is manually recomputed to allow the sender-facing calculation to land at 1%</t>
  </si>
  <si>
    <t xml:space="preserve">BF-Trade Lab</t>
  </si>
  <si>
    <t xml:space="preserve">BF-Orbit</t>
  </si>
  <si>
    <t xml:space="preserve">For the 699,000 USDT collected:
Fee: 1.25%
EUR Amount: 619,332</t>
  </si>
  <si>
    <t xml:space="preserve">BF-Blue Sapphire</t>
  </si>
  <si>
    <t xml:space="preserve">For the 200,000 USDT collected:
Rate: 0.838313
Fee: 1%
Amount: EUR 165,986</t>
  </si>
  <si>
    <t xml:space="preserve">For USDT 195,000:
Fee: 0.80%
Amount: EUR 166,009.55</t>
  </si>
  <si>
    <t xml:space="preserve">For USDT 1,000,000:
Rate: 0.872249
Fee: 1%
Amount: EUR 863,527
Note - source rate is manually recomputed to allow the sender-facing calculation to land at 1%</t>
  </si>
  <si>
    <t xml:space="preserve">BF-Raeen</t>
  </si>
  <si>
    <t xml:space="preserve">For the 200,000 USDT collected:
Rate: 0.8610999
Fee: 1%
Amount: EUR 170,498</t>
  </si>
  <si>
    <t xml:space="preserve">BF-Raeen (direct from downlines)</t>
  </si>
  <si>
    <t xml:space="preserve">For USDT 40,593:
Fee: 1%
Amount: EUR 34,590.11</t>
  </si>
  <si>
    <t xml:space="preserve">0.2% shared with Raeen (75% raeen) (25% NPL)</t>
  </si>
  <si>
    <t xml:space="preserve">For USDT 300,000:
Rate: 0.864189
Fee: 1.00%
Amount: EUR 256,664
Note - source rate is manually recomputed to allow the sender-facing calculation to land at 1%</t>
  </si>
  <si>
    <t xml:space="preserve">BF-Raeen - Sub Account </t>
  </si>
  <si>
    <t xml:space="preserve">For USDT 50,000:
Rate: 0.8650036
Fee: 4%
Amount: EUR 41,520.17</t>
  </si>
  <si>
    <t xml:space="preserve">kept for NPL at the partner? — please confirm</t>
  </si>
  <si>
    <t xml:space="preserve">3% shared with Raeen equally</t>
  </si>
  <si>
    <t xml:space="preserve">BF-Novi</t>
  </si>
  <si>
    <t xml:space="preserve">For the 500,000 USDT collected:
Rate: 0.865245
Fee: 0.90%
Amount: EUR 428,729</t>
  </si>
  <si>
    <t xml:space="preserve">For the 500,000 USDT collected:
Rate: 0.865245
Fee: 0.90%
Amount: EUR 428,729
Note - source rate is manually recomputed to allow the sender-facing calculation to land at 0.9%</t>
  </si>
  <si>
    <t xml:space="preserve">BF-Withdrawal 
(client sends EUR bank transfer and then takes settlement in USDT)</t>
  </si>
  <si>
    <t xml:space="preserve">For the GBP 51,000 withdrawn. Actual rate is 0.72739556
GBP Amount: GBP 51,000
Fee: 1%
USDT Amount: USDT 69,412</t>
  </si>
  <si>
    <t xml:space="preserve">GBP → USDT; EUR → USDT</t>
  </si>
  <si>
    <t xml:space="preserve">set per deal</t>
  </si>
  <si>
    <t xml:space="preserve">Fee is not fixed and is subject to change, but we have charged 1% in most recent transactions.</t>
  </si>
  <si>
    <t xml:space="preserve">does the partner keep NPL's share at its end for NPL to draw on, or pay it back monthly?; who decides the fee for each deal, and between which lowest and highest values</t>
  </si>
  <si>
    <t xml:space="preserve">Evo USDT Collection</t>
  </si>
  <si>
    <t xml:space="preserve">Sender calculation
USDT&gt;&gt;EUR
Market Rate: 0.888977323
Fee: 1.40%
Final Rate: 0.876531640478
USDT 29,325 = EUR 25,704
Receiver calculation
EUR 25,704 - 0.6% = 25,550</t>
  </si>
  <si>
    <t xml:space="preserve">Fixed Fee---1.4% charged to Evo customer and 0.6% charged to Evo</t>
  </si>
  <si>
    <t xml:space="preserve">Evo USDT Collection (selected senders)</t>
  </si>
  <si>
    <t xml:space="preserve">Sender calculation
EUR&gt;&gt;USDT
Market Rate: 1.15580212667591 (1 ÷ 0.8652)
Fee: 1.00%
Final Rate: 1.16736014794267
EUR 50,000 = USDT 58,368
Receiver calculation
EUR 50,000 - 0.6% = 49,700</t>
  </si>
  <si>
    <t xml:space="preserve">For select customers (GTSI ,HG, Komodo)--but haven't transacted with us for some time</t>
  </si>
  <si>
    <t xml:space="preserve">Sender calculation
EUR&gt;&gt;USDT
Market Rate: 1.15580212667591 (1 ÷ 0.8652)
Fee: 1.00%
Final Rate: 1.16736014794267
EUR 50,000 = USDT 58,368
Receiver calculation
EUR 50,000 - 0.6% = 49,700</t>
  </si>
  <si>
    <t xml:space="preserve">Evolution CNY Collection</t>
  </si>
  <si>
    <t xml:space="preserve">Sender calculation
EUR &gt; CNY = 8.5193784
EUR 70,427.67 = CNY 600,000 (rounded off)
Receiver calculation
EUR 70,427 - 2.5% = 68,666</t>
  </si>
  <si>
    <t xml:space="preserve">CNY → EUR</t>
  </si>
  <si>
    <t xml:space="preserve">Fees change based on agent cost, but on average it is 6.75%---2.5% is charged to Evo balance will be borne by customer</t>
  </si>
  <si>
    <t xml:space="preserve">Evolution PHP, THB, SGD, HKD</t>
  </si>
  <si>
    <t xml:space="preserve">Sender calculation
EUR &gt; PHP = 72.503792
EUR 100,000 = PHP 7,250,000
Receiver calculation
EUR 100,000- 1.6% = 98,400</t>
  </si>
  <si>
    <t xml:space="preserve">PHP → EUR ; THB → EUR ; SGD → EUR; HKD → EUR</t>
  </si>
  <si>
    <t xml:space="preserve">Fixed Fee---1.6% charged to Evo customer and 1.6% charged to Evolution. Among these pairs only PHP&gt;EUR has been active recently (in 2025).</t>
  </si>
  <si>
    <t xml:space="preserve">Evolution USD, EUR, GBP (bank transfers)</t>
  </si>
  <si>
    <t xml:space="preserve">USD → EUR; EUR → EUR; GBP → EUR</t>
  </si>
  <si>
    <t xml:space="preserve">no recent data</t>
  </si>
  <si>
    <t xml:space="preserve">Fixed Fee---1.4% charged to Evo customer and 1.4% charged to Evolution. None of these pairs have been executed in the past couple of years.</t>
  </si>
  <si>
    <t xml:space="preserve">the partner cost is a range or text — please give the usual value, or say it is read from the partner's rate each day; NPL margin is not a number</t>
  </si>
  <si>
    <t xml:space="preserve">Evolution USD, AED (cash in Dubai)</t>
  </si>
  <si>
    <t xml:space="preserve">AED (cash) → EUR; USD (cash) → EUR</t>
  </si>
  <si>
    <t xml:space="preserve">Fixed Fee---2.25% charged to Evo customer and 2.25% charged to Evolution. None of these pairs have been executed in the past couple of years.</t>
  </si>
  <si>
    <t xml:space="preserve">66 Group Remittance INR</t>
  </si>
  <si>
    <t xml:space="preserve">USD&gt;&gt;INR
XE Market Rate: 90.83911443
Fee: 7.00%
Final Rate: 97.19785244
USD 23,960.18 x 97.1978524401 = INR 2,328,878.04
--- Rounded off to INR 2,329,000</t>
  </si>
  <si>
    <t xml:space="preserve">INR → USD</t>
  </si>
  <si>
    <t xml:space="preserve">Customer-facing fees are not fixed and are subject to change every transaction, but on average it is 6%. also min margin expected is 0.5%</t>
  </si>
  <si>
    <t xml:space="preserve">66 Group Remittance USD</t>
  </si>
  <si>
    <t xml:space="preserve">Market Rate: 1.00041 (1/0.99959)
Fee: 1.50%
Final Rate: 1.01541632
USD 23,960.18 x 1.01541632 = USDT 24,329.56
--- Rounded off to USDT 24,330</t>
  </si>
  <si>
    <t xml:space="preserve">USDT → USD</t>
  </si>
  <si>
    <t xml:space="preserve">66 Group Remittance GBP</t>
  </si>
  <si>
    <t xml:space="preserve">GBP&gt;&gt;USDT = 1.354309
GBP 25,000 x  1.354309 = USDT 33,858</t>
  </si>
  <si>
    <t xml:space="preserve">USDT → GBP</t>
  </si>
  <si>
    <t xml:space="preserve">GDC (up to $500K monthly volume)</t>
  </si>
  <si>
    <t xml:space="preserve">USD 84,482.00 + 2.5% = USDT 86,594</t>
  </si>
  <si>
    <t xml:space="preserve">GDC (for $500K-1M monthly volume)</t>
  </si>
  <si>
    <t xml:space="preserve">USD 84,482.00 + 2.25% = USDT 86,383</t>
  </si>
  <si>
    <t xml:space="preserve">Fee is lowered to 2.25% if their monthly processing volume is more than USD 500,000</t>
  </si>
  <si>
    <t xml:space="preserve">Jeton JPY</t>
  </si>
  <si>
    <t xml:space="preserve">USDT&gt;&gt;JPY = 156.06
USDT 150,000 = JPY 23,409,000</t>
  </si>
  <si>
    <t xml:space="preserve">USDT → JPY</t>
  </si>
  <si>
    <t xml:space="preserve">Fee changes every transaction, but on average it is 1%</t>
  </si>
  <si>
    <t xml:space="preserve">who decides the fee for each deal, and between which lowest and highest values</t>
  </si>
  <si>
    <t xml:space="preserve">Kingdom</t>
  </si>
  <si>
    <t xml:space="preserve">USD 50,000 + 0.9% = USDT 50,540</t>
  </si>
  <si>
    <t xml:space="preserve">Working Lab</t>
  </si>
  <si>
    <t xml:space="preserve">USD 10,000 - 0.75% = USDT 9,925</t>
  </si>
  <si>
    <t xml:space="preserve">USD → USDT</t>
  </si>
  <si>
    <t xml:space="preserve">Fee is not fixed and changes every transaction, but on average it is 0.75%</t>
  </si>
  <si>
    <t xml:space="preserve">27 Group Remittance Collection for Game Reseller</t>
  </si>
  <si>
    <t xml:space="preserve">Customer Collection:
Advance Payment:
THB&gt;&gt;EUR
Market Rate: 0.0259463782412186
Fee: 2%
Updated Rate: 0.02542745
THB 17,000,000 x 0.02542745 = EUR 432,266.66
--- Rounded off to EUR 432,267
THB&gt;&gt;USDT
Market Rate: 0.0297503941927231 (1 ÷ 33.613)
Agent Fee: 0.6414425066510566%
Final Rate: 0.0295595625184747 (1 ÷ 33.83)
THB 17,000,000 x 0.0295595625184747 = USDT 502,513
Balance Invoice Clearance:
EUR&gt;&gt;THB
Market Rate: 38.13570206
Fee: 2.00%
Final Rate: 38.8984161012
EUR 329,408 x 38.8984161012 = THB 12,813,449.45
---Rounded Off to THB 12,813,000
THB &gt;&gt; USDT
Market Rate: 0.0303508558941362 (1 ÷ 32.948)
Agent Fee: 0.729135281711311%
Final Rate: 0.0301295570955107 (1 ÷ 33.19)
THB 12,813,000 x 0.0301295570955107 = USDT 386,050
===
===
===
Vendor Payment:
SACCO SIA (Latvia):
EUR&gt;&gt;USDT
Market Rate: 1.148412335637132
EUR 162,000 x 1.148412335637132 = USDT 186,042.80
Mitratech (QT):
EUR&gt;&gt;USDT
Market Rate: 1.153600110032772
EUR 29,487.18 x 1.153600110032772 = USDT 34,016.41
EZ-EVO (Samino):
USDT&gt;&gt;EUR
Market Rate: 1.154934460230491
EUR 492,665.17 x 1.154934460230491 = USDT 568,995.98
BraversPlay (Darwin):
EUR&gt;&gt;USDT
Market Rate: 1.156470452179947
EUR 13,270.28 x 1.156470452179947 = USDT 15,347
</t>
  </si>
  <si>
    <t xml:space="preserve">THB → USDT then USDT &gt;&gt; EUR</t>
  </si>
  <si>
    <t xml:space="preserve">For Game reseller projects, the EUR invoices from vendors are marked up by NPL-Reseller and a higher value invoice is issued to customers. 
Customer needs to pay an EUR invoice value (in this case customer wants to pay in THB - either as an advance payment or balance for a current invoice. The EUR&gt;THB rate for the customer is calculated with a fixed 2% fee markup
The rate from the partner is THB&gt;USDT (partner fee comparison should show that the partner rate is below 1.5%), so NPL's margin will be min 0.5%.
Once the THB is paid by customer (cash), Partner converts it to USDT. This USDT is then used to pay the vendors as per the share of invoices. Vendors provide the USDT equivalent for the EUR amount due as per market rates.</t>
  </si>
  <si>
    <t xml:space="preserve">Bala Remittance Collection for Game Reseller</t>
  </si>
  <si>
    <t xml:space="preserve">Customer Collection:
EUR&gt;&gt;USDT
Market Rate: 1.14731528223956 (1 ÷ 0.8716)
Fee: 2%
Final Rate: 1.17026158788435
EUR 2,220 x 1.17026158788435 = USDT 2,597.98
--- Round-up to USDT 2,600
Vendor Payment:
EZ-EVO (Samino):
EUR&gt;&gt;USDT
Market Rate: 1.140965082766247
EUR 1,358.98 x 1.140965082766247 = USDT 1,550.55
</t>
  </si>
  <si>
    <t xml:space="preserve">LT Sub (Aquanow)</t>
  </si>
  <si>
    <t xml:space="preserve">NPL's own wallet (needs a system change)</t>
  </si>
  <si>
    <t xml:space="preserve">NPL's own wallet</t>
  </si>
  <si>
    <t xml:space="preserve">For Game reseller projects, the EUR invoices from vendors are marked up by NPL-Reseller and a higher value invoice is issued to customers. 
Customer needs to pay an EUR invoice value (in this case customer wants to pay in USDT. NPL offers the EUR &gt;&gt; USDT plus its markup. Customer sends USDT to NPL. This USDT is then used to pay the vendors as per the share of invoices. Vendors provide the USDT equivalent for the EUR amount due as per market rates. </t>
  </si>
  <si>
    <t xml:space="preserve">Fair Remittance Collection for Game Reseller</t>
  </si>
  <si>
    <t xml:space="preserve">Customer Collection:
Market Rate: 1.15713955102985 (1/0.8642)
Fee: 0.75%
Final Rate: 1.16581809766258
EUR 1,079 x 1.16581809766258 = USDT 1,257.92
--- Rounded off to USDT 1,258
Vendor Payment:
EZ-EVO (Samino):
USDT&gt;&gt;EUR
Market Rate: 1.154934460230491
EUR 697.99 x 1.154934460230491 = USDT 806.13</t>
  </si>
  <si>
    <t xml:space="preserve">66 Group Remittance Collection for Game Reseller</t>
  </si>
  <si>
    <t xml:space="preserve">Customer Collection:
Market Rate: 1.1368804 (1/0.8796)
Fee: 1.50%
Final Rate: 1.15393361
EUR 239,149 x 1.15393361 = USDT 275,962.07
--- Rounded off to USDT 275,962
Vendor Payment:
Marbles:
EUR&gt;&gt;USDT
Market Rate: 1.148038054369771
Fee: 1%
Final Rate: 1.159518434913469
EUR 53.16 x 1.159518434913469 = USDT 61.64
Mitratech (QT):
Market Rate: 1.137541599423579
EUR 19,126.04 x 1.137541599423579 = USDT 21,756.67
EZ-EVO (Samino):
EUR&gt;&gt;USDT
Market Rate: 1.134950126147394
EUR 175,789.33 x 1.134950126147394 = USDT 199,512.12</t>
  </si>
  <si>
    <t xml:space="preserve">TripleSeven/GZ Remittance Collection for Game Reseller</t>
  </si>
  <si>
    <t xml:space="preserve">Customer Collection:
Market Rate: 1.163061177 (1 ÷ 0.8598)
Fee: 1.50%
Final Rate: 1.18050709467318
EUR 4,097 x 1.18050709467318 = USDT 4,837
Vendor Payment:
Mitratech (QT):
EUR&gt;&gt;USDT
Market Rate: 1.137541599423579
EUR 3,403.10 x 1.137541599423579 = USDT 3,871.17</t>
  </si>
  <si>
    <t xml:space="preserve">Alpha Plus Remittance Collection for Game Reseller</t>
  </si>
  <si>
    <t xml:space="preserve">Customer Collection:
Market Rate: 1.14784206 (1/0.8712)
Fee: 1.50%
Final Rate: 1.16505969
EUR 2,939 x 1.16505969 = USDT 3,424.11
--- Rounded off to USDT 3,424
Vendor Payment:
Mitratech (QT):
EUR&gt;&gt;USDT
Market Rate: 1.137541599423579
EUR 2,299.93 x 1.137541599423579 = USDT 2,616.27</t>
  </si>
  <si>
    <t xml:space="preserve">Remit YN</t>
  </si>
  <si>
    <t xml:space="preserve">GBP 21,216 = USDT 28,591</t>
  </si>
  <si>
    <t xml:space="preserve">USDT → GBP; USDT → EUR; USDT → USD</t>
  </si>
  <si>
    <t xml:space="preserve">Fee is not fixed and changes every transaction, but on average it is 1.84%</t>
  </si>
  <si>
    <t xml:space="preserve">Remittance Peru</t>
  </si>
  <si>
    <t xml:space="preserve">USD 299,350 - 4% = USDT 287,376</t>
  </si>
  <si>
    <t xml:space="preserve">USD&gt;USDT</t>
  </si>
  <si>
    <t xml:space="preserve">Ad Hoc INR Cash</t>
  </si>
  <si>
    <t xml:space="preserve">INR 8,500,000 / 79.52918721</t>
  </si>
  <si>
    <t xml:space="preserve">INR → USD; INR → SGD; INR → USDT</t>
  </si>
  <si>
    <t xml:space="preserve">AK collections (INR)</t>
  </si>
  <si>
    <t xml:space="preserve">INR 8,735,000 / 100.80</t>
  </si>
  <si>
    <t xml:space="preserve">Internal stakeholder collection</t>
  </si>
  <si>
    <t xml:space="preserve">AK collections (USDT)</t>
  </si>
  <si>
    <t xml:space="preserve">USDT 10,000 * 0.996</t>
  </si>
  <si>
    <t xml:space="preserve">USDT → USD; USDT → SGD</t>
  </si>
  <si>
    <t xml:space="preserve">1 Market minus fee — Fee taken off the market rate; the partner passes NPL its share</t>
  </si>
  <si>
    <t xml:space="preserve">Example taken from your sheet, rows</t>
  </si>
  <si>
    <t xml:space="preserve">3, 6, 8, 9, 10, 13, 17, 4, 11, 18, 20</t>
  </si>
  <si>
    <t xml:space="preserve">A · The set-up for this kind of deal</t>
  </si>
  <si>
    <t xml:space="preserve">Item</t>
  </si>
  <si>
    <t xml:space="preserve">Value</t>
  </si>
  <si>
    <t xml:space="preserve">Where it comes from</t>
  </si>
  <si>
    <t xml:space="preserve">Note</t>
  </si>
  <si>
    <t xml:space="preserve">Client</t>
  </si>
  <si>
    <t xml:space="preserve">your sheet</t>
  </si>
  <si>
    <t xml:space="preserve">One set-up per client.</t>
  </si>
  <si>
    <t xml:space="preserve">please fill in</t>
  </si>
  <si>
    <t xml:space="preserve">The sender(s). Each must be on the list of who may pay this client's receivers.</t>
  </si>
  <si>
    <t xml:space="preserve">The receiver, or the vendor. A refund goes back to the sender's own account.</t>
  </si>
  <si>
    <t xml:space="preserve">Their account</t>
  </si>
  <si>
    <t xml:space="preserve">Currency, bank account or wallet, and the route: EUR by SEPA and EUR by SWIFT count as two accounts; a wallet needs its network and address.</t>
  </si>
  <si>
    <t xml:space="preserve">How the money comes in</t>
  </si>
  <si>
    <t xml:space="preserve">crypto</t>
  </si>
  <si>
    <t xml:space="preserve">crypto, bank transfer or cash.</t>
  </si>
  <si>
    <t xml:space="preserve">Where it comes in</t>
  </si>
  <si>
    <t xml:space="preserve">Jeton vehicle · wallet · TRC-20?</t>
  </si>
  <si>
    <t xml:space="preserve">Which partner company's wallet or bank account the sender pays into. It must be live, belong to that partner company, and be a wallet for crypto or a bank account for bank transfers.</t>
  </si>
  <si>
    <t xml:space="preserve">How the partner prices</t>
  </si>
  <si>
    <t xml:space="preserve">'fee on top of market': the partner converts at market and states its fee separately. 'fee inside its rate': the partner's margin is built into the rate it gives.</t>
  </si>
  <si>
    <t xml:space="preserve">Exchange pair</t>
  </si>
  <si>
    <t xml:space="preserve">currency sent → currency paid out.</t>
  </si>
  <si>
    <t xml:space="preserve">Fee taken how</t>
  </si>
  <si>
    <t xml:space="preserve">off the rate the sender gets</t>
  </si>
  <si>
    <t xml:space="preserve">'off the rate the sender gets': the sender receives a lower rate. 'added to what the sender pays': the sender pays more per unit received (e.g. 7 % added to the INR-per-USD rate).</t>
  </si>
  <si>
    <t xml:space="preserve">Fee applied to</t>
  </si>
  <si>
    <t xml:space="preserve">market rate</t>
  </si>
  <si>
    <t xml:space="preserve">the market rate, or the agent's rate.</t>
  </si>
  <si>
    <t xml:space="preserve">Fee is</t>
  </si>
  <si>
    <t xml:space="preserve">fixed, or decided per deal within a lowest and highest value.</t>
  </si>
  <si>
    <t xml:space="preserve">sender's part + receiver's part.</t>
  </si>
  <si>
    <t xml:space="preserve">Taken from the client's balance when the money is converted.</t>
  </si>
  <si>
    <t xml:space="preserve">only when the fee is decided per deal</t>
  </si>
  <si>
    <t xml:space="preserve">A quote that earns less needs Finance's approval.</t>
  </si>
  <si>
    <t xml:space="preserve">Fee shown to the customer %</t>
  </si>
  <si>
    <t xml:space="preserve">not needed here</t>
  </si>
  <si>
    <t xml:space="preserve">Only when the customer-facing calculation shows a different fee from the true total. Needs a system change.</t>
  </si>
  <si>
    <t xml:space="preserve">How NPL's share reaches NPL</t>
  </si>
  <si>
    <t xml:space="preserve">paid back monthly? (your sheet says 'NPL gets this as referral commission') — please confirm</t>
  </si>
  <si>
    <t xml:space="preserve">please confirm</t>
  </si>
  <si>
    <t xml:space="preserve">'kept for NPL at the partner': the partner holds NPL's share for NPL to draw on. 'paid back monthly': the partner takes the whole fee and pays NPL's share back on its statement. 'NPL's own wallet': no partner.</t>
  </si>
  <si>
    <t xml:space="preserve">worked out from your sheet</t>
  </si>
  <si>
    <t xml:space="preserve">Only when the partner pays NPL's share back monthly.</t>
  </si>
  <si>
    <t xml:space="preserve">Earnings shared with someone else</t>
  </si>
  <si>
    <t xml:space="preserve">Who, and what % of the amount. Paid out of NPL's earnings.</t>
  </si>
  <si>
    <t xml:space="preserve">Rounding</t>
  </si>
  <si>
    <t xml:space="preserve">drop the cents</t>
  </si>
  <si>
    <t xml:space="preserve">'drop the cents' is the agreed rule; your sheet also rounds to the nearest 1,000 and rounds up in places — those need a system change.</t>
  </si>
  <si>
    <t xml:space="preserve">and the bank fee you expect on it</t>
  </si>
  <si>
    <t xml:space="preserve">what the receiver's bank statement shows</t>
  </si>
  <si>
    <t xml:space="preserve">Has the partner approved the receiver's account?</t>
  </si>
  <si>
    <t xml:space="preserve">A quote cannot be sent until the partner has approved at least one account of the receivers it will pay.</t>
  </si>
  <si>
    <t xml:space="preserve">B · Worked calculation — the deal (change any value)</t>
  </si>
  <si>
    <t xml:space="preserve">Amount sent</t>
  </si>
  <si>
    <t xml:space="preserve">what the sender pays in, in the currency sent</t>
  </si>
  <si>
    <t xml:space="preserve">Currency sent</t>
  </si>
  <si>
    <t xml:space="preserve">USDT</t>
  </si>
  <si>
    <t xml:space="preserve">Currency paid out</t>
  </si>
  <si>
    <t xml:space="preserve">EUR</t>
  </si>
  <si>
    <t xml:space="preserve">Partner (short name)</t>
  </si>
  <si>
    <t xml:space="preserve">JETON</t>
  </si>
  <si>
    <t xml:space="preserve">used in the bookkeeping entries below</t>
  </si>
  <si>
    <t xml:space="preserve">Market rate</t>
  </si>
  <si>
    <t xml:space="preserve">units received per 1 unit sent, at the time of the quote</t>
  </si>
  <si>
    <t xml:space="preserve">Agent rate (partners whose fee is inside the rate)</t>
  </si>
  <si>
    <t xml:space="preserve">units received per 1 unit sent, as the partner offers it; leave blank for partners that state their fee separately</t>
  </si>
  <si>
    <t xml:space="preserve">Partner's fee on top of market</t>
  </si>
  <si>
    <t xml:space="preserve">only for partners that state their fee separately; 0 otherwise</t>
  </si>
  <si>
    <t xml:space="preserve">Total fee</t>
  </si>
  <si>
    <t xml:space="preserve">Sender pays</t>
  </si>
  <si>
    <t xml:space="preserve">Receiver pays</t>
  </si>
  <si>
    <t xml:space="preserve">market rate / agent rate</t>
  </si>
  <si>
    <t xml:space="preserve">fee on top of market / fee inside its rate / NPL's own wallet</t>
  </si>
  <si>
    <t xml:space="preserve">off the rate the sender gets / added to what the sender pays</t>
  </si>
  <si>
    <t xml:space="preserve">drop the cents / nearest unit / round up / nearest 1,000</t>
  </si>
  <si>
    <t xml:space="preserve">Rounding unit</t>
  </si>
  <si>
    <t xml:space="preserve">1 for whole units; 1000 for the nearest thousand</t>
  </si>
  <si>
    <t xml:space="preserve">Minimum NPL margin</t>
  </si>
  <si>
    <t xml:space="preserve">Fee shown to the customer (blank = the true fee)</t>
  </si>
  <si>
    <t xml:space="preserve">needs a system change when it differs</t>
  </si>
  <si>
    <t xml:space="preserve">paid back monthly</t>
  </si>
  <si>
    <t xml:space="preserve">kept for NPL at the partner / paid back monthly / NPL's own wallet</t>
  </si>
  <si>
    <t xml:space="preserve">% of the partner's fee paid back</t>
  </si>
  <si>
    <t xml:space="preserve">Share paid to someone else %</t>
  </si>
  <si>
    <t xml:space="preserve">introducer, or the client's own party</t>
  </si>
  <si>
    <t xml:space="preserve">C · Worked calculation — what the system works out</t>
  </si>
  <si>
    <t xml:space="preserve">Figure</t>
  </si>
  <si>
    <t xml:space="preserve">How it is worked out</t>
  </si>
  <si>
    <t xml:space="preserve">Rate the fee is applied to</t>
  </si>
  <si>
    <t xml:space="preserve">the market rate, or the agent rate</t>
  </si>
  <si>
    <t xml:space="preserve">Rate quoted to the sender</t>
  </si>
  <si>
    <t xml:space="preserve">that rate less the sender's fee — or, when the fee is added to what the sender pays, that rate ÷ (1 + fee)</t>
  </si>
  <si>
    <t xml:space="preserve">Amount the sender is promised</t>
  </si>
  <si>
    <t xml:space="preserve">amount sent × rate quoted to the sender</t>
  </si>
  <si>
    <t xml:space="preserve">before any receiver-side fee</t>
  </si>
  <si>
    <t xml:space="preserve">Receiver-side fee</t>
  </si>
  <si>
    <t xml:space="preserve">amount promised × receiver's fee</t>
  </si>
  <si>
    <t xml:space="preserve">taken from the client's balance when the money is converted</t>
  </si>
  <si>
    <t xml:space="preserve">Amount the receiver is owed</t>
  </si>
  <si>
    <t xml:space="preserve">amount promised − receiver-side fee</t>
  </si>
  <si>
    <t xml:space="preserve">what the client's balance must deliver</t>
  </si>
  <si>
    <t xml:space="preserve">What the partner delivers</t>
  </si>
  <si>
    <t xml:space="preserve">amount × agent rate · or amount × market less the partner's fee · or amount × market when NPL converts itself</t>
  </si>
  <si>
    <t xml:space="preserve">Partner / agent cost</t>
  </si>
  <si>
    <t xml:space="preserve">amount × market − what the partner delivers (nil when NPL converts itself)</t>
  </si>
  <si>
    <t xml:space="preserve">NPL earns on this deal</t>
  </si>
  <si>
    <t xml:space="preserve">what the partner delivers − what the receiver is owed</t>
  </si>
  <si>
    <t xml:space="preserve">locked in when the money is converted</t>
  </si>
  <si>
    <t xml:space="preserve">NPL margin %</t>
  </si>
  <si>
    <t xml:space="preserve">NPL earns ÷ (amount × market)</t>
  </si>
  <si>
    <t xml:space="preserve">Below the minimum margin?</t>
  </si>
  <si>
    <t xml:space="preserve">if so, the quote needs Finance approval</t>
  </si>
  <si>
    <t xml:space="preserve">Amount actually paid out</t>
  </si>
  <si>
    <t xml:space="preserve">amount owed, rounded as agreed</t>
  </si>
  <si>
    <t xml:space="preserve">only 'drop the cents' exists today; the other options need a system change</t>
  </si>
  <si>
    <t xml:space="preserve">Cents left in the client's balance (negative = NPL's cost)</t>
  </si>
  <si>
    <t xml:space="preserve">amount owed − amount paid out</t>
  </si>
  <si>
    <t xml:space="preserve">Rate printed on the customer's quote</t>
  </si>
  <si>
    <t xml:space="preserve">rate quoted to the sender ÷ (1 − fee shown) — the 'market rate' your customer-facing calculation prints</t>
  </si>
  <si>
    <t xml:space="preserve">needs a system change when it differs from the true rate</t>
  </si>
  <si>
    <t xml:space="preserve">Owed back to NPL by the partner</t>
  </si>
  <si>
    <t xml:space="preserve">partner's fee × % paid back (only when the partner pays NPL's share back monthly)</t>
  </si>
  <si>
    <t xml:space="preserve">Share owed to someone else</t>
  </si>
  <si>
    <t xml:space="preserve">amount × market × share %</t>
  </si>
  <si>
    <t xml:space="preserve">paid out of NPL's earnings</t>
  </si>
  <si>
    <t xml:space="preserve">Check: receiver + partner cost + NPL = amount × market</t>
  </si>
  <si>
    <t xml:space="preserve">must be zero</t>
  </si>
  <si>
    <t xml:space="preserve">every unit sent is accounted for</t>
  </si>
  <si>
    <t xml:space="preserve">D · Bookkeeping entries the system would write</t>
  </si>
  <si>
    <t xml:space="preserve">Entry</t>
  </si>
  <si>
    <t xml:space="preserve">In / out</t>
  </si>
  <si>
    <t xml:space="preserve">Amount</t>
  </si>
  <si>
    <t xml:space="preserve">Whose money · what kind</t>
  </si>
  <si>
    <t xml:space="preserve">When</t>
  </si>
  <si>
    <t xml:space="preserve">in</t>
  </si>
  <si>
    <t xml:space="preserve">client's money · the amount itself</t>
  </si>
  <si>
    <t xml:space="preserve">when the money arrives</t>
  </si>
  <si>
    <t xml:space="preserve">out</t>
  </si>
  <si>
    <t xml:space="preserve">conversion — currency sent</t>
  </si>
  <si>
    <t xml:space="preserve">client's money · the amount itself (cents included)</t>
  </si>
  <si>
    <t xml:space="preserve">conversion — currency paid out</t>
  </si>
  <si>
    <t xml:space="preserve">NPL's money · earnings</t>
  </si>
  <si>
    <t xml:space="preserve">conversion — NPL's share left with the partner</t>
  </si>
  <si>
    <t xml:space="preserve">conversion — NPL's share the partner pays back monthly</t>
  </si>
  <si>
    <t xml:space="preserve">margin recognised</t>
  </si>
  <si>
    <t xml:space="preserve">payout released (whole units)</t>
  </si>
  <si>
    <t xml:space="preserve">payout released</t>
  </si>
  <si>
    <t xml:space="preserve">receiver confirms in full</t>
  </si>
  <si>
    <t xml:space="preserve">NPL's money · share paid to someone else</t>
  </si>
  <si>
    <t xml:space="preserve">share accrued (if any)</t>
  </si>
  <si>
    <t xml:space="preserve">share accrued</t>
  </si>
  <si>
    <t xml:space="preserve">Check: in = out in the currency paid out</t>
  </si>
  <si>
    <t xml:space="preserve">money never appears or disappears: every entry moves it from one place to another</t>
  </si>
  <si>
    <t xml:space="preserve">E · Compare with your sheet</t>
  </si>
  <si>
    <t xml:space="preserve">Figure in your sheet</t>
  </si>
  <si>
    <t xml:space="preserve">Your value</t>
  </si>
  <si>
    <t xml:space="preserve">Worked out here</t>
  </si>
  <si>
    <t xml:space="preserve">Difference</t>
  </si>
  <si>
    <t xml:space="preserve">Comment</t>
  </si>
  <si>
    <t xml:space="preserve">EUR amount to the receiver</t>
  </si>
  <si>
    <t xml:space="preserve">sheet row 3: 661,060 × 0.857097 × 0.99</t>
  </si>
  <si>
    <t xml:space="preserve">F · Please confirm</t>
  </si>
  <si>
    <t xml:space="preserve">•</t>
  </si>
  <si>
    <t xml:space="preserve">Does Jeton deduct the full 1 % and pay NPL 0.4 % back (rebate, monthly), or deduct 0.6 % and leave 0.4 % at its end (pool)? The calculation assumes rebate with m = 1.0 %, rebate 40 %; set 'How NPL's share reaches NPL' to 'kept for NPL at the partner' and m to 0.6 % for the other reading.</t>
  </si>
  <si>
    <t xml:space="preserve">Jeton's collection wallet (which Jeton company, which network) and the bank and name used for EUR payouts.</t>
  </si>
  <si>
    <t xml:space="preserve">Is the 0.4 % 'referral commission' NPL's margin on every deal, or a separate commission arrangement with Jeton? It changes how the system records and reconciles it.</t>
  </si>
  <si>
    <t xml:space="preserve">2 Agent rate — Agent rate; the fee shown to the customer differs from the true total</t>
  </si>
  <si>
    <t xml:space="preserve">5, 7, 12, 15, 19</t>
  </si>
  <si>
    <t xml:space="preserve">PT-tour or PT Global Inc · wallet · TRC-20</t>
  </si>
  <si>
    <t xml:space="preserve">agent rate</t>
  </si>
  <si>
    <t xml:space="preserve">ALI</t>
  </si>
  <si>
    <t xml:space="preserve">Rate shown on the customer's quote</t>
  </si>
  <si>
    <t xml:space="preserve">sheet row 5 shows 0.857097 with 'Fee: 1 %' — the recomputed rate</t>
  </si>
  <si>
    <t xml:space="preserve">sheet row 5</t>
  </si>
  <si>
    <t xml:space="preserve">The true market rate at quote time (the sheet shows the recomputed one). Without it the partner cost and the 1.4 % total cannot be checked — the calculation leaves Rm yellow.</t>
  </si>
  <si>
    <t xml:space="preserve">Ali's actual rate: 0.851934 is worked back from your sheet (0.857097 × 0.99 ÷ 0.996). Please confirm or replace.</t>
  </si>
  <si>
    <t xml:space="preserve">Is the '1 %' shown to the customer a fixed rule for every Ali deal of this client, or chosen per quote?</t>
  </si>
  <si>
    <t xml:space="preserve">3 Sender+receiver pay — Sender and receiver both pay a part of the fee</t>
  </si>
  <si>
    <t xml:space="preserve">21, 22, 23, 24</t>
  </si>
  <si>
    <t xml:space="preserve">Evo (receiver side pays 0.6 %)</t>
  </si>
  <si>
    <t xml:space="preserve">PT vehicle · wallet · TRC-20</t>
  </si>
  <si>
    <t xml:space="preserve">Rate quoted to the sender (final rate)</t>
  </si>
  <si>
    <t xml:space="preserve">sheet row 21: 0.888977 × 0.986</t>
  </si>
  <si>
    <t xml:space="preserve">EUR to the Evo balance (gross)</t>
  </si>
  <si>
    <t xml:space="preserve">sheet row 21</t>
  </si>
  <si>
    <t xml:space="preserve">EUR after Evo's 0.6 % fee</t>
  </si>
  <si>
    <t xml:space="preserve">sheet row 21: 25,704 − 0.6 %</t>
  </si>
  <si>
    <t xml:space="preserve">Ali's offered rate for this deal (the calculation assumes a 0.85 % partner cost: 0.881421). Please replace with the actual rate.</t>
  </si>
  <si>
    <t xml:space="preserve">For GTSI, HG and Komodo the sender share is 1.0 % while Evo still pays 0.6 %: please confirm that Evo's part stays 0.6 % rather than shrinking in proportion (needs a small system change).</t>
  </si>
  <si>
    <t xml:space="preserve">Rows 22 and 24 route the same deal through Jeton at 'market − 1.25 %': confirm Jeton's markup (0.85 % in the sheet) and whether the 1.25 % is Jeton's deduction or NPL's quote.</t>
  </si>
  <si>
    <t xml:space="preserve">4 Fee per deal — Fee decided per deal, with a lowest value and a minimum margin</t>
  </si>
  <si>
    <t xml:space="preserve">29, 25, 26, 34, 36, 43</t>
  </si>
  <si>
    <t xml:space="preserve">bank</t>
  </si>
  <si>
    <t xml:space="preserve">Ali vehicle · bank · rail?</t>
  </si>
  <si>
    <t xml:space="preserve">added to what the sender pays</t>
  </si>
  <si>
    <t xml:space="preserve">nearest 1,000 (on the INR collected)</t>
  </si>
  <si>
    <t xml:space="preserve">INR</t>
  </si>
  <si>
    <t xml:space="preserve">USD</t>
  </si>
  <si>
    <t xml:space="preserve">USD delivered to the receiver</t>
  </si>
  <si>
    <t xml:space="preserve">sheet row 29: USD 23,960.18 × 97.198 = INR 2,328,878, rounded to 2,329,000 — the calculation starts from the rounded INR, hence ≈ 1.25 USD more</t>
  </si>
  <si>
    <t xml:space="preserve">Floor and cap for the fee, and who may set it per transaction (the sheet says 'average 6 %, min margin 0.5 %').</t>
  </si>
  <si>
    <t xml:space="preserve">The sheet adds 7 % to the INR-per-USD rate (97.198 = 90.839 × 1.07). In out-per-in terms that is a 6.54 % deduction, not 7 % — for this pair the fee is added to what the sender pays, and the system must record it that way.</t>
  </si>
  <si>
    <t xml:space="preserve">The INR amount is rounded to the nearest 1,000 on the collection side; the system rounds payouts, so this is a convention on the collected amount to confirm (needs a system change).</t>
  </si>
  <si>
    <t xml:space="preserve">5 Fee by volume — Fee that drops with monthly volume</t>
  </si>
  <si>
    <t xml:space="preserve">32, 33</t>
  </si>
  <si>
    <t xml:space="preserve">GDC</t>
  </si>
  <si>
    <t xml:space="preserve">Ali vehicle · wallet · TRC-20</t>
  </si>
  <si>
    <t xml:space="preserve">USD delivered</t>
  </si>
  <si>
    <t xml:space="preserve">sheet row 32: USD 84,482 + 2.5 % = USDT 86,594 (the sheet used a market rate of exactly 1.0)</t>
  </si>
  <si>
    <t xml:space="preserve">Minimum monthly volume (USD)</t>
  </si>
  <si>
    <t xml:space="preserve">Fee %</t>
  </si>
  <si>
    <t xml:space="preserve">Rule</t>
  </si>
  <si>
    <t xml:space="preserve">sheet row 32</t>
  </si>
  <si>
    <t xml:space="preserve">sheet row 33</t>
  </si>
  <si>
    <t xml:space="preserve">Sent by this customer in the last 30 days (USD)</t>
  </si>
  <si>
    <t xml:space="preserve">total sent in the last 30 days — the system knows it; please fill it in for the test</t>
  </si>
  <si>
    <t xml:space="preserve">Fee the system would apply</t>
  </si>
  <si>
    <t xml:space="preserve">highest minimum ≤ volume; copy this into 'Fee total f' and 'Sender share s' above to re-run the calculation at the tiered fee</t>
  </si>
  <si>
    <t xml:space="preserve">Is the $500K threshold measured per calendar month or trailing 30 days, on collected or quoted amounts, per sender or for GDC as a whole?</t>
  </si>
  <si>
    <t xml:space="preserve">Does the lower tier apply to the transaction that crosses the threshold, or from the next one?</t>
  </si>
  <si>
    <t xml:space="preserve">Market rate used for USDT → USD (the sheet's arithmetic implies 1.0; the partner delivers at 0.996).</t>
  </si>
  <si>
    <t xml:space="preserve">6 Shared with client — NPL's earnings shared with the client</t>
  </si>
  <si>
    <t xml:space="preserve">16, 14</t>
  </si>
  <si>
    <t xml:space="preserve">BF-Raeen — Sub Account</t>
  </si>
  <si>
    <t xml:space="preserve">Aquanow vehicle · wallet · TRC-20?</t>
  </si>
  <si>
    <t xml:space="preserve">paid back monthly? — please confirm</t>
  </si>
  <si>
    <t xml:space="preserve">Raeen · 1.5 % of amount (half of the 3 % above the partner's 0.8 %… see note)</t>
  </si>
  <si>
    <t xml:space="preserve">AQUANOW</t>
  </si>
  <si>
    <t xml:space="preserve">EUR to the receiver</t>
  </si>
  <si>
    <t xml:space="preserve">sheet row 16: 50,000 × 0.8650036 × 0.96</t>
  </si>
  <si>
    <t xml:space="preserve">The sheet says the partner charges 0.8 % but lists partner cost 0.5 % with NPL margin 2 % and '3 % shared with Raeen equally'. The calculation uses m = 0.8 % and a 1.5 % share to Raeen; please confirm the exact split of the 4 %.</t>
  </si>
  <si>
    <t xml:space="preserve">Is Raeen's share paid per deal, monthly, or netted against Raeen's own fees? (the system records the share per deal and pays it out of NPL's earnings.)</t>
  </si>
  <si>
    <t xml:space="preserve">Row 14 (direct from downlines): 0.2 % shared 75/25 → 0.15 % to Raeen. Same rule type, different percentage.</t>
  </si>
  <si>
    <t xml:space="preserve">7 NPL own wallet — Game reseller: NPL converts in its own wallet, no partner</t>
  </si>
  <si>
    <t xml:space="preserve">38, 39, 40, 41, 42</t>
  </si>
  <si>
    <t xml:space="preserve">Bala</t>
  </si>
  <si>
    <t xml:space="preserve">EZ-EVO (Samino) — vendor, paid in USDT</t>
  </si>
  <si>
    <t xml:space="preserve">USDT wallet (vendor)</t>
  </si>
  <si>
    <t xml:space="preserve">NPL own desk · wallet LT Sub (Aquanow) · TRC-20?</t>
  </si>
  <si>
    <t xml:space="preserve">NPL own desk (LT Sub)</t>
  </si>
  <si>
    <t xml:space="preserve">USDT → EUR (obligation in EUR, paid in USDT)</t>
  </si>
  <si>
    <t xml:space="preserve">round up (on the USDT collected)</t>
  </si>
  <si>
    <t xml:space="preserve">NPL</t>
  </si>
  <si>
    <t xml:space="preserve">EUR invoice value the collection covers</t>
  </si>
  <si>
    <t xml:space="preserve">sheet row 38: EUR 2,220 ÷ 0.8716 × 1.02 = USDT 2,598 → rounded up to 2,600, which covers ≈ EUR 2,221.8</t>
  </si>
  <si>
    <t xml:space="preserve">Paying the vendor's EUR invoice in USDT (needs a system change: tracking an invoice paid in parts)</t>
  </si>
  <si>
    <t xml:space="preserve">Source</t>
  </si>
  <si>
    <t xml:space="preserve">Vendor invoice amount (EUR)</t>
  </si>
  <si>
    <t xml:space="preserve">sheet row 38, EZ-EVO (Samino)</t>
  </si>
  <si>
    <t xml:space="preserve">Market rate at payment (USDT per EUR)</t>
  </si>
  <si>
    <t xml:space="preserve">sheet row 38</t>
  </si>
  <si>
    <t xml:space="preserve">USDT paid to the vendor</t>
  </si>
  <si>
    <t xml:space="preserve">sheet says 1,550.55</t>
  </si>
  <si>
    <t xml:space="preserve">EUR of the invoice cleared by this payment</t>
  </si>
  <si>
    <t xml:space="preserve">needs a system change</t>
  </si>
  <si>
    <t xml:space="preserve">NPL's result on this flow (EUR)</t>
  </si>
  <si>
    <t xml:space="preserve">what the customer paid in EUR terms minus what the vendor was owed; the fee ± forex variance between collection and payment</t>
  </si>
  <si>
    <t xml:space="preserve">This flow holds client money in NPL's own wallet as a matter of course, which the agreed rules allow only in an emergency re-route. Please confirm whether these flows should run inside the system (a management decision) or stay outside it.</t>
  </si>
  <si>
    <t xml:space="preserve">Rounding up the USDT the customer pays (2,598 → 2,600) favours NPL by ≈ EUR 1.8: is that a deliberate convention (needs a system change) or a convenience?</t>
  </si>
  <si>
    <t xml:space="preserve">The vendors are paid at the market rate of the payment day, in parts, over days: please confirm the system should track the invoice balance (needs a system change).</t>
  </si>
  <si>
    <t xml:space="preserve">Who counts as the sender: the reseller's customer, or Bala?</t>
  </si>
  <si>
    <t xml:space="preserve">8 THB cash to vendors — THB cash in, partner converts to USDT, vendors paid in USDT</t>
  </si>
  <si>
    <t xml:space="preserve">37</t>
  </si>
  <si>
    <t xml:space="preserve">27 Group customer</t>
  </si>
  <si>
    <t xml:space="preserve">SACCO SIA, Mitratech, EZ-EVO, BraversPlay — vendors paid in USDT</t>
  </si>
  <si>
    <t xml:space="preserve">USDT wallets (vendors)</t>
  </si>
  <si>
    <t xml:space="preserve">cash</t>
  </si>
  <si>
    <t xml:space="preserve">none (cash) — instructions on the deal</t>
  </si>
  <si>
    <t xml:space="preserve">THB → USDT (customer promised EUR)</t>
  </si>
  <si>
    <t xml:space="preserve">nearest 1,000? (THB 12,813,449 → 12,813,000)</t>
  </si>
  <si>
    <t xml:space="preserve">THB</t>
  </si>
  <si>
    <t xml:space="preserve">EUR credited to the customer (advance payment)</t>
  </si>
  <si>
    <t xml:space="preserve">sheet row 37: THB 17,000,000 × 0.02542745 — your sheet takes 2 % off the EUR-per-THB rate; adding the fee to what the sender pays instead would give 432,439</t>
  </si>
  <si>
    <t xml:space="preserve">At the partner: THB → USDT (what Ali delivers)</t>
  </si>
  <si>
    <t xml:space="preserve">Market THB per USDT</t>
  </si>
  <si>
    <t xml:space="preserve">sheet row 37 (1 ÷ 0.02975)</t>
  </si>
  <si>
    <t xml:space="preserve">Ali's rate THB per USDT</t>
  </si>
  <si>
    <t xml:space="preserve">sheet row 37 (agent fee 0.64 %)</t>
  </si>
  <si>
    <t xml:space="preserve">USDT delivered</t>
  </si>
  <si>
    <t xml:space="preserve">sheet says 502,513</t>
  </si>
  <si>
    <t xml:space="preserve">Partner cost %</t>
  </si>
  <si>
    <t xml:space="preserve">worked out from the partner's rate against market</t>
  </si>
  <si>
    <t xml:space="preserve">EUR value of the USDT at the EUR/USDT market</t>
  </si>
  <si>
    <t xml:space="preserve">NPL: EUR/USDT market rate on the day × USDT delivered — needed to show NPL's margin against the EUR 432,267 promised</t>
  </si>
  <si>
    <t xml:space="preserve">NPL margin in EUR (if filled)</t>
  </si>
  <si>
    <t xml:space="preserve">should be ≈ 2 % − 0.64 % of the collection; the sheet expects a minimum of 0.5 %</t>
  </si>
  <si>
    <t xml:space="preserve">The customer is promised EUR but pays THB and the partner delivers USDT: the EUR figure is an obligation, not a currency that ever moves. Please confirm the system should track the invoice and how much of it each payment clears (needs a system change).</t>
  </si>
  <si>
    <t xml:space="preserve">Cash THB: which rounding unit applies to the collected amount (the balance clearance rounds THB 12,813,449 to 12,813,000)?</t>
  </si>
  <si>
    <t xml:space="preserve">Which vendor is paid from which collection, and at which day's EUR/USDT market rate — this is what the system would record for each payment (needs a system change).</t>
  </si>
  <si>
    <t xml:space="preserve">9 Withdrawal — Withdrawal: bank transfer in, USDT out</t>
  </si>
  <si>
    <t xml:space="preserve">20</t>
  </si>
  <si>
    <t xml:space="preserve">BF-Withdrawal</t>
  </si>
  <si>
    <t xml:space="preserve">the client's own USDT wallet (counterparty receiver, wallet account)</t>
  </si>
  <si>
    <t xml:space="preserve">USDT · TRC-20 · wallet</t>
  </si>
  <si>
    <t xml:space="preserve">Jeton vehicle · bank · rail?</t>
  </si>
  <si>
    <t xml:space="preserve">GBP → USDT (also EUR → USDT)</t>
  </si>
  <si>
    <t xml:space="preserve">GBP</t>
  </si>
  <si>
    <t xml:space="preserve">USDT to the client's wallet</t>
  </si>
  <si>
    <t xml:space="preserve">sheet row 20: GBP 51,000 ÷ 0.72739556 × 0.99</t>
  </si>
  <si>
    <t xml:space="preserve">The sheet says the fee 'is not fixed … but we have charged 1 % in most recent transactions': fixed at 1 %, or variable with a floor?</t>
  </si>
  <si>
    <t xml:space="preserve">Jeton's bank account for GBP and EUR (which Jeton company, which route — a bank account cannot be used until we know which route it is reached by).</t>
  </si>
  <si>
    <t xml:space="preserve">The payout goes to a wallet: Jeton's approval of it needs the wallet's network and address.</t>
  </si>
  <si>
    <t xml:space="preserve">10 Cash collection — Cash collection</t>
  </si>
  <si>
    <t xml:space="preserve">45, 28</t>
  </si>
  <si>
    <t xml:space="preserve">INR → USD (also SGD, USDT)</t>
  </si>
  <si>
    <t xml:space="preserve">cash rounded to the nearest 1,000?</t>
  </si>
  <si>
    <t xml:space="preserve">sheet row 45: INR 8,500,000 ÷ 79.529 — the sheet's arithmetic carries no NPL fee, so the calculation runs with s = 0; if the 0.5 % is NPL's fee on top, set s = 0.5 % and the USD falls by ≈ 534</t>
  </si>
  <si>
    <t xml:space="preserve">The sheet lists total fee 0.5 %, partner cost 5.5–7.5 % and NPL margin 0 %: is the 0.5 % NPL's fee on top of the agent rate, or the agent's? The calculation needs the real market rate (yellow) to show the partner's cost.</t>
  </si>
  <si>
    <t xml:space="preserve">Cash rounding unit for INR and for AED/USD cash in Dubai (row 28, dormant).</t>
  </si>
  <si>
    <t xml:space="preserve">11 No-fee internal — No-fee internal collection</t>
  </si>
  <si>
    <t xml:space="preserve">47, 46</t>
  </si>
  <si>
    <t xml:space="preserve">AK (internal stakeholder)</t>
  </si>
  <si>
    <t xml:space="preserve">USDT → USD (also SGD)</t>
  </si>
  <si>
    <t xml:space="preserve">sheet row 47: USDT 10,000 × 0.996</t>
  </si>
  <si>
    <t xml:space="preserve">A 0 % fee with a 0 % minimum margin means every quote passes the margin check; confirm that is intended for internal stakeholder flows rather than a per-deal Finance approval.</t>
  </si>
  <si>
    <t xml:space="preserve">INR variant (row 46): INR 8,735,000 ÷ 100.80 — which pair and partner rate version?</t>
  </si>
  <si>
    <t xml:space="preserve">12 Same currency — Same-currency bank transfer</t>
  </si>
  <si>
    <t xml:space="preserve">27</t>
  </si>
  <si>
    <t xml:space="preserve">Evolution (receiver side pays 1.4 %)</t>
  </si>
  <si>
    <t xml:space="preserve">EUR → EUR (also USD → EUR, GBP → EUR)</t>
  </si>
  <si>
    <t xml:space="preserve">EUR delivered after both shares (no sheet example)</t>
  </si>
  <si>
    <t xml:space="preserve">100,000 × 0.986 × 0.986 — illustrative; the sheet has no worked example and the pair has not run for years</t>
  </si>
  <si>
    <t xml:space="preserve">Please confirm whether same-currency pass-through should remain in scope; if yes, the system must allow a pair with the same currency on both sides.</t>
  </si>
  <si>
    <t xml:space="preserve">Partner cost and rail for EUR bank-in at Ali (no recent data in the sheet).</t>
  </si>
  <si>
    <t xml:space="preserve">For New XP — where each item lands in the data model (ERD v5.2). Not for NPL to fill.</t>
  </si>
  <si>
    <t xml:space="preserve">Pattern sheet</t>
  </si>
  <si>
    <t xml:space="preserve">Model field / entity</t>
  </si>
  <si>
    <t xml:space="preserve">(entities)</t>
  </si>
  <si>
    <t xml:space="preserve">PROJECT, SENDER, RECEIVER, PARTNER_PAIR (market_plus_pct), FEE_STRUCTURE (basis market), PARTNER_REBATE_RULE or CO.&lt;PARTNER&gt;.POOL, CONVERSION, DISBURSEMENT</t>
  </si>
  <si>
    <t xml:space="preserve">PROJECT.name</t>
  </si>
  <si>
    <t xml:space="preserve">SENDER + SENDER_RECEIVER_ALLOW</t>
  </si>
  <si>
    <t xml:space="preserve">RECEIVER → RECEIVING_ENTITY</t>
  </si>
  <si>
    <t xml:space="preserve">RECEIVING_ENTITY_ACCOUNT (currency, rail, account_kind)</t>
  </si>
  <si>
    <t xml:space="preserve">DEAL.collection_method</t>
  </si>
  <si>
    <t xml:space="preserve">PARTNER_ENTITY → COLLECTION_RECEIVING_ENDPOINT</t>
  </si>
  <si>
    <t xml:space="preserve">PARTNER + PARTNER_CONFIG</t>
  </si>
  <si>
    <t xml:space="preserve">PARTNER_PAIR.partner_pricing (+ partner_markup_pct)</t>
  </si>
  <si>
    <t xml:space="preserve">CURRENCY_PAIR (from → to)</t>
  </si>
  <si>
    <t xml:space="preserve">CURRENCY_PAIR.quote_direction</t>
  </si>
  <si>
    <t xml:space="preserve">FEE_STRUCTURE.rate_basis</t>
  </si>
  <si>
    <t xml:space="preserve">FEE_STRUCTURE.mode</t>
  </si>
  <si>
    <t xml:space="preserve">FEE_STRUCTURE.pct</t>
  </si>
  <si>
    <t xml:space="preserve">FEE_STRUCTURE.sender_share_pct</t>
  </si>
  <si>
    <t xml:space="preserve">FEE_STRUCTURE.receiver_share_pct</t>
  </si>
  <si>
    <t xml:space="preserve">FEE_STRUCTURE.floor_pct</t>
  </si>
  <si>
    <t xml:space="preserve">FEE_STRUCTURE.cap_pct</t>
  </si>
  <si>
    <t xml:space="preserve">FEE_STRUCTURE.min_margin_pct</t>
  </si>
  <si>
    <t xml:space="preserve">FEE_STRUCTURE.displayed_fee_pct (proposal C)</t>
  </si>
  <si>
    <t xml:space="preserve">pool at partner / PARTNER_REBATE_RULE / own desk (needs a system change and a management decision)</t>
  </si>
  <si>
    <t xml:space="preserve">PARTNER_REBATE_RULE.pct_of_partner_fee</t>
  </si>
  <si>
    <t xml:space="preserve">INTRODUCER + REFERRAL_RULE (basis fixed_pct)</t>
  </si>
  <si>
    <t xml:space="preserve">CURRENCY_PAIR.amount_rounding (+ rounding_unit, proposal F)</t>
  </si>
  <si>
    <t xml:space="preserve">SETTLEMENT_RAIL</t>
  </si>
  <si>
    <t xml:space="preserve">SETTLEMENT_SENDING_ENTITY.narrative_name</t>
  </si>
  <si>
    <t xml:space="preserve">SETTLEMENT_REGISTRATION.approval_status (+ details, D16)</t>
  </si>
  <si>
    <t xml:space="preserve">PARTNER_PAIR (disclosed_rate), FEE_STRUCTURE (basis partner), DEAL_GROUP.displayed_* (v5.3 proposal C), CONVERSION, CO.&lt;PARTNER&gt;.POOL</t>
  </si>
  <si>
    <t xml:space="preserve">FEE_STRUCTURE.sender_share_pct / receiver_share_pct, FEE_OVERRIDE (v5.3 proposal A for the selected senders), CONVERSION.fee_receiver_part</t>
  </si>
  <si>
    <t xml:space="preserve">FEE_STRUCTURE (mode variable: floor_pct, cap_pct, min_margin_pct), PARTNER_RATE_VERSION per day, RATE_COMPARISON, APPROVAL (below-margin quote)</t>
  </si>
  <si>
    <t xml:space="preserve">FEE_STRUCTURE + FEE_TIER (v5.3 proposal B), DEAL.fee_tier_id, sender monthly volume</t>
  </si>
  <si>
    <t xml:space="preserve">INTRODUCER (= the client's party), REFERRAL_RULE (basis fixed_pct), REFERRAL_ACCRUAL, FEE_STRUCTURE, PARTNER_PAIR (market_plus_pct)</t>
  </si>
  <si>
    <t xml:space="preserve">OWN_WALLET (LT Sub) as collection endpoint, own-desk PARTNER_CONFIG (v5.3 proposal D), INVOICE + per-line discharge (needs a system change), rounding up (needs a system change), invariant 3</t>
  </si>
  <si>
    <t xml:space="preserve">DEAL_GROUP with one forward leg (THB → USDT at Ali, cash collection), INVOICE obligation in EUR (needs a system change), payout lines in USDT to several vendors with deal_id  and discharge fields (needs a system change)</t>
  </si>
  <si>
    <t xml:space="preserve">CURRENCY_PAIR GBP → USDT, COLLECTION_RECEIVING_ENDPOINT (kind bank, rail), RECEIVING_ENTITY_ACCOUNT (kind wallet, D14), SETTLEMENT_REGISTRATION with network + address </t>
  </si>
  <si>
    <t xml:space="preserve">DEAL.collection_method = cash, CURRENCY_PAIR.cash_rounding_unit, PARTNER_PAIR (disclosed_rate), FEE_STRUCTURE (basis partner)</t>
  </si>
  <si>
    <t xml:space="preserve">a 0 % fee with a 0 % minimum margin, PARTNER_PAIR (disclosed_rate)</t>
  </si>
  <si>
    <t xml:space="preserve">CURRENCY_PAIR with from = to (rate 1), FEE_STRUCTURE 1.4 % + 1.4 %, bank-in endpoint, SETTLEMENT_RAIL; dormant product</t>
  </si>
  <si>
    <t xml:space="preserve">Register column</t>
  </si>
  <si>
    <t xml:space="preserve">PROJECT</t>
  </si>
  <si>
    <t xml:space="preserve">SENDER, SENDER_RECEIVER_ALLOW</t>
  </si>
  <si>
    <t xml:space="preserve">RECEIVER (kind), RECEIVING_ENTITY</t>
  </si>
  <si>
    <t xml:space="preserve">RECEIVING_ENTITY_ACCOUNT.currency / rail / account_kind</t>
  </si>
  <si>
    <t xml:space="preserve">PARTNER_ENTITY, COLLECTION_RECEIVING_ENDPOINT.kind / network / rail</t>
  </si>
  <si>
    <t xml:space="preserve">PARTNER, PARTNER_CONFIG</t>
  </si>
  <si>
    <t xml:space="preserve">PARTNER_PAIR.partner_pricing, partner_markup_pct</t>
  </si>
  <si>
    <t xml:space="preserve">CURRENCY_PAIR.from_currency / to_currency</t>
  </si>
  <si>
    <t xml:space="preserve">Total / sender / receiver %</t>
  </si>
  <si>
    <t xml:space="preserve">FEE_STRUCTURE.pct, sender_share_pct, receiver_share_pct (FEE_OVERRIDE per sender)</t>
  </si>
  <si>
    <t xml:space="preserve">Lowest / highest / minimum margin %</t>
  </si>
  <si>
    <t xml:space="preserve">FEE_STRUCTURE.floor_pct, cap_pct, min_margin_pct</t>
  </si>
  <si>
    <t xml:space="preserve">Fee shown to the customer</t>
  </si>
  <si>
    <t xml:space="preserve">proposal C (displayed_fee_pct)</t>
  </si>
  <si>
    <t xml:space="preserve">CO.&lt;PARTNER&gt;.POOL vs PARTNER_REBATE_RULE vs own desk (proposal D)</t>
  </si>
  <si>
    <t xml:space="preserve">INTRODUCER, REFERRAL_RULE, REFERRAL_ACCRUAL</t>
  </si>
  <si>
    <t xml:space="preserve">CURRENCY_PAIR.amount_rounding, cash_rounding_unit (proposal F)</t>
  </si>
  <si>
    <t xml:space="preserve">SETTLEMENT_SENDING_ENTITY</t>
  </si>
  <si>
    <t xml:space="preserve">SETTLEMENT_REGISTRATION (D16 details)</t>
  </si>
  <si>
    <t xml:space="preserve">Fee by monthly volume</t>
  </si>
  <si>
    <t xml:space="preserve">proposal B (FEE_TIER)</t>
  </si>
</sst>
</file>

<file path=xl/styles.xml><?xml version="1.0" encoding="utf-8"?>
<styleSheet xmlns="http://schemas.openxmlformats.org/spreadsheetml/2006/main">
  <numFmts count="4">
    <numFmt numFmtId="164" formatCode="General"/>
    <numFmt numFmtId="165" formatCode="0.00%"/>
    <numFmt numFmtId="166" formatCode="#,##0.00"/>
    <numFmt numFmtId="167" formatCode="0.000000"/>
  </numFmts>
  <fonts count="10">
    <font>
      <sz val="11"/>
      <color theme="1"/>
      <name val="Calibri"/>
      <family val="2"/>
      <charset val="1"/>
    </font>
    <font>
      <sz val="10"/>
      <name val="Arial"/>
      <family val="0"/>
    </font>
    <font>
      <sz val="10"/>
      <name val="Arial"/>
      <family val="0"/>
    </font>
    <font>
      <sz val="10"/>
      <name val="Arial"/>
      <family val="0"/>
    </font>
    <font>
      <b val="true"/>
      <sz val="13"/>
      <color rgb="FF2F5D9E"/>
      <name val="Arial"/>
      <family val="0"/>
      <charset val="1"/>
    </font>
    <font>
      <b val="true"/>
      <sz val="10"/>
      <name val="Arial"/>
      <family val="0"/>
      <charset val="1"/>
    </font>
    <font>
      <sz val="10"/>
      <name val="Arial"/>
      <family val="0"/>
      <charset val="1"/>
    </font>
    <font>
      <sz val="10"/>
      <color rgb="FF0000FF"/>
      <name val="Arial"/>
      <family val="0"/>
      <charset val="1"/>
    </font>
    <font>
      <b val="true"/>
      <sz val="11"/>
      <color rgb="FF2F5D9E"/>
      <name val="Arial"/>
      <family val="0"/>
      <charset val="1"/>
    </font>
    <font>
      <i val="true"/>
      <sz val="9"/>
      <color rgb="FF555555"/>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E8EEF7"/>
        <bgColor rgb="FFF3F6FB"/>
      </patternFill>
    </fill>
    <fill>
      <patternFill patternType="solid">
        <fgColor rgb="FFF3F6FB"/>
        <bgColor rgb="FFE8EEF7"/>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7" fontId="6" fillId="2"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6" fillId="2"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6" fontId="6" fillId="2" borderId="1" xfId="0" applyFont="true" applyBorder="true" applyAlignment="false" applyProtection="false">
      <alignment horizontal="general" vertical="bottom" textRotation="0" wrapText="false" indent="0" shrinkToFit="false"/>
      <protection locked="true" hidden="false"/>
    </xf>
    <xf numFmtId="165" fontId="6"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3F6FB"/>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E8EEF7"/>
      <rgbColor rgb="FF660066"/>
      <rgbColor rgb="FFFF8080"/>
      <rgbColor rgb="FF2F5D9E"/>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10"/>
  </cols>
  <sheetData>
    <row r="1" customFormat="false" ht="16.15" hidden="false" customHeight="false" outlineLevel="0" collapsed="false">
      <c r="A1" s="1" t="s">
        <v>0</v>
      </c>
    </row>
    <row r="3" customFormat="false" ht="61.5" hidden="false" customHeight="true" outlineLevel="0" collapsed="false">
      <c r="A3" s="2" t="s">
        <v>1</v>
      </c>
      <c r="B3" s="3" t="s">
        <v>2</v>
      </c>
    </row>
    <row r="4" customFormat="false" ht="61.5" hidden="false" customHeight="true" outlineLevel="0" collapsed="false">
      <c r="A4" s="2" t="s">
        <v>3</v>
      </c>
      <c r="B4" s="3" t="s">
        <v>4</v>
      </c>
    </row>
    <row r="5" customFormat="false" ht="61.5" hidden="false" customHeight="true" outlineLevel="0" collapsed="false">
      <c r="A5" s="2" t="s">
        <v>5</v>
      </c>
      <c r="B5" s="3" t="s">
        <v>6</v>
      </c>
    </row>
    <row r="6" customFormat="false" ht="61.5" hidden="false" customHeight="true" outlineLevel="0" collapsed="false">
      <c r="A6" s="2" t="s">
        <v>7</v>
      </c>
      <c r="B6" s="3" t="s">
        <v>8</v>
      </c>
    </row>
    <row r="7" customFormat="false" ht="61.5" hidden="false" customHeight="true" outlineLevel="0" collapsed="false">
      <c r="A7" s="2" t="s">
        <v>9</v>
      </c>
      <c r="B7" s="3" t="s">
        <v>10</v>
      </c>
    </row>
    <row r="8" customFormat="false" ht="61.5" hidden="false" customHeight="true" outlineLevel="0" collapsed="false">
      <c r="A8" s="2" t="s">
        <v>11</v>
      </c>
      <c r="B8" s="3" t="s">
        <v>12</v>
      </c>
    </row>
    <row r="10" customFormat="false" ht="15" hidden="false" customHeight="false" outlineLevel="0" collapsed="false">
      <c r="A10" s="4" t="s">
        <v>13</v>
      </c>
      <c r="B10" s="4" t="s">
        <v>14</v>
      </c>
    </row>
    <row r="11" customFormat="false" ht="15" hidden="false" customHeight="false" outlineLevel="0" collapsed="false">
      <c r="A11" s="5" t="s">
        <v>15</v>
      </c>
      <c r="B11" s="6" t="s">
        <v>16</v>
      </c>
    </row>
    <row r="12" customFormat="false" ht="15" hidden="false" customHeight="false" outlineLevel="0" collapsed="false">
      <c r="A12" s="7" t="s">
        <v>17</v>
      </c>
      <c r="B12" s="6" t="s">
        <v>18</v>
      </c>
    </row>
    <row r="13" customFormat="false" ht="15" hidden="false" customHeight="false" outlineLevel="0" collapsed="false">
      <c r="A13" s="6" t="s">
        <v>19</v>
      </c>
      <c r="B13" s="6" t="s">
        <v>20</v>
      </c>
    </row>
    <row r="15" customFormat="false" ht="15" hidden="false" customHeight="false" outlineLevel="0" collapsed="false">
      <c r="A15" s="4" t="s">
        <v>21</v>
      </c>
      <c r="B15" s="4" t="s">
        <v>22</v>
      </c>
    </row>
    <row r="16" customFormat="false" ht="15" hidden="false" customHeight="false" outlineLevel="0" collapsed="false">
      <c r="A16" s="6" t="s">
        <v>23</v>
      </c>
      <c r="B16" s="6" t="s">
        <v>24</v>
      </c>
    </row>
    <row r="17" customFormat="false" ht="15" hidden="false" customHeight="false" outlineLevel="0" collapsed="false">
      <c r="A17" s="6" t="s">
        <v>25</v>
      </c>
      <c r="B17" s="6" t="s">
        <v>26</v>
      </c>
    </row>
    <row r="18" customFormat="false" ht="15" hidden="false" customHeight="false" outlineLevel="0" collapsed="false">
      <c r="A18" s="6" t="s">
        <v>27</v>
      </c>
      <c r="B18" s="6" t="s">
        <v>28</v>
      </c>
    </row>
    <row r="19" customFormat="false" ht="15" hidden="false" customHeight="false" outlineLevel="0" collapsed="false">
      <c r="A19" s="6" t="s">
        <v>29</v>
      </c>
      <c r="B19" s="6" t="s">
        <v>30</v>
      </c>
    </row>
    <row r="20" customFormat="false" ht="15" hidden="false" customHeight="false" outlineLevel="0" collapsed="false">
      <c r="A20" s="6" t="s">
        <v>31</v>
      </c>
      <c r="B20" s="6" t="s">
        <v>32</v>
      </c>
    </row>
    <row r="21" customFormat="false" ht="15" hidden="false" customHeight="false" outlineLevel="0" collapsed="false">
      <c r="A21" s="6" t="s">
        <v>33</v>
      </c>
      <c r="B21" s="6" t="s">
        <v>34</v>
      </c>
    </row>
    <row r="22" customFormat="false" ht="15" hidden="false" customHeight="false" outlineLevel="0" collapsed="false">
      <c r="A22" s="6" t="s">
        <v>35</v>
      </c>
      <c r="B22" s="6" t="s">
        <v>36</v>
      </c>
    </row>
    <row r="23" customFormat="false" ht="15" hidden="false" customHeight="false" outlineLevel="0" collapsed="false">
      <c r="A23" s="6" t="s">
        <v>37</v>
      </c>
      <c r="B23" s="6" t="s">
        <v>38</v>
      </c>
    </row>
    <row r="24" customFormat="false" ht="15" hidden="false" customHeight="false" outlineLevel="0" collapsed="false">
      <c r="A24" s="6" t="s">
        <v>39</v>
      </c>
      <c r="B24" s="6" t="s">
        <v>40</v>
      </c>
    </row>
    <row r="25" customFormat="false" ht="15" hidden="false" customHeight="false" outlineLevel="0" collapsed="false">
      <c r="A25" s="6" t="s">
        <v>41</v>
      </c>
      <c r="B25" s="6" t="s">
        <v>42</v>
      </c>
    </row>
    <row r="26" customFormat="false" ht="15" hidden="false" customHeight="false" outlineLevel="0" collapsed="false">
      <c r="A26" s="6" t="s">
        <v>43</v>
      </c>
      <c r="B26" s="6" t="s">
        <v>44</v>
      </c>
    </row>
    <row r="27" customFormat="false" ht="15" hidden="false" customHeight="false" outlineLevel="0" collapsed="false">
      <c r="A27" s="6" t="s">
        <v>45</v>
      </c>
      <c r="B27" s="6" t="s">
        <v>46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7"/>
    <col collapsed="false" customWidth="true" hidden="false" outlineLevel="0" max="3" min="3" style="0" width="30"/>
    <col collapsed="false" customWidth="true" hidden="false" outlineLevel="0" max="4" min="4" style="0" width="8"/>
    <col collapsed="false" customWidth="true" hidden="false" outlineLevel="0" max="5" min="5" style="0" width="44"/>
    <col collapsed="false" customWidth="true" hidden="false" outlineLevel="0" max="6" min="6" style="0" width="18"/>
    <col collapsed="false" customWidth="true" hidden="false" outlineLevel="0" max="7" min="7" style="0" width="22"/>
    <col collapsed="false" customWidth="true" hidden="false" outlineLevel="0" max="8" min="8" style="0" width="24"/>
    <col collapsed="false" customWidth="true" hidden="false" outlineLevel="0" max="9" min="9" style="0" width="16"/>
    <col collapsed="false" customWidth="true" hidden="false" outlineLevel="0" max="10" min="10" style="0" width="28"/>
    <col collapsed="false" customWidth="true" hidden="false" outlineLevel="0" max="11" min="11" style="0" width="16"/>
    <col collapsed="false" customWidth="true" hidden="false" outlineLevel="0" max="13" min="12" style="0" width="18"/>
    <col collapsed="false" customWidth="true" hidden="false" outlineLevel="0" max="14" min="14" style="0" width="14"/>
    <col collapsed="false" customWidth="true" hidden="false" outlineLevel="0" max="15" min="15" style="0" width="12"/>
    <col collapsed="false" customWidth="true" hidden="false" outlineLevel="0" max="16" min="16" style="0" width="10"/>
    <col collapsed="false" customWidth="true" hidden="false" outlineLevel="0" max="19" min="17" style="0" width="11"/>
    <col collapsed="false" customWidth="true" hidden="false" outlineLevel="0" max="21" min="20" style="0" width="9"/>
    <col collapsed="false" customWidth="true" hidden="false" outlineLevel="0" max="22" min="22" style="0" width="10"/>
    <col collapsed="false" customWidth="true" hidden="false" outlineLevel="0" max="25" min="23" style="0" width="12"/>
    <col collapsed="false" customWidth="true" hidden="false" outlineLevel="0" max="26" min="26" style="0" width="18"/>
    <col collapsed="false" customWidth="true" hidden="false" outlineLevel="0" max="27" min="27" style="0" width="14"/>
    <col collapsed="false" customWidth="true" hidden="false" outlineLevel="0" max="28" min="28" style="0" width="22"/>
    <col collapsed="false" customWidth="true" hidden="false" outlineLevel="0" max="29" min="29" style="0" width="18"/>
    <col collapsed="false" customWidth="true" hidden="false" outlineLevel="0" max="31" min="30" style="0" width="16"/>
    <col collapsed="false" customWidth="true" hidden="false" outlineLevel="0" max="32" min="32" style="0" width="14"/>
    <col collapsed="false" customWidth="true" hidden="false" outlineLevel="0" max="33" min="33" style="0" width="16"/>
    <col collapsed="false" customWidth="true" hidden="false" outlineLevel="0" max="35" min="34" style="0" width="40"/>
  </cols>
  <sheetData>
    <row r="1" customFormat="false" ht="78" hidden="false" customHeight="true" outlineLevel="0" collapsed="false">
      <c r="A1" s="8" t="s">
        <v>47</v>
      </c>
      <c r="B1" s="8" t="s">
        <v>48</v>
      </c>
      <c r="C1" s="8" t="s">
        <v>49</v>
      </c>
      <c r="D1" s="8" t="s">
        <v>21</v>
      </c>
      <c r="E1" s="8" t="s">
        <v>50</v>
      </c>
      <c r="F1" s="8" t="s">
        <v>51</v>
      </c>
      <c r="G1" s="8" t="s">
        <v>52</v>
      </c>
      <c r="H1" s="8" t="s">
        <v>53</v>
      </c>
      <c r="I1" s="8" t="s">
        <v>54</v>
      </c>
      <c r="J1" s="8" t="s">
        <v>55</v>
      </c>
      <c r="K1" s="8" t="s">
        <v>56</v>
      </c>
      <c r="L1" s="8" t="s">
        <v>57</v>
      </c>
      <c r="M1" s="8" t="s">
        <v>58</v>
      </c>
      <c r="N1" s="8" t="s">
        <v>59</v>
      </c>
      <c r="O1" s="8" t="s">
        <v>60</v>
      </c>
      <c r="P1" s="8" t="s">
        <v>61</v>
      </c>
      <c r="Q1" s="8" t="s">
        <v>62</v>
      </c>
      <c r="R1" s="8" t="s">
        <v>63</v>
      </c>
      <c r="S1" s="8" t="s">
        <v>64</v>
      </c>
      <c r="T1" s="8" t="s">
        <v>65</v>
      </c>
      <c r="U1" s="8" t="s">
        <v>66</v>
      </c>
      <c r="V1" s="8" t="s">
        <v>67</v>
      </c>
      <c r="W1" s="8" t="s">
        <v>68</v>
      </c>
      <c r="X1" s="8" t="s">
        <v>69</v>
      </c>
      <c r="Y1" s="8" t="s">
        <v>70</v>
      </c>
      <c r="Z1" s="8" t="s">
        <v>71</v>
      </c>
      <c r="AA1" s="8" t="s">
        <v>72</v>
      </c>
      <c r="AB1" s="8" t="s">
        <v>73</v>
      </c>
      <c r="AC1" s="8" t="s">
        <v>74</v>
      </c>
      <c r="AD1" s="8" t="s">
        <v>75</v>
      </c>
      <c r="AE1" s="8" t="s">
        <v>76</v>
      </c>
      <c r="AF1" s="8" t="s">
        <v>77</v>
      </c>
      <c r="AG1" s="8" t="s">
        <v>78</v>
      </c>
      <c r="AH1" s="8" t="s">
        <v>79</v>
      </c>
      <c r="AI1" s="8" t="s">
        <v>80</v>
      </c>
    </row>
    <row r="2" customFormat="false" ht="60" hidden="false" customHeight="true" outlineLevel="0" collapsed="false">
      <c r="A2" s="3" t="n">
        <v>1</v>
      </c>
      <c r="B2" s="3" t="n">
        <v>3</v>
      </c>
      <c r="C2" s="9" t="s">
        <v>81</v>
      </c>
      <c r="D2" s="3" t="s">
        <v>23</v>
      </c>
      <c r="E2" s="9" t="s">
        <v>82</v>
      </c>
      <c r="F2" s="10"/>
      <c r="G2" s="10"/>
      <c r="H2" s="10"/>
      <c r="I2" s="10"/>
      <c r="J2" s="10"/>
      <c r="K2" s="9" t="s">
        <v>83</v>
      </c>
      <c r="L2" s="9" t="s">
        <v>84</v>
      </c>
      <c r="M2" s="9" t="s">
        <v>85</v>
      </c>
      <c r="N2" s="10"/>
      <c r="O2" s="10"/>
      <c r="P2" s="9" t="s">
        <v>86</v>
      </c>
      <c r="Q2" s="11" t="n">
        <v>0.01</v>
      </c>
      <c r="R2" s="11" t="n">
        <v>0.01</v>
      </c>
      <c r="S2" s="11" t="n">
        <v>0</v>
      </c>
      <c r="T2" s="10"/>
      <c r="U2" s="10"/>
      <c r="V2" s="10"/>
      <c r="W2" s="10"/>
      <c r="X2" s="11" t="n">
        <v>0.006</v>
      </c>
      <c r="Y2" s="11" t="n">
        <v>0.004</v>
      </c>
      <c r="Z2" s="3" t="s">
        <v>87</v>
      </c>
      <c r="AA2" s="10"/>
      <c r="AB2" s="10"/>
      <c r="AC2" s="10"/>
      <c r="AD2" s="10"/>
      <c r="AE2" s="10"/>
      <c r="AF2" s="10"/>
      <c r="AG2" s="10"/>
      <c r="AH2" s="9" t="s">
        <v>88</v>
      </c>
      <c r="AI2" s="3" t="s">
        <v>89</v>
      </c>
    </row>
    <row r="3" customFormat="false" ht="60" hidden="false" customHeight="true" outlineLevel="0" collapsed="false">
      <c r="A3" s="3" t="n">
        <v>2</v>
      </c>
      <c r="B3" s="3" t="n">
        <v>4</v>
      </c>
      <c r="C3" s="9" t="s">
        <v>81</v>
      </c>
      <c r="D3" s="3" t="s">
        <v>23</v>
      </c>
      <c r="E3" s="9" t="s">
        <v>90</v>
      </c>
      <c r="F3" s="10"/>
      <c r="G3" s="10"/>
      <c r="H3" s="10"/>
      <c r="I3" s="10"/>
      <c r="J3" s="10"/>
      <c r="K3" s="9" t="s">
        <v>91</v>
      </c>
      <c r="L3" s="9" t="s">
        <v>84</v>
      </c>
      <c r="M3" s="9" t="s">
        <v>85</v>
      </c>
      <c r="N3" s="10"/>
      <c r="O3" s="10"/>
      <c r="P3" s="9" t="s">
        <v>86</v>
      </c>
      <c r="Q3" s="11" t="n">
        <v>0.008</v>
      </c>
      <c r="R3" s="11" t="n">
        <v>0.008</v>
      </c>
      <c r="S3" s="11" t="n">
        <v>0</v>
      </c>
      <c r="T3" s="10"/>
      <c r="U3" s="10"/>
      <c r="V3" s="10"/>
      <c r="W3" s="10"/>
      <c r="X3" s="11" t="n">
        <v>0.005</v>
      </c>
      <c r="Y3" s="11" t="n">
        <v>0.003</v>
      </c>
      <c r="Z3" s="3" t="s">
        <v>87</v>
      </c>
      <c r="AA3" s="10"/>
      <c r="AB3" s="10"/>
      <c r="AC3" s="10"/>
      <c r="AD3" s="10"/>
      <c r="AE3" s="10"/>
      <c r="AF3" s="10"/>
      <c r="AG3" s="10"/>
      <c r="AH3" s="9" t="s">
        <v>88</v>
      </c>
      <c r="AI3" s="3" t="s">
        <v>89</v>
      </c>
    </row>
    <row r="4" customFormat="false" ht="60" hidden="false" customHeight="true" outlineLevel="0" collapsed="false">
      <c r="A4" s="3" t="n">
        <v>3</v>
      </c>
      <c r="B4" s="3" t="n">
        <v>5</v>
      </c>
      <c r="C4" s="9" t="s">
        <v>81</v>
      </c>
      <c r="D4" s="3" t="s">
        <v>25</v>
      </c>
      <c r="E4" s="9" t="s">
        <v>92</v>
      </c>
      <c r="F4" s="10"/>
      <c r="G4" s="10"/>
      <c r="H4" s="10"/>
      <c r="I4" s="10"/>
      <c r="J4" s="10"/>
      <c r="K4" s="9" t="s">
        <v>93</v>
      </c>
      <c r="L4" s="9" t="s">
        <v>94</v>
      </c>
      <c r="M4" s="9" t="s">
        <v>85</v>
      </c>
      <c r="N4" s="10"/>
      <c r="O4" s="10"/>
      <c r="P4" s="9" t="s">
        <v>86</v>
      </c>
      <c r="Q4" s="11" t="n">
        <v>0.014</v>
      </c>
      <c r="R4" s="11" t="n">
        <v>0.014</v>
      </c>
      <c r="S4" s="11" t="n">
        <v>0</v>
      </c>
      <c r="T4" s="10"/>
      <c r="U4" s="10"/>
      <c r="V4" s="10"/>
      <c r="W4" s="10"/>
      <c r="X4" s="11" t="n">
        <v>0.01</v>
      </c>
      <c r="Y4" s="11" t="n">
        <v>0.004</v>
      </c>
      <c r="Z4" s="3" t="s">
        <v>95</v>
      </c>
      <c r="AA4" s="10"/>
      <c r="AB4" s="10"/>
      <c r="AC4" s="10"/>
      <c r="AD4" s="10"/>
      <c r="AE4" s="10"/>
      <c r="AF4" s="10"/>
      <c r="AG4" s="10"/>
      <c r="AH4" s="3"/>
      <c r="AI4" s="3" t="s">
        <v>96</v>
      </c>
    </row>
    <row r="5" customFormat="false" ht="60" hidden="false" customHeight="true" outlineLevel="0" collapsed="false">
      <c r="A5" s="3" t="n">
        <v>4</v>
      </c>
      <c r="B5" s="3" t="n">
        <v>6</v>
      </c>
      <c r="C5" s="9" t="s">
        <v>97</v>
      </c>
      <c r="D5" s="3" t="s">
        <v>23</v>
      </c>
      <c r="E5" s="9" t="s">
        <v>98</v>
      </c>
      <c r="F5" s="10"/>
      <c r="G5" s="10"/>
      <c r="H5" s="10"/>
      <c r="I5" s="10"/>
      <c r="J5" s="10"/>
      <c r="K5" s="9" t="s">
        <v>83</v>
      </c>
      <c r="L5" s="9" t="s">
        <v>84</v>
      </c>
      <c r="M5" s="9" t="s">
        <v>85</v>
      </c>
      <c r="N5" s="10"/>
      <c r="O5" s="10"/>
      <c r="P5" s="9" t="s">
        <v>86</v>
      </c>
      <c r="Q5" s="11" t="n">
        <v>0.01</v>
      </c>
      <c r="R5" s="11" t="n">
        <v>0.01</v>
      </c>
      <c r="S5" s="11" t="n">
        <v>0</v>
      </c>
      <c r="T5" s="10"/>
      <c r="U5" s="10"/>
      <c r="V5" s="10"/>
      <c r="W5" s="10"/>
      <c r="X5" s="11" t="n">
        <v>0.006</v>
      </c>
      <c r="Y5" s="11" t="n">
        <v>0.004</v>
      </c>
      <c r="Z5" s="3" t="s">
        <v>87</v>
      </c>
      <c r="AA5" s="10"/>
      <c r="AB5" s="10"/>
      <c r="AC5" s="10"/>
      <c r="AD5" s="10"/>
      <c r="AE5" s="10"/>
      <c r="AF5" s="10"/>
      <c r="AG5" s="10"/>
      <c r="AH5" s="9" t="s">
        <v>88</v>
      </c>
      <c r="AI5" s="3" t="s">
        <v>89</v>
      </c>
    </row>
    <row r="6" customFormat="false" ht="60" hidden="false" customHeight="true" outlineLevel="0" collapsed="false">
      <c r="A6" s="3" t="n">
        <v>5</v>
      </c>
      <c r="B6" s="3" t="n">
        <v>7</v>
      </c>
      <c r="C6" s="9" t="s">
        <v>97</v>
      </c>
      <c r="D6" s="3" t="s">
        <v>25</v>
      </c>
      <c r="E6" s="9" t="s">
        <v>99</v>
      </c>
      <c r="F6" s="10"/>
      <c r="G6" s="10"/>
      <c r="H6" s="10"/>
      <c r="I6" s="10"/>
      <c r="J6" s="10"/>
      <c r="K6" s="9" t="s">
        <v>93</v>
      </c>
      <c r="L6" s="9" t="s">
        <v>94</v>
      </c>
      <c r="M6" s="9" t="s">
        <v>85</v>
      </c>
      <c r="N6" s="10"/>
      <c r="O6" s="10"/>
      <c r="P6" s="9" t="s">
        <v>86</v>
      </c>
      <c r="Q6" s="11" t="n">
        <v>0.014</v>
      </c>
      <c r="R6" s="11" t="n">
        <v>0.014</v>
      </c>
      <c r="S6" s="11" t="n">
        <v>0</v>
      </c>
      <c r="T6" s="10"/>
      <c r="U6" s="10"/>
      <c r="V6" s="10"/>
      <c r="W6" s="10"/>
      <c r="X6" s="11" t="n">
        <v>0.01</v>
      </c>
      <c r="Y6" s="11" t="n">
        <v>0.004</v>
      </c>
      <c r="Z6" s="3" t="s">
        <v>95</v>
      </c>
      <c r="AA6" s="10"/>
      <c r="AB6" s="10"/>
      <c r="AC6" s="10"/>
      <c r="AD6" s="10"/>
      <c r="AE6" s="10"/>
      <c r="AF6" s="10"/>
      <c r="AG6" s="10"/>
      <c r="AH6" s="3"/>
      <c r="AI6" s="3" t="s">
        <v>96</v>
      </c>
    </row>
    <row r="7" customFormat="false" ht="60" hidden="false" customHeight="true" outlineLevel="0" collapsed="false">
      <c r="A7" s="3" t="n">
        <v>6</v>
      </c>
      <c r="B7" s="3" t="n">
        <v>8</v>
      </c>
      <c r="C7" s="9" t="s">
        <v>100</v>
      </c>
      <c r="D7" s="3" t="s">
        <v>29</v>
      </c>
      <c r="E7" s="10"/>
      <c r="F7" s="10"/>
      <c r="G7" s="10"/>
      <c r="H7" s="10"/>
      <c r="I7" s="10"/>
      <c r="J7" s="10"/>
      <c r="K7" s="9" t="s">
        <v>83</v>
      </c>
      <c r="L7" s="9" t="s">
        <v>84</v>
      </c>
      <c r="M7" s="9" t="s">
        <v>85</v>
      </c>
      <c r="N7" s="10"/>
      <c r="O7" s="10"/>
      <c r="P7" s="9" t="s">
        <v>86</v>
      </c>
      <c r="Q7" s="11" t="n">
        <v>0.01</v>
      </c>
      <c r="R7" s="11" t="n">
        <v>0.01</v>
      </c>
      <c r="S7" s="11" t="n">
        <v>0</v>
      </c>
      <c r="T7" s="10"/>
      <c r="U7" s="10"/>
      <c r="V7" s="10"/>
      <c r="W7" s="10"/>
      <c r="X7" s="11" t="n">
        <v>0.005</v>
      </c>
      <c r="Y7" s="11" t="n">
        <v>0.004</v>
      </c>
      <c r="Z7" s="3" t="s">
        <v>87</v>
      </c>
      <c r="AA7" s="10"/>
      <c r="AB7" s="10"/>
      <c r="AC7" s="10"/>
      <c r="AD7" s="10"/>
      <c r="AE7" s="10"/>
      <c r="AF7" s="10"/>
      <c r="AG7" s="10"/>
      <c r="AH7" s="9" t="s">
        <v>88</v>
      </c>
      <c r="AI7" s="3" t="s">
        <v>89</v>
      </c>
    </row>
    <row r="8" customFormat="false" ht="60" hidden="false" customHeight="true" outlineLevel="0" collapsed="false">
      <c r="A8" s="3" t="n">
        <v>7</v>
      </c>
      <c r="B8" s="3" t="n">
        <v>9</v>
      </c>
      <c r="C8" s="9" t="s">
        <v>101</v>
      </c>
      <c r="D8" s="3" t="s">
        <v>23</v>
      </c>
      <c r="E8" s="9" t="s">
        <v>102</v>
      </c>
      <c r="F8" s="10"/>
      <c r="G8" s="10"/>
      <c r="H8" s="10"/>
      <c r="I8" s="10"/>
      <c r="J8" s="10"/>
      <c r="K8" s="9" t="s">
        <v>83</v>
      </c>
      <c r="L8" s="9" t="s">
        <v>84</v>
      </c>
      <c r="M8" s="9" t="s">
        <v>85</v>
      </c>
      <c r="N8" s="10"/>
      <c r="O8" s="10"/>
      <c r="P8" s="9" t="s">
        <v>86</v>
      </c>
      <c r="Q8" s="11" t="n">
        <v>0.01</v>
      </c>
      <c r="R8" s="11" t="n">
        <v>0.01</v>
      </c>
      <c r="S8" s="11" t="n">
        <v>0</v>
      </c>
      <c r="T8" s="10"/>
      <c r="U8" s="10"/>
      <c r="V8" s="10"/>
      <c r="W8" s="10"/>
      <c r="X8" s="11" t="n">
        <v>0.006</v>
      </c>
      <c r="Y8" s="11" t="n">
        <v>0.004</v>
      </c>
      <c r="Z8" s="3" t="s">
        <v>87</v>
      </c>
      <c r="AA8" s="10"/>
      <c r="AB8" s="10"/>
      <c r="AC8" s="10"/>
      <c r="AD8" s="10"/>
      <c r="AE8" s="10"/>
      <c r="AF8" s="10"/>
      <c r="AG8" s="10"/>
      <c r="AH8" s="9" t="s">
        <v>88</v>
      </c>
      <c r="AI8" s="3" t="s">
        <v>89</v>
      </c>
    </row>
    <row r="9" customFormat="false" ht="60" hidden="false" customHeight="true" outlineLevel="0" collapsed="false">
      <c r="A9" s="3" t="n">
        <v>8</v>
      </c>
      <c r="B9" s="3" t="n">
        <v>10</v>
      </c>
      <c r="C9" s="9" t="s">
        <v>103</v>
      </c>
      <c r="D9" s="3" t="s">
        <v>23</v>
      </c>
      <c r="E9" s="9" t="s">
        <v>104</v>
      </c>
      <c r="F9" s="10"/>
      <c r="G9" s="10"/>
      <c r="H9" s="10"/>
      <c r="I9" s="10"/>
      <c r="J9" s="10"/>
      <c r="K9" s="9" t="s">
        <v>83</v>
      </c>
      <c r="L9" s="9" t="s">
        <v>84</v>
      </c>
      <c r="M9" s="9" t="s">
        <v>85</v>
      </c>
      <c r="N9" s="10"/>
      <c r="O9" s="10"/>
      <c r="P9" s="9" t="s">
        <v>86</v>
      </c>
      <c r="Q9" s="11" t="n">
        <v>0.01</v>
      </c>
      <c r="R9" s="11" t="n">
        <v>0.01</v>
      </c>
      <c r="S9" s="11" t="n">
        <v>0</v>
      </c>
      <c r="T9" s="10"/>
      <c r="U9" s="10"/>
      <c r="V9" s="10"/>
      <c r="W9" s="10"/>
      <c r="X9" s="11" t="n">
        <v>0.006</v>
      </c>
      <c r="Y9" s="11" t="n">
        <v>0.004</v>
      </c>
      <c r="Z9" s="3" t="s">
        <v>87</v>
      </c>
      <c r="AA9" s="10"/>
      <c r="AB9" s="10"/>
      <c r="AC9" s="10"/>
      <c r="AD9" s="10"/>
      <c r="AE9" s="10"/>
      <c r="AF9" s="10"/>
      <c r="AG9" s="10"/>
      <c r="AH9" s="9" t="s">
        <v>88</v>
      </c>
      <c r="AI9" s="3" t="s">
        <v>89</v>
      </c>
    </row>
    <row r="10" customFormat="false" ht="60" hidden="false" customHeight="true" outlineLevel="0" collapsed="false">
      <c r="A10" s="3" t="n">
        <v>9</v>
      </c>
      <c r="B10" s="3" t="n">
        <v>11</v>
      </c>
      <c r="C10" s="9" t="s">
        <v>103</v>
      </c>
      <c r="D10" s="3" t="s">
        <v>23</v>
      </c>
      <c r="E10" s="9" t="s">
        <v>105</v>
      </c>
      <c r="F10" s="10"/>
      <c r="G10" s="10"/>
      <c r="H10" s="10"/>
      <c r="I10" s="10"/>
      <c r="J10" s="10"/>
      <c r="K10" s="9" t="s">
        <v>91</v>
      </c>
      <c r="L10" s="9" t="s">
        <v>84</v>
      </c>
      <c r="M10" s="9" t="s">
        <v>85</v>
      </c>
      <c r="N10" s="10"/>
      <c r="O10" s="10"/>
      <c r="P10" s="9" t="s">
        <v>86</v>
      </c>
      <c r="Q10" s="11" t="n">
        <v>0.008</v>
      </c>
      <c r="R10" s="11" t="n">
        <v>0.008</v>
      </c>
      <c r="S10" s="11" t="n">
        <v>0</v>
      </c>
      <c r="T10" s="10"/>
      <c r="U10" s="10"/>
      <c r="V10" s="10"/>
      <c r="W10" s="10"/>
      <c r="X10" s="11" t="n">
        <v>0.005</v>
      </c>
      <c r="Y10" s="11" t="n">
        <v>0.003</v>
      </c>
      <c r="Z10" s="3" t="s">
        <v>87</v>
      </c>
      <c r="AA10" s="10"/>
      <c r="AB10" s="10"/>
      <c r="AC10" s="10"/>
      <c r="AD10" s="10"/>
      <c r="AE10" s="10"/>
      <c r="AF10" s="10"/>
      <c r="AG10" s="10"/>
      <c r="AH10" s="9" t="s">
        <v>88</v>
      </c>
      <c r="AI10" s="3" t="s">
        <v>89</v>
      </c>
    </row>
    <row r="11" customFormat="false" ht="60" hidden="false" customHeight="true" outlineLevel="0" collapsed="false">
      <c r="A11" s="3" t="n">
        <v>10</v>
      </c>
      <c r="B11" s="3" t="n">
        <v>12</v>
      </c>
      <c r="C11" s="9" t="s">
        <v>103</v>
      </c>
      <c r="D11" s="3" t="s">
        <v>25</v>
      </c>
      <c r="E11" s="9" t="s">
        <v>106</v>
      </c>
      <c r="F11" s="10"/>
      <c r="G11" s="10"/>
      <c r="H11" s="10"/>
      <c r="I11" s="10"/>
      <c r="J11" s="10"/>
      <c r="K11" s="9" t="s">
        <v>93</v>
      </c>
      <c r="L11" s="9" t="s">
        <v>94</v>
      </c>
      <c r="M11" s="9" t="s">
        <v>85</v>
      </c>
      <c r="N11" s="10"/>
      <c r="O11" s="10"/>
      <c r="P11" s="9" t="s">
        <v>86</v>
      </c>
      <c r="Q11" s="11" t="n">
        <v>0.014</v>
      </c>
      <c r="R11" s="11" t="n">
        <v>0.014</v>
      </c>
      <c r="S11" s="11" t="n">
        <v>0</v>
      </c>
      <c r="T11" s="10"/>
      <c r="U11" s="10"/>
      <c r="V11" s="10"/>
      <c r="W11" s="10"/>
      <c r="X11" s="11" t="n">
        <v>0.01</v>
      </c>
      <c r="Y11" s="11" t="n">
        <v>0.004</v>
      </c>
      <c r="Z11" s="3" t="s">
        <v>95</v>
      </c>
      <c r="AA11" s="10"/>
      <c r="AB11" s="10"/>
      <c r="AC11" s="10"/>
      <c r="AD11" s="10"/>
      <c r="AE11" s="10"/>
      <c r="AF11" s="10"/>
      <c r="AG11" s="10"/>
      <c r="AH11" s="3"/>
      <c r="AI11" s="3" t="s">
        <v>96</v>
      </c>
    </row>
    <row r="12" customFormat="false" ht="60" hidden="false" customHeight="true" outlineLevel="0" collapsed="false">
      <c r="A12" s="3" t="n">
        <v>11</v>
      </c>
      <c r="B12" s="3" t="n">
        <v>13</v>
      </c>
      <c r="C12" s="9" t="s">
        <v>107</v>
      </c>
      <c r="D12" s="3" t="s">
        <v>23</v>
      </c>
      <c r="E12" s="9" t="s">
        <v>108</v>
      </c>
      <c r="F12" s="10"/>
      <c r="G12" s="10"/>
      <c r="H12" s="10"/>
      <c r="I12" s="10"/>
      <c r="J12" s="10"/>
      <c r="K12" s="9" t="s">
        <v>83</v>
      </c>
      <c r="L12" s="9" t="s">
        <v>84</v>
      </c>
      <c r="M12" s="9" t="s">
        <v>85</v>
      </c>
      <c r="N12" s="10"/>
      <c r="O12" s="10"/>
      <c r="P12" s="9" t="s">
        <v>86</v>
      </c>
      <c r="Q12" s="11" t="n">
        <v>0.01</v>
      </c>
      <c r="R12" s="11" t="n">
        <v>0.01</v>
      </c>
      <c r="S12" s="11" t="n">
        <v>0</v>
      </c>
      <c r="T12" s="10"/>
      <c r="U12" s="10"/>
      <c r="V12" s="10"/>
      <c r="W12" s="10"/>
      <c r="X12" s="11" t="n">
        <v>0.006</v>
      </c>
      <c r="Y12" s="11" t="n">
        <v>0.004</v>
      </c>
      <c r="Z12" s="3" t="s">
        <v>87</v>
      </c>
      <c r="AA12" s="10"/>
      <c r="AB12" s="10"/>
      <c r="AC12" s="10"/>
      <c r="AD12" s="10"/>
      <c r="AE12" s="10"/>
      <c r="AF12" s="10"/>
      <c r="AG12" s="10"/>
      <c r="AH12" s="9" t="s">
        <v>88</v>
      </c>
      <c r="AI12" s="3" t="s">
        <v>89</v>
      </c>
    </row>
    <row r="13" customFormat="false" ht="60" hidden="false" customHeight="true" outlineLevel="0" collapsed="false">
      <c r="A13" s="3" t="n">
        <v>12</v>
      </c>
      <c r="B13" s="3" t="n">
        <v>14</v>
      </c>
      <c r="C13" s="9" t="s">
        <v>109</v>
      </c>
      <c r="D13" s="3" t="s">
        <v>33</v>
      </c>
      <c r="E13" s="9" t="s">
        <v>110</v>
      </c>
      <c r="F13" s="10"/>
      <c r="G13" s="10"/>
      <c r="H13" s="10"/>
      <c r="I13" s="10"/>
      <c r="J13" s="10"/>
      <c r="K13" s="9" t="s">
        <v>91</v>
      </c>
      <c r="L13" s="9" t="s">
        <v>84</v>
      </c>
      <c r="M13" s="9" t="s">
        <v>85</v>
      </c>
      <c r="N13" s="10"/>
      <c r="O13" s="10"/>
      <c r="P13" s="9" t="s">
        <v>86</v>
      </c>
      <c r="Q13" s="11" t="n">
        <v>0.01</v>
      </c>
      <c r="R13" s="11" t="n">
        <v>0.01</v>
      </c>
      <c r="S13" s="11" t="n">
        <v>0</v>
      </c>
      <c r="T13" s="10"/>
      <c r="U13" s="10"/>
      <c r="V13" s="10"/>
      <c r="W13" s="10"/>
      <c r="X13" s="11" t="n">
        <v>0.005</v>
      </c>
      <c r="Y13" s="11" t="n">
        <v>0.003</v>
      </c>
      <c r="Z13" s="3" t="s">
        <v>87</v>
      </c>
      <c r="AA13" s="10"/>
      <c r="AB13" s="9" t="s">
        <v>111</v>
      </c>
      <c r="AC13" s="10"/>
      <c r="AD13" s="10"/>
      <c r="AE13" s="10"/>
      <c r="AF13" s="10"/>
      <c r="AG13" s="10"/>
      <c r="AH13" s="9" t="s">
        <v>88</v>
      </c>
      <c r="AI13" s="3" t="s">
        <v>89</v>
      </c>
    </row>
    <row r="14" customFormat="false" ht="60" hidden="false" customHeight="true" outlineLevel="0" collapsed="false">
      <c r="A14" s="3" t="n">
        <v>13</v>
      </c>
      <c r="B14" s="3" t="n">
        <v>15</v>
      </c>
      <c r="C14" s="9" t="s">
        <v>107</v>
      </c>
      <c r="D14" s="3" t="s">
        <v>25</v>
      </c>
      <c r="E14" s="9" t="s">
        <v>112</v>
      </c>
      <c r="F14" s="10"/>
      <c r="G14" s="10"/>
      <c r="H14" s="10"/>
      <c r="I14" s="10"/>
      <c r="J14" s="10"/>
      <c r="K14" s="9" t="s">
        <v>93</v>
      </c>
      <c r="L14" s="9" t="s">
        <v>94</v>
      </c>
      <c r="M14" s="9" t="s">
        <v>85</v>
      </c>
      <c r="N14" s="10"/>
      <c r="O14" s="10"/>
      <c r="P14" s="9" t="s">
        <v>86</v>
      </c>
      <c r="Q14" s="11" t="n">
        <v>0.014</v>
      </c>
      <c r="R14" s="11" t="n">
        <v>0.014</v>
      </c>
      <c r="S14" s="11" t="n">
        <v>0</v>
      </c>
      <c r="T14" s="10"/>
      <c r="U14" s="10"/>
      <c r="V14" s="10"/>
      <c r="W14" s="10"/>
      <c r="X14" s="11" t="n">
        <v>0.01</v>
      </c>
      <c r="Y14" s="11" t="n">
        <v>0.004</v>
      </c>
      <c r="Z14" s="3" t="s">
        <v>95</v>
      </c>
      <c r="AA14" s="10"/>
      <c r="AB14" s="10"/>
      <c r="AC14" s="10"/>
      <c r="AD14" s="10"/>
      <c r="AE14" s="10"/>
      <c r="AF14" s="10"/>
      <c r="AG14" s="10"/>
      <c r="AH14" s="3"/>
      <c r="AI14" s="3" t="s">
        <v>96</v>
      </c>
    </row>
    <row r="15" customFormat="false" ht="60" hidden="false" customHeight="true" outlineLevel="0" collapsed="false">
      <c r="A15" s="3" t="n">
        <v>14</v>
      </c>
      <c r="B15" s="3" t="n">
        <v>16</v>
      </c>
      <c r="C15" s="9" t="s">
        <v>113</v>
      </c>
      <c r="D15" s="3" t="s">
        <v>33</v>
      </c>
      <c r="E15" s="9" t="s">
        <v>114</v>
      </c>
      <c r="F15" s="10"/>
      <c r="G15" s="10"/>
      <c r="H15" s="10"/>
      <c r="I15" s="10"/>
      <c r="J15" s="10"/>
      <c r="K15" s="9" t="s">
        <v>91</v>
      </c>
      <c r="L15" s="9" t="s">
        <v>84</v>
      </c>
      <c r="M15" s="9" t="s">
        <v>85</v>
      </c>
      <c r="N15" s="10"/>
      <c r="O15" s="10"/>
      <c r="P15" s="9" t="s">
        <v>86</v>
      </c>
      <c r="Q15" s="11" t="n">
        <v>0.04</v>
      </c>
      <c r="R15" s="11" t="n">
        <v>0.04</v>
      </c>
      <c r="S15" s="11" t="n">
        <v>0</v>
      </c>
      <c r="T15" s="10"/>
      <c r="U15" s="10"/>
      <c r="V15" s="10"/>
      <c r="W15" s="10"/>
      <c r="X15" s="11" t="n">
        <v>0.005</v>
      </c>
      <c r="Y15" s="11" t="n">
        <v>0.02</v>
      </c>
      <c r="Z15" s="3" t="s">
        <v>115</v>
      </c>
      <c r="AA15" s="10"/>
      <c r="AB15" s="9" t="s">
        <v>116</v>
      </c>
      <c r="AC15" s="10"/>
      <c r="AD15" s="10"/>
      <c r="AE15" s="10"/>
      <c r="AF15" s="10"/>
      <c r="AG15" s="10"/>
      <c r="AH15" s="3"/>
      <c r="AI15" s="3" t="s">
        <v>89</v>
      </c>
    </row>
    <row r="16" customFormat="false" ht="60" hidden="false" customHeight="true" outlineLevel="0" collapsed="false">
      <c r="A16" s="3" t="n">
        <v>15</v>
      </c>
      <c r="B16" s="3" t="n">
        <v>17</v>
      </c>
      <c r="C16" s="9" t="s">
        <v>117</v>
      </c>
      <c r="D16" s="3" t="s">
        <v>23</v>
      </c>
      <c r="E16" s="9" t="s">
        <v>118</v>
      </c>
      <c r="F16" s="10"/>
      <c r="G16" s="10"/>
      <c r="H16" s="10"/>
      <c r="I16" s="10"/>
      <c r="J16" s="10"/>
      <c r="K16" s="9" t="s">
        <v>83</v>
      </c>
      <c r="L16" s="9" t="s">
        <v>84</v>
      </c>
      <c r="M16" s="9" t="s">
        <v>85</v>
      </c>
      <c r="N16" s="10"/>
      <c r="O16" s="10"/>
      <c r="P16" s="9" t="s">
        <v>86</v>
      </c>
      <c r="Q16" s="11" t="n">
        <v>0.009</v>
      </c>
      <c r="R16" s="11" t="n">
        <v>0.009</v>
      </c>
      <c r="S16" s="11" t="n">
        <v>0</v>
      </c>
      <c r="T16" s="10"/>
      <c r="U16" s="10"/>
      <c r="V16" s="10"/>
      <c r="W16" s="10"/>
      <c r="X16" s="11" t="n">
        <v>0.006</v>
      </c>
      <c r="Y16" s="11" t="n">
        <v>0.003</v>
      </c>
      <c r="Z16" s="3" t="s">
        <v>87</v>
      </c>
      <c r="AA16" s="10"/>
      <c r="AB16" s="10"/>
      <c r="AC16" s="10"/>
      <c r="AD16" s="10"/>
      <c r="AE16" s="10"/>
      <c r="AF16" s="10"/>
      <c r="AG16" s="10"/>
      <c r="AH16" s="9" t="s">
        <v>88</v>
      </c>
      <c r="AI16" s="3" t="s">
        <v>89</v>
      </c>
    </row>
    <row r="17" customFormat="false" ht="60" hidden="false" customHeight="true" outlineLevel="0" collapsed="false">
      <c r="A17" s="3" t="n">
        <v>16</v>
      </c>
      <c r="B17" s="3" t="n">
        <v>18</v>
      </c>
      <c r="C17" s="9" t="s">
        <v>117</v>
      </c>
      <c r="D17" s="3" t="s">
        <v>23</v>
      </c>
      <c r="E17" s="9" t="s">
        <v>105</v>
      </c>
      <c r="F17" s="10"/>
      <c r="G17" s="10"/>
      <c r="H17" s="10"/>
      <c r="I17" s="10"/>
      <c r="J17" s="10"/>
      <c r="K17" s="9" t="s">
        <v>91</v>
      </c>
      <c r="L17" s="9" t="s">
        <v>84</v>
      </c>
      <c r="M17" s="9" t="s">
        <v>85</v>
      </c>
      <c r="N17" s="10"/>
      <c r="O17" s="10"/>
      <c r="P17" s="9" t="s">
        <v>86</v>
      </c>
      <c r="Q17" s="11" t="n">
        <v>0.008</v>
      </c>
      <c r="R17" s="11" t="n">
        <v>0.008</v>
      </c>
      <c r="S17" s="11" t="n">
        <v>0</v>
      </c>
      <c r="T17" s="10"/>
      <c r="U17" s="10"/>
      <c r="V17" s="10"/>
      <c r="W17" s="10"/>
      <c r="X17" s="11" t="n">
        <v>0.005</v>
      </c>
      <c r="Y17" s="11" t="n">
        <v>0.003</v>
      </c>
      <c r="Z17" s="3" t="s">
        <v>87</v>
      </c>
      <c r="AA17" s="10"/>
      <c r="AB17" s="10"/>
      <c r="AC17" s="10"/>
      <c r="AD17" s="10"/>
      <c r="AE17" s="10"/>
      <c r="AF17" s="10"/>
      <c r="AG17" s="10"/>
      <c r="AH17" s="9" t="s">
        <v>88</v>
      </c>
      <c r="AI17" s="3" t="s">
        <v>89</v>
      </c>
    </row>
    <row r="18" customFormat="false" ht="60" hidden="false" customHeight="true" outlineLevel="0" collapsed="false">
      <c r="A18" s="3" t="n">
        <v>17</v>
      </c>
      <c r="B18" s="3" t="n">
        <v>19</v>
      </c>
      <c r="C18" s="9" t="s">
        <v>117</v>
      </c>
      <c r="D18" s="3" t="s">
        <v>25</v>
      </c>
      <c r="E18" s="9" t="s">
        <v>119</v>
      </c>
      <c r="F18" s="10"/>
      <c r="G18" s="10"/>
      <c r="H18" s="10"/>
      <c r="I18" s="10"/>
      <c r="J18" s="10"/>
      <c r="K18" s="9" t="s">
        <v>93</v>
      </c>
      <c r="L18" s="9" t="s">
        <v>94</v>
      </c>
      <c r="M18" s="9" t="s">
        <v>85</v>
      </c>
      <c r="N18" s="10"/>
      <c r="O18" s="10"/>
      <c r="P18" s="9" t="s">
        <v>86</v>
      </c>
      <c r="Q18" s="11" t="n">
        <v>0.013</v>
      </c>
      <c r="R18" s="11" t="n">
        <v>0.013</v>
      </c>
      <c r="S18" s="11" t="n">
        <v>0</v>
      </c>
      <c r="T18" s="10"/>
      <c r="U18" s="10"/>
      <c r="V18" s="10"/>
      <c r="W18" s="10"/>
      <c r="X18" s="11" t="n">
        <v>0.01</v>
      </c>
      <c r="Y18" s="11" t="n">
        <v>0.003</v>
      </c>
      <c r="Z18" s="3" t="s">
        <v>95</v>
      </c>
      <c r="AA18" s="10"/>
      <c r="AB18" s="10"/>
      <c r="AC18" s="10"/>
      <c r="AD18" s="10"/>
      <c r="AE18" s="10"/>
      <c r="AF18" s="10"/>
      <c r="AG18" s="10"/>
      <c r="AH18" s="9" t="s">
        <v>88</v>
      </c>
      <c r="AI18" s="3" t="s">
        <v>96</v>
      </c>
    </row>
    <row r="19" customFormat="false" ht="60" hidden="false" customHeight="true" outlineLevel="0" collapsed="false">
      <c r="A19" s="3" t="n">
        <v>18</v>
      </c>
      <c r="B19" s="3" t="n">
        <v>20</v>
      </c>
      <c r="C19" s="9" t="s">
        <v>120</v>
      </c>
      <c r="D19" s="3" t="s">
        <v>39</v>
      </c>
      <c r="E19" s="9" t="s">
        <v>121</v>
      </c>
      <c r="F19" s="10"/>
      <c r="G19" s="10"/>
      <c r="H19" s="10"/>
      <c r="I19" s="10"/>
      <c r="J19" s="10"/>
      <c r="K19" s="9" t="s">
        <v>83</v>
      </c>
      <c r="L19" s="9" t="s">
        <v>84</v>
      </c>
      <c r="M19" s="9" t="s">
        <v>122</v>
      </c>
      <c r="N19" s="10"/>
      <c r="O19" s="10"/>
      <c r="P19" s="9" t="s">
        <v>123</v>
      </c>
      <c r="Q19" s="11" t="n">
        <v>0.01</v>
      </c>
      <c r="R19" s="11" t="n">
        <v>0.01</v>
      </c>
      <c r="S19" s="11" t="n">
        <v>0</v>
      </c>
      <c r="T19" s="10"/>
      <c r="U19" s="10"/>
      <c r="V19" s="10"/>
      <c r="W19" s="10"/>
      <c r="X19" s="11" t="n">
        <v>0.006</v>
      </c>
      <c r="Y19" s="11" t="n">
        <v>0.004</v>
      </c>
      <c r="Z19" s="3" t="s">
        <v>87</v>
      </c>
      <c r="AA19" s="10"/>
      <c r="AB19" s="10"/>
      <c r="AC19" s="10"/>
      <c r="AD19" s="10"/>
      <c r="AE19" s="10"/>
      <c r="AF19" s="10"/>
      <c r="AG19" s="10"/>
      <c r="AH19" s="9" t="s">
        <v>124</v>
      </c>
      <c r="AI19" s="3" t="s">
        <v>125</v>
      </c>
    </row>
    <row r="20" customFormat="false" ht="60" hidden="false" customHeight="true" outlineLevel="0" collapsed="false">
      <c r="A20" s="3" t="n">
        <v>19</v>
      </c>
      <c r="B20" s="3" t="n">
        <v>21</v>
      </c>
      <c r="C20" s="9" t="s">
        <v>126</v>
      </c>
      <c r="D20" s="3" t="s">
        <v>27</v>
      </c>
      <c r="E20" s="9" t="s">
        <v>127</v>
      </c>
      <c r="F20" s="10"/>
      <c r="G20" s="10"/>
      <c r="H20" s="10"/>
      <c r="I20" s="10"/>
      <c r="J20" s="10"/>
      <c r="K20" s="9" t="s">
        <v>93</v>
      </c>
      <c r="L20" s="9" t="s">
        <v>94</v>
      </c>
      <c r="M20" s="9" t="s">
        <v>85</v>
      </c>
      <c r="N20" s="10"/>
      <c r="O20" s="10"/>
      <c r="P20" s="9" t="s">
        <v>86</v>
      </c>
      <c r="Q20" s="11" t="n">
        <v>0.02</v>
      </c>
      <c r="R20" s="11" t="n">
        <v>0.014</v>
      </c>
      <c r="S20" s="11" t="n">
        <v>0.006</v>
      </c>
      <c r="T20" s="10"/>
      <c r="U20" s="10"/>
      <c r="V20" s="10"/>
      <c r="W20" s="10"/>
      <c r="X20" s="11" t="n">
        <v>0.0085</v>
      </c>
      <c r="Y20" s="11" t="n">
        <v>0.0115</v>
      </c>
      <c r="Z20" s="3" t="s">
        <v>95</v>
      </c>
      <c r="AA20" s="10"/>
      <c r="AB20" s="10"/>
      <c r="AC20" s="10"/>
      <c r="AD20" s="10"/>
      <c r="AE20" s="10"/>
      <c r="AF20" s="10"/>
      <c r="AG20" s="10"/>
      <c r="AH20" s="9" t="s">
        <v>128</v>
      </c>
      <c r="AI20" s="3"/>
    </row>
    <row r="21" customFormat="false" ht="60" hidden="false" customHeight="true" outlineLevel="0" collapsed="false">
      <c r="A21" s="3" t="n">
        <v>20</v>
      </c>
      <c r="B21" s="3" t="n">
        <v>22</v>
      </c>
      <c r="C21" s="9" t="s">
        <v>126</v>
      </c>
      <c r="D21" s="3" t="s">
        <v>27</v>
      </c>
      <c r="E21" s="9" t="s">
        <v>127</v>
      </c>
      <c r="F21" s="10"/>
      <c r="G21" s="10"/>
      <c r="H21" s="10"/>
      <c r="I21" s="10"/>
      <c r="J21" s="10"/>
      <c r="K21" s="9" t="s">
        <v>83</v>
      </c>
      <c r="L21" s="9" t="s">
        <v>84</v>
      </c>
      <c r="M21" s="9" t="s">
        <v>85</v>
      </c>
      <c r="N21" s="10"/>
      <c r="O21" s="10"/>
      <c r="P21" s="9" t="s">
        <v>86</v>
      </c>
      <c r="Q21" s="11" t="n">
        <v>0.02</v>
      </c>
      <c r="R21" s="11" t="n">
        <v>0.014</v>
      </c>
      <c r="S21" s="11" t="n">
        <v>0.006</v>
      </c>
      <c r="T21" s="10"/>
      <c r="U21" s="10"/>
      <c r="V21" s="10"/>
      <c r="W21" s="10"/>
      <c r="X21" s="11" t="n">
        <v>0.0085</v>
      </c>
      <c r="Y21" s="11" t="n">
        <v>0.0115</v>
      </c>
      <c r="Z21" s="3" t="s">
        <v>115</v>
      </c>
      <c r="AA21" s="10"/>
      <c r="AB21" s="10"/>
      <c r="AC21" s="10"/>
      <c r="AD21" s="10"/>
      <c r="AE21" s="10"/>
      <c r="AF21" s="10"/>
      <c r="AG21" s="10"/>
      <c r="AH21" s="9" t="s">
        <v>128</v>
      </c>
      <c r="AI21" s="3" t="s">
        <v>89</v>
      </c>
    </row>
    <row r="22" customFormat="false" ht="60" hidden="false" customHeight="true" outlineLevel="0" collapsed="false">
      <c r="A22" s="3" t="n">
        <v>21</v>
      </c>
      <c r="B22" s="3" t="n">
        <v>23</v>
      </c>
      <c r="C22" s="9" t="s">
        <v>129</v>
      </c>
      <c r="D22" s="3" t="s">
        <v>27</v>
      </c>
      <c r="E22" s="9" t="s">
        <v>130</v>
      </c>
      <c r="F22" s="10"/>
      <c r="G22" s="10"/>
      <c r="H22" s="10"/>
      <c r="I22" s="10"/>
      <c r="J22" s="10"/>
      <c r="K22" s="9" t="s">
        <v>93</v>
      </c>
      <c r="L22" s="9" t="s">
        <v>94</v>
      </c>
      <c r="M22" s="9" t="s">
        <v>85</v>
      </c>
      <c r="N22" s="10"/>
      <c r="O22" s="10"/>
      <c r="P22" s="9" t="s">
        <v>86</v>
      </c>
      <c r="Q22" s="11" t="n">
        <v>0.016</v>
      </c>
      <c r="R22" s="11" t="n">
        <v>0.01</v>
      </c>
      <c r="S22" s="11" t="n">
        <v>0.006</v>
      </c>
      <c r="T22" s="10"/>
      <c r="U22" s="10"/>
      <c r="V22" s="10"/>
      <c r="W22" s="10"/>
      <c r="X22" s="11" t="n">
        <v>0.0075</v>
      </c>
      <c r="Y22" s="11" t="n">
        <v>0.0085</v>
      </c>
      <c r="Z22" s="3" t="s">
        <v>95</v>
      </c>
      <c r="AA22" s="10"/>
      <c r="AB22" s="10"/>
      <c r="AC22" s="10"/>
      <c r="AD22" s="10"/>
      <c r="AE22" s="10"/>
      <c r="AF22" s="10"/>
      <c r="AG22" s="10"/>
      <c r="AH22" s="9" t="s">
        <v>131</v>
      </c>
      <c r="AI22" s="3"/>
    </row>
    <row r="23" customFormat="false" ht="60" hidden="false" customHeight="true" outlineLevel="0" collapsed="false">
      <c r="A23" s="3" t="n">
        <v>22</v>
      </c>
      <c r="B23" s="3" t="n">
        <v>24</v>
      </c>
      <c r="C23" s="9" t="s">
        <v>129</v>
      </c>
      <c r="D23" s="3" t="s">
        <v>27</v>
      </c>
      <c r="E23" s="9" t="s">
        <v>132</v>
      </c>
      <c r="F23" s="10"/>
      <c r="G23" s="10"/>
      <c r="H23" s="10"/>
      <c r="I23" s="10"/>
      <c r="J23" s="10"/>
      <c r="K23" s="9" t="s">
        <v>83</v>
      </c>
      <c r="L23" s="9" t="s">
        <v>84</v>
      </c>
      <c r="M23" s="9" t="s">
        <v>85</v>
      </c>
      <c r="N23" s="10"/>
      <c r="O23" s="10"/>
      <c r="P23" s="9" t="s">
        <v>86</v>
      </c>
      <c r="Q23" s="11" t="n">
        <v>0.016</v>
      </c>
      <c r="R23" s="11" t="n">
        <v>0.01</v>
      </c>
      <c r="S23" s="11" t="n">
        <v>0.006</v>
      </c>
      <c r="T23" s="10"/>
      <c r="U23" s="10"/>
      <c r="V23" s="10"/>
      <c r="W23" s="10"/>
      <c r="X23" s="11" t="n">
        <v>0.0075</v>
      </c>
      <c r="Y23" s="11" t="n">
        <v>0.0085</v>
      </c>
      <c r="Z23" s="3" t="s">
        <v>115</v>
      </c>
      <c r="AA23" s="10"/>
      <c r="AB23" s="10"/>
      <c r="AC23" s="10"/>
      <c r="AD23" s="10"/>
      <c r="AE23" s="10"/>
      <c r="AF23" s="10"/>
      <c r="AG23" s="10"/>
      <c r="AH23" s="9" t="s">
        <v>131</v>
      </c>
      <c r="AI23" s="3" t="s">
        <v>89</v>
      </c>
    </row>
    <row r="24" customFormat="false" ht="60" hidden="false" customHeight="true" outlineLevel="0" collapsed="false">
      <c r="A24" s="3" t="n">
        <v>23</v>
      </c>
      <c r="B24" s="3" t="n">
        <v>25</v>
      </c>
      <c r="C24" s="9" t="s">
        <v>133</v>
      </c>
      <c r="D24" s="3" t="s">
        <v>29</v>
      </c>
      <c r="E24" s="9" t="s">
        <v>134</v>
      </c>
      <c r="F24" s="10"/>
      <c r="G24" s="10"/>
      <c r="H24" s="10"/>
      <c r="I24" s="10"/>
      <c r="J24" s="10"/>
      <c r="K24" s="9" t="s">
        <v>93</v>
      </c>
      <c r="L24" s="9" t="s">
        <v>94</v>
      </c>
      <c r="M24" s="9" t="s">
        <v>135</v>
      </c>
      <c r="N24" s="10"/>
      <c r="O24" s="10"/>
      <c r="P24" s="9" t="s">
        <v>123</v>
      </c>
      <c r="Q24" s="11" t="n">
        <v>0.0675</v>
      </c>
      <c r="R24" s="11" t="n">
        <v>0.0675</v>
      </c>
      <c r="S24" s="11" t="n">
        <v>0</v>
      </c>
      <c r="T24" s="10"/>
      <c r="U24" s="10"/>
      <c r="V24" s="10"/>
      <c r="W24" s="10"/>
      <c r="X24" s="11" t="n">
        <v>0.035</v>
      </c>
      <c r="Y24" s="11" t="n">
        <v>0.01</v>
      </c>
      <c r="Z24" s="3" t="s">
        <v>95</v>
      </c>
      <c r="AA24" s="10"/>
      <c r="AB24" s="10"/>
      <c r="AC24" s="10"/>
      <c r="AD24" s="10"/>
      <c r="AE24" s="10"/>
      <c r="AF24" s="10"/>
      <c r="AG24" s="10"/>
      <c r="AH24" s="9" t="s">
        <v>136</v>
      </c>
      <c r="AI24" s="3"/>
    </row>
    <row r="25" customFormat="false" ht="60" hidden="false" customHeight="true" outlineLevel="0" collapsed="false">
      <c r="A25" s="3" t="n">
        <v>24</v>
      </c>
      <c r="B25" s="3" t="n">
        <v>26</v>
      </c>
      <c r="C25" s="9" t="s">
        <v>137</v>
      </c>
      <c r="D25" s="3" t="s">
        <v>29</v>
      </c>
      <c r="E25" s="9" t="s">
        <v>138</v>
      </c>
      <c r="F25" s="10"/>
      <c r="G25" s="10"/>
      <c r="H25" s="10"/>
      <c r="I25" s="10"/>
      <c r="J25" s="10"/>
      <c r="K25" s="9" t="s">
        <v>93</v>
      </c>
      <c r="L25" s="9" t="s">
        <v>94</v>
      </c>
      <c r="M25" s="9" t="s">
        <v>139</v>
      </c>
      <c r="N25" s="10"/>
      <c r="O25" s="10"/>
      <c r="P25" s="9" t="s">
        <v>86</v>
      </c>
      <c r="Q25" s="11" t="n">
        <v>0.032</v>
      </c>
      <c r="R25" s="11" t="n">
        <v>0.032</v>
      </c>
      <c r="S25" s="11" t="n">
        <v>0</v>
      </c>
      <c r="T25" s="10"/>
      <c r="U25" s="10"/>
      <c r="V25" s="10"/>
      <c r="W25" s="10"/>
      <c r="X25" s="11" t="n">
        <v>0.015</v>
      </c>
      <c r="Y25" s="11" t="n">
        <v>0.007</v>
      </c>
      <c r="Z25" s="3" t="s">
        <v>95</v>
      </c>
      <c r="AA25" s="10"/>
      <c r="AB25" s="10"/>
      <c r="AC25" s="10"/>
      <c r="AD25" s="10"/>
      <c r="AE25" s="10"/>
      <c r="AF25" s="10"/>
      <c r="AG25" s="10"/>
      <c r="AH25" s="9" t="s">
        <v>140</v>
      </c>
      <c r="AI25" s="3"/>
    </row>
    <row r="26" customFormat="false" ht="60" hidden="false" customHeight="true" outlineLevel="0" collapsed="false">
      <c r="A26" s="3" t="n">
        <v>25</v>
      </c>
      <c r="B26" s="3" t="n">
        <v>27</v>
      </c>
      <c r="C26" s="9" t="s">
        <v>141</v>
      </c>
      <c r="D26" s="3" t="s">
        <v>45</v>
      </c>
      <c r="E26" s="10"/>
      <c r="F26" s="10"/>
      <c r="G26" s="10"/>
      <c r="H26" s="10"/>
      <c r="I26" s="10"/>
      <c r="J26" s="10"/>
      <c r="K26" s="9" t="s">
        <v>93</v>
      </c>
      <c r="L26" s="9" t="s">
        <v>94</v>
      </c>
      <c r="M26" s="9" t="s">
        <v>142</v>
      </c>
      <c r="N26" s="10"/>
      <c r="O26" s="10"/>
      <c r="P26" s="9" t="s">
        <v>86</v>
      </c>
      <c r="Q26" s="11" t="n">
        <v>0.028</v>
      </c>
      <c r="R26" s="11" t="n">
        <v>0.028</v>
      </c>
      <c r="S26" s="11" t="n">
        <v>0</v>
      </c>
      <c r="T26" s="10"/>
      <c r="U26" s="10"/>
      <c r="V26" s="10"/>
      <c r="W26" s="10"/>
      <c r="X26" s="9" t="s">
        <v>143</v>
      </c>
      <c r="Y26" s="9" t="s">
        <v>143</v>
      </c>
      <c r="Z26" s="3" t="s">
        <v>95</v>
      </c>
      <c r="AA26" s="10"/>
      <c r="AB26" s="10"/>
      <c r="AC26" s="10"/>
      <c r="AD26" s="10"/>
      <c r="AE26" s="10"/>
      <c r="AF26" s="10"/>
      <c r="AG26" s="10"/>
      <c r="AH26" s="9" t="s">
        <v>144</v>
      </c>
      <c r="AI26" s="3" t="s">
        <v>145</v>
      </c>
    </row>
    <row r="27" customFormat="false" ht="60" hidden="false" customHeight="true" outlineLevel="0" collapsed="false">
      <c r="A27" s="3" t="n">
        <v>26</v>
      </c>
      <c r="B27" s="3" t="n">
        <v>28</v>
      </c>
      <c r="C27" s="9" t="s">
        <v>146</v>
      </c>
      <c r="D27" s="3" t="s">
        <v>41</v>
      </c>
      <c r="E27" s="10"/>
      <c r="F27" s="10"/>
      <c r="G27" s="10"/>
      <c r="H27" s="10"/>
      <c r="I27" s="10"/>
      <c r="J27" s="10"/>
      <c r="K27" s="9" t="s">
        <v>93</v>
      </c>
      <c r="L27" s="9" t="s">
        <v>94</v>
      </c>
      <c r="M27" s="9" t="s">
        <v>147</v>
      </c>
      <c r="N27" s="10"/>
      <c r="O27" s="10"/>
      <c r="P27" s="9" t="s">
        <v>86</v>
      </c>
      <c r="Q27" s="11" t="n">
        <v>0.055</v>
      </c>
      <c r="R27" s="11" t="n">
        <v>0.055</v>
      </c>
      <c r="S27" s="11" t="n">
        <v>0</v>
      </c>
      <c r="T27" s="10"/>
      <c r="U27" s="10"/>
      <c r="V27" s="10"/>
      <c r="W27" s="10"/>
      <c r="X27" s="9" t="s">
        <v>143</v>
      </c>
      <c r="Y27" s="9" t="s">
        <v>143</v>
      </c>
      <c r="Z27" s="3" t="s">
        <v>95</v>
      </c>
      <c r="AA27" s="10"/>
      <c r="AB27" s="10"/>
      <c r="AC27" s="10"/>
      <c r="AD27" s="10"/>
      <c r="AE27" s="10"/>
      <c r="AF27" s="10"/>
      <c r="AG27" s="10"/>
      <c r="AH27" s="9" t="s">
        <v>148</v>
      </c>
      <c r="AI27" s="3" t="s">
        <v>145</v>
      </c>
    </row>
    <row r="28" customFormat="false" ht="60" hidden="false" customHeight="true" outlineLevel="0" collapsed="false">
      <c r="A28" s="3" t="n">
        <v>27</v>
      </c>
      <c r="B28" s="3" t="n">
        <v>29</v>
      </c>
      <c r="C28" s="9" t="s">
        <v>149</v>
      </c>
      <c r="D28" s="3" t="s">
        <v>29</v>
      </c>
      <c r="E28" s="9" t="s">
        <v>150</v>
      </c>
      <c r="F28" s="10"/>
      <c r="G28" s="10"/>
      <c r="H28" s="10"/>
      <c r="I28" s="10"/>
      <c r="J28" s="10"/>
      <c r="K28" s="9" t="s">
        <v>93</v>
      </c>
      <c r="L28" s="9" t="s">
        <v>94</v>
      </c>
      <c r="M28" s="9" t="s">
        <v>151</v>
      </c>
      <c r="N28" s="10"/>
      <c r="O28" s="10"/>
      <c r="P28" s="9" t="s">
        <v>123</v>
      </c>
      <c r="Q28" s="11" t="n">
        <v>0.07</v>
      </c>
      <c r="R28" s="11" t="n">
        <v>0.07</v>
      </c>
      <c r="S28" s="11" t="n">
        <v>0</v>
      </c>
      <c r="T28" s="10"/>
      <c r="U28" s="10"/>
      <c r="V28" s="10"/>
      <c r="W28" s="10"/>
      <c r="X28" s="11" t="n">
        <v>0.0525</v>
      </c>
      <c r="Y28" s="11" t="n">
        <v>0.0175</v>
      </c>
      <c r="Z28" s="3" t="s">
        <v>95</v>
      </c>
      <c r="AA28" s="10"/>
      <c r="AB28" s="10"/>
      <c r="AC28" s="10"/>
      <c r="AD28" s="10"/>
      <c r="AE28" s="10"/>
      <c r="AF28" s="10"/>
      <c r="AG28" s="10"/>
      <c r="AH28" s="9" t="s">
        <v>152</v>
      </c>
      <c r="AI28" s="3"/>
    </row>
    <row r="29" customFormat="false" ht="60" hidden="false" customHeight="true" outlineLevel="0" collapsed="false">
      <c r="A29" s="3" t="n">
        <v>28</v>
      </c>
      <c r="B29" s="3" t="n">
        <v>30</v>
      </c>
      <c r="C29" s="9" t="s">
        <v>153</v>
      </c>
      <c r="D29" s="3" t="s">
        <v>25</v>
      </c>
      <c r="E29" s="9" t="s">
        <v>154</v>
      </c>
      <c r="F29" s="10"/>
      <c r="G29" s="10"/>
      <c r="H29" s="10"/>
      <c r="I29" s="10"/>
      <c r="J29" s="10"/>
      <c r="K29" s="9" t="s">
        <v>93</v>
      </c>
      <c r="L29" s="9" t="s">
        <v>94</v>
      </c>
      <c r="M29" s="9" t="s">
        <v>155</v>
      </c>
      <c r="N29" s="10"/>
      <c r="O29" s="10"/>
      <c r="P29" s="9" t="s">
        <v>86</v>
      </c>
      <c r="Q29" s="11" t="n">
        <v>0.015</v>
      </c>
      <c r="R29" s="11" t="n">
        <v>0.015</v>
      </c>
      <c r="S29" s="11" t="n">
        <v>0</v>
      </c>
      <c r="T29" s="10"/>
      <c r="U29" s="10"/>
      <c r="V29" s="10"/>
      <c r="W29" s="10"/>
      <c r="X29" s="11" t="n">
        <v>0.004</v>
      </c>
      <c r="Y29" s="11" t="n">
        <v>0.011</v>
      </c>
      <c r="Z29" s="3" t="s">
        <v>95</v>
      </c>
      <c r="AA29" s="10"/>
      <c r="AB29" s="10"/>
      <c r="AC29" s="10"/>
      <c r="AD29" s="10"/>
      <c r="AE29" s="10"/>
      <c r="AF29" s="10"/>
      <c r="AG29" s="10"/>
      <c r="AH29" s="9" t="s">
        <v>88</v>
      </c>
      <c r="AI29" s="3" t="s">
        <v>96</v>
      </c>
    </row>
    <row r="30" customFormat="false" ht="60" hidden="false" customHeight="true" outlineLevel="0" collapsed="false">
      <c r="A30" s="3" t="n">
        <v>29</v>
      </c>
      <c r="B30" s="3" t="n">
        <v>31</v>
      </c>
      <c r="C30" s="9" t="s">
        <v>156</v>
      </c>
      <c r="D30" s="3" t="s">
        <v>25</v>
      </c>
      <c r="E30" s="9" t="s">
        <v>157</v>
      </c>
      <c r="F30" s="10"/>
      <c r="G30" s="10"/>
      <c r="H30" s="10"/>
      <c r="I30" s="10"/>
      <c r="J30" s="10"/>
      <c r="K30" s="9" t="s">
        <v>93</v>
      </c>
      <c r="L30" s="9" t="s">
        <v>94</v>
      </c>
      <c r="M30" s="9" t="s">
        <v>158</v>
      </c>
      <c r="N30" s="10"/>
      <c r="O30" s="10"/>
      <c r="P30" s="9" t="s">
        <v>86</v>
      </c>
      <c r="Q30" s="11" t="n">
        <v>0.0225</v>
      </c>
      <c r="R30" s="11" t="n">
        <v>0.0225</v>
      </c>
      <c r="S30" s="11" t="n">
        <v>0</v>
      </c>
      <c r="T30" s="10"/>
      <c r="U30" s="10"/>
      <c r="V30" s="10"/>
      <c r="W30" s="10"/>
      <c r="X30" s="11" t="n">
        <v>0.0122</v>
      </c>
      <c r="Y30" s="11" t="n">
        <v>0.0103</v>
      </c>
      <c r="Z30" s="3" t="s">
        <v>95</v>
      </c>
      <c r="AA30" s="10"/>
      <c r="AB30" s="10"/>
      <c r="AC30" s="10"/>
      <c r="AD30" s="10"/>
      <c r="AE30" s="10"/>
      <c r="AF30" s="10"/>
      <c r="AG30" s="10"/>
      <c r="AH30" s="9" t="s">
        <v>88</v>
      </c>
      <c r="AI30" s="3" t="s">
        <v>96</v>
      </c>
    </row>
    <row r="31" customFormat="false" ht="60" hidden="false" customHeight="true" outlineLevel="0" collapsed="false">
      <c r="A31" s="3" t="n">
        <v>30</v>
      </c>
      <c r="B31" s="3" t="n">
        <v>32</v>
      </c>
      <c r="C31" s="9" t="s">
        <v>159</v>
      </c>
      <c r="D31" s="3" t="s">
        <v>31</v>
      </c>
      <c r="E31" s="9" t="s">
        <v>160</v>
      </c>
      <c r="F31" s="10"/>
      <c r="G31" s="10"/>
      <c r="H31" s="10"/>
      <c r="I31" s="10"/>
      <c r="J31" s="10"/>
      <c r="K31" s="9" t="s">
        <v>93</v>
      </c>
      <c r="L31" s="9" t="s">
        <v>94</v>
      </c>
      <c r="M31" s="9" t="s">
        <v>155</v>
      </c>
      <c r="N31" s="10"/>
      <c r="O31" s="10"/>
      <c r="P31" s="9" t="s">
        <v>86</v>
      </c>
      <c r="Q31" s="11" t="n">
        <v>0.025</v>
      </c>
      <c r="R31" s="11" t="n">
        <v>0.025</v>
      </c>
      <c r="S31" s="11" t="n">
        <v>0</v>
      </c>
      <c r="T31" s="10"/>
      <c r="U31" s="10"/>
      <c r="V31" s="10"/>
      <c r="W31" s="10"/>
      <c r="X31" s="11" t="n">
        <v>0.004</v>
      </c>
      <c r="Y31" s="11" t="n">
        <v>0.021</v>
      </c>
      <c r="Z31" s="3" t="s">
        <v>95</v>
      </c>
      <c r="AA31" s="10"/>
      <c r="AB31" s="10"/>
      <c r="AC31" s="10"/>
      <c r="AD31" s="10"/>
      <c r="AE31" s="10"/>
      <c r="AF31" s="10"/>
      <c r="AG31" s="10"/>
      <c r="AH31" s="3"/>
      <c r="AI31" s="3"/>
    </row>
    <row r="32" customFormat="false" ht="60" hidden="false" customHeight="true" outlineLevel="0" collapsed="false">
      <c r="A32" s="3" t="n">
        <v>31</v>
      </c>
      <c r="B32" s="3" t="n">
        <v>33</v>
      </c>
      <c r="C32" s="9" t="s">
        <v>161</v>
      </c>
      <c r="D32" s="3" t="s">
        <v>31</v>
      </c>
      <c r="E32" s="9" t="s">
        <v>162</v>
      </c>
      <c r="F32" s="10"/>
      <c r="G32" s="10"/>
      <c r="H32" s="10"/>
      <c r="I32" s="10"/>
      <c r="J32" s="10"/>
      <c r="K32" s="9" t="s">
        <v>93</v>
      </c>
      <c r="L32" s="9" t="s">
        <v>94</v>
      </c>
      <c r="M32" s="9" t="s">
        <v>155</v>
      </c>
      <c r="N32" s="10"/>
      <c r="O32" s="10"/>
      <c r="P32" s="9" t="s">
        <v>86</v>
      </c>
      <c r="Q32" s="11" t="n">
        <v>0.0225</v>
      </c>
      <c r="R32" s="11" t="n">
        <v>0.0225</v>
      </c>
      <c r="S32" s="11" t="n">
        <v>0</v>
      </c>
      <c r="T32" s="10"/>
      <c r="U32" s="10"/>
      <c r="V32" s="10"/>
      <c r="W32" s="10"/>
      <c r="X32" s="11" t="n">
        <v>0.004</v>
      </c>
      <c r="Y32" s="11" t="n">
        <v>0.0185</v>
      </c>
      <c r="Z32" s="3" t="s">
        <v>95</v>
      </c>
      <c r="AA32" s="10"/>
      <c r="AB32" s="10"/>
      <c r="AC32" s="10"/>
      <c r="AD32" s="10"/>
      <c r="AE32" s="10"/>
      <c r="AF32" s="10"/>
      <c r="AG32" s="10"/>
      <c r="AH32" s="9" t="s">
        <v>163</v>
      </c>
      <c r="AI32" s="3"/>
    </row>
    <row r="33" customFormat="false" ht="60" hidden="false" customHeight="true" outlineLevel="0" collapsed="false">
      <c r="A33" s="3" t="n">
        <v>32</v>
      </c>
      <c r="B33" s="3" t="n">
        <v>34</v>
      </c>
      <c r="C33" s="9" t="s">
        <v>164</v>
      </c>
      <c r="D33" s="3" t="s">
        <v>29</v>
      </c>
      <c r="E33" s="9" t="s">
        <v>165</v>
      </c>
      <c r="F33" s="10"/>
      <c r="G33" s="10"/>
      <c r="H33" s="10"/>
      <c r="I33" s="10"/>
      <c r="J33" s="10"/>
      <c r="K33" s="9" t="s">
        <v>93</v>
      </c>
      <c r="L33" s="9" t="s">
        <v>94</v>
      </c>
      <c r="M33" s="9" t="s">
        <v>166</v>
      </c>
      <c r="N33" s="10"/>
      <c r="O33" s="10"/>
      <c r="P33" s="9" t="s">
        <v>123</v>
      </c>
      <c r="Q33" s="11" t="n">
        <v>0.01</v>
      </c>
      <c r="R33" s="11" t="n">
        <v>0.01</v>
      </c>
      <c r="S33" s="11" t="n">
        <v>0</v>
      </c>
      <c r="T33" s="10"/>
      <c r="U33" s="10"/>
      <c r="V33" s="10"/>
      <c r="W33" s="10"/>
      <c r="X33" s="11" t="n">
        <v>0.0065</v>
      </c>
      <c r="Y33" s="11" t="n">
        <v>0.0035</v>
      </c>
      <c r="Z33" s="3" t="s">
        <v>95</v>
      </c>
      <c r="AA33" s="10"/>
      <c r="AB33" s="10"/>
      <c r="AC33" s="10"/>
      <c r="AD33" s="10"/>
      <c r="AE33" s="10"/>
      <c r="AF33" s="10"/>
      <c r="AG33" s="10"/>
      <c r="AH33" s="9" t="s">
        <v>167</v>
      </c>
      <c r="AI33" s="3" t="s">
        <v>168</v>
      </c>
    </row>
    <row r="34" customFormat="false" ht="60" hidden="false" customHeight="true" outlineLevel="0" collapsed="false">
      <c r="A34" s="3" t="n">
        <v>33</v>
      </c>
      <c r="B34" s="3" t="n">
        <v>35</v>
      </c>
      <c r="C34" s="9" t="s">
        <v>169</v>
      </c>
      <c r="D34" s="3" t="s">
        <v>25</v>
      </c>
      <c r="E34" s="9" t="s">
        <v>170</v>
      </c>
      <c r="F34" s="10"/>
      <c r="G34" s="10"/>
      <c r="H34" s="10"/>
      <c r="I34" s="10"/>
      <c r="J34" s="10"/>
      <c r="K34" s="9" t="s">
        <v>93</v>
      </c>
      <c r="L34" s="9" t="s">
        <v>94</v>
      </c>
      <c r="M34" s="9" t="s">
        <v>155</v>
      </c>
      <c r="N34" s="10"/>
      <c r="O34" s="10"/>
      <c r="P34" s="9" t="s">
        <v>86</v>
      </c>
      <c r="Q34" s="11" t="n">
        <v>0.009</v>
      </c>
      <c r="R34" s="11" t="n">
        <v>0.009</v>
      </c>
      <c r="S34" s="11" t="n">
        <v>0</v>
      </c>
      <c r="T34" s="10"/>
      <c r="U34" s="10"/>
      <c r="V34" s="10"/>
      <c r="W34" s="10"/>
      <c r="X34" s="11" t="n">
        <v>0.004</v>
      </c>
      <c r="Y34" s="11" t="n">
        <v>0.005</v>
      </c>
      <c r="Z34" s="3" t="s">
        <v>95</v>
      </c>
      <c r="AA34" s="10"/>
      <c r="AB34" s="10"/>
      <c r="AC34" s="10"/>
      <c r="AD34" s="10"/>
      <c r="AE34" s="10"/>
      <c r="AF34" s="10"/>
      <c r="AG34" s="10"/>
      <c r="AH34" s="9" t="s">
        <v>88</v>
      </c>
      <c r="AI34" s="3" t="s">
        <v>96</v>
      </c>
    </row>
    <row r="35" customFormat="false" ht="60" hidden="false" customHeight="true" outlineLevel="0" collapsed="false">
      <c r="A35" s="3" t="n">
        <v>34</v>
      </c>
      <c r="B35" s="3" t="n">
        <v>36</v>
      </c>
      <c r="C35" s="9" t="s">
        <v>171</v>
      </c>
      <c r="D35" s="3" t="s">
        <v>29</v>
      </c>
      <c r="E35" s="9" t="s">
        <v>172</v>
      </c>
      <c r="F35" s="10"/>
      <c r="G35" s="10"/>
      <c r="H35" s="10"/>
      <c r="I35" s="10"/>
      <c r="J35" s="10"/>
      <c r="K35" s="9" t="s">
        <v>93</v>
      </c>
      <c r="L35" s="9" t="s">
        <v>94</v>
      </c>
      <c r="M35" s="9" t="s">
        <v>173</v>
      </c>
      <c r="N35" s="10"/>
      <c r="O35" s="10"/>
      <c r="P35" s="9" t="s">
        <v>123</v>
      </c>
      <c r="Q35" s="11" t="n">
        <v>0.0075</v>
      </c>
      <c r="R35" s="11" t="n">
        <v>0.0075</v>
      </c>
      <c r="S35" s="11" t="n">
        <v>0</v>
      </c>
      <c r="T35" s="10"/>
      <c r="U35" s="10"/>
      <c r="V35" s="10"/>
      <c r="W35" s="10"/>
      <c r="X35" s="11" t="n">
        <v>0.004</v>
      </c>
      <c r="Y35" s="11" t="n">
        <v>0.0035</v>
      </c>
      <c r="Z35" s="3" t="s">
        <v>95</v>
      </c>
      <c r="AA35" s="10"/>
      <c r="AB35" s="10"/>
      <c r="AC35" s="10"/>
      <c r="AD35" s="10"/>
      <c r="AE35" s="10"/>
      <c r="AF35" s="10"/>
      <c r="AG35" s="10"/>
      <c r="AH35" s="9" t="s">
        <v>174</v>
      </c>
      <c r="AI35" s="3" t="s">
        <v>168</v>
      </c>
    </row>
    <row r="36" customFormat="false" ht="60" hidden="false" customHeight="true" outlineLevel="0" collapsed="false">
      <c r="A36" s="3" t="n">
        <v>35</v>
      </c>
      <c r="B36" s="3" t="n">
        <v>37</v>
      </c>
      <c r="C36" s="9" t="s">
        <v>175</v>
      </c>
      <c r="D36" s="3" t="s">
        <v>37</v>
      </c>
      <c r="E36" s="9" t="s">
        <v>176</v>
      </c>
      <c r="F36" s="10"/>
      <c r="G36" s="10"/>
      <c r="H36" s="10"/>
      <c r="I36" s="10"/>
      <c r="J36" s="10"/>
      <c r="K36" s="9" t="s">
        <v>93</v>
      </c>
      <c r="L36" s="9" t="s">
        <v>94</v>
      </c>
      <c r="M36" s="9" t="s">
        <v>177</v>
      </c>
      <c r="N36" s="10"/>
      <c r="O36" s="10"/>
      <c r="P36" s="9" t="s">
        <v>86</v>
      </c>
      <c r="Q36" s="11" t="n">
        <v>0.02</v>
      </c>
      <c r="R36" s="11" t="n">
        <v>0.02</v>
      </c>
      <c r="S36" s="11" t="n">
        <v>0</v>
      </c>
      <c r="T36" s="10"/>
      <c r="U36" s="10"/>
      <c r="V36" s="10"/>
      <c r="W36" s="10"/>
      <c r="X36" s="11" t="n">
        <v>0.005</v>
      </c>
      <c r="Y36" s="11" t="n">
        <v>0.015</v>
      </c>
      <c r="Z36" s="3" t="s">
        <v>95</v>
      </c>
      <c r="AA36" s="10"/>
      <c r="AB36" s="10"/>
      <c r="AC36" s="10"/>
      <c r="AD36" s="10"/>
      <c r="AE36" s="10"/>
      <c r="AF36" s="10"/>
      <c r="AG36" s="10"/>
      <c r="AH36" s="9" t="s">
        <v>178</v>
      </c>
      <c r="AI36" s="3"/>
    </row>
    <row r="37" customFormat="false" ht="60" hidden="false" customHeight="true" outlineLevel="0" collapsed="false">
      <c r="A37" s="3" t="n">
        <v>36</v>
      </c>
      <c r="B37" s="3" t="n">
        <v>38</v>
      </c>
      <c r="C37" s="9" t="s">
        <v>179</v>
      </c>
      <c r="D37" s="3" t="s">
        <v>35</v>
      </c>
      <c r="E37" s="9" t="s">
        <v>180</v>
      </c>
      <c r="F37" s="10"/>
      <c r="G37" s="10"/>
      <c r="H37" s="10"/>
      <c r="I37" s="10"/>
      <c r="J37" s="10"/>
      <c r="K37" s="9" t="s">
        <v>181</v>
      </c>
      <c r="L37" s="9" t="s">
        <v>182</v>
      </c>
      <c r="M37" s="9" t="s">
        <v>85</v>
      </c>
      <c r="N37" s="10"/>
      <c r="O37" s="10"/>
      <c r="P37" s="9" t="s">
        <v>86</v>
      </c>
      <c r="Q37" s="11" t="n">
        <v>0.02</v>
      </c>
      <c r="R37" s="11" t="n">
        <v>0.02</v>
      </c>
      <c r="S37" s="11" t="n">
        <v>0</v>
      </c>
      <c r="T37" s="10"/>
      <c r="U37" s="10"/>
      <c r="V37" s="10"/>
      <c r="W37" s="10"/>
      <c r="X37" s="11" t="n">
        <v>0</v>
      </c>
      <c r="Y37" s="11" t="n">
        <v>0.02</v>
      </c>
      <c r="Z37" s="3" t="s">
        <v>183</v>
      </c>
      <c r="AA37" s="10"/>
      <c r="AB37" s="10"/>
      <c r="AC37" s="10"/>
      <c r="AD37" s="10"/>
      <c r="AE37" s="10"/>
      <c r="AF37" s="10"/>
      <c r="AG37" s="10"/>
      <c r="AH37" s="9" t="s">
        <v>184</v>
      </c>
      <c r="AI37" s="3"/>
    </row>
    <row r="38" customFormat="false" ht="60" hidden="false" customHeight="true" outlineLevel="0" collapsed="false">
      <c r="A38" s="3" t="n">
        <v>37</v>
      </c>
      <c r="B38" s="3" t="n">
        <v>39</v>
      </c>
      <c r="C38" s="9" t="s">
        <v>185</v>
      </c>
      <c r="D38" s="3" t="s">
        <v>35</v>
      </c>
      <c r="E38" s="9" t="s">
        <v>186</v>
      </c>
      <c r="F38" s="10"/>
      <c r="G38" s="10"/>
      <c r="H38" s="10"/>
      <c r="I38" s="10"/>
      <c r="J38" s="10"/>
      <c r="K38" s="9" t="s">
        <v>181</v>
      </c>
      <c r="L38" s="9" t="s">
        <v>182</v>
      </c>
      <c r="M38" s="9" t="s">
        <v>85</v>
      </c>
      <c r="N38" s="10"/>
      <c r="O38" s="10"/>
      <c r="P38" s="9" t="s">
        <v>86</v>
      </c>
      <c r="Q38" s="11" t="n">
        <v>0.0075</v>
      </c>
      <c r="R38" s="11" t="n">
        <v>0.0075</v>
      </c>
      <c r="S38" s="11" t="n">
        <v>0</v>
      </c>
      <c r="T38" s="10"/>
      <c r="U38" s="10"/>
      <c r="V38" s="10"/>
      <c r="W38" s="10"/>
      <c r="X38" s="11" t="n">
        <v>0</v>
      </c>
      <c r="Y38" s="11" t="n">
        <v>0.0075</v>
      </c>
      <c r="Z38" s="3" t="s">
        <v>183</v>
      </c>
      <c r="AA38" s="10"/>
      <c r="AB38" s="10"/>
      <c r="AC38" s="10"/>
      <c r="AD38" s="10"/>
      <c r="AE38" s="10"/>
      <c r="AF38" s="10"/>
      <c r="AG38" s="10"/>
      <c r="AH38" s="9" t="s">
        <v>184</v>
      </c>
      <c r="AI38" s="3"/>
    </row>
    <row r="39" customFormat="false" ht="60" hidden="false" customHeight="true" outlineLevel="0" collapsed="false">
      <c r="A39" s="3" t="n">
        <v>38</v>
      </c>
      <c r="B39" s="3" t="n">
        <v>40</v>
      </c>
      <c r="C39" s="9" t="s">
        <v>187</v>
      </c>
      <c r="D39" s="3" t="s">
        <v>35</v>
      </c>
      <c r="E39" s="9" t="s">
        <v>188</v>
      </c>
      <c r="F39" s="10"/>
      <c r="G39" s="10"/>
      <c r="H39" s="10"/>
      <c r="I39" s="10"/>
      <c r="J39" s="10"/>
      <c r="K39" s="9" t="s">
        <v>181</v>
      </c>
      <c r="L39" s="9" t="s">
        <v>182</v>
      </c>
      <c r="M39" s="9" t="s">
        <v>85</v>
      </c>
      <c r="N39" s="10"/>
      <c r="O39" s="10"/>
      <c r="P39" s="9" t="s">
        <v>86</v>
      </c>
      <c r="Q39" s="11" t="n">
        <v>0.015</v>
      </c>
      <c r="R39" s="11" t="n">
        <v>0.015</v>
      </c>
      <c r="S39" s="11" t="n">
        <v>0</v>
      </c>
      <c r="T39" s="10"/>
      <c r="U39" s="10"/>
      <c r="V39" s="10"/>
      <c r="W39" s="10"/>
      <c r="X39" s="11" t="n">
        <v>0</v>
      </c>
      <c r="Y39" s="11" t="n">
        <v>0.015</v>
      </c>
      <c r="Z39" s="3" t="s">
        <v>183</v>
      </c>
      <c r="AA39" s="10"/>
      <c r="AB39" s="10"/>
      <c r="AC39" s="10"/>
      <c r="AD39" s="10"/>
      <c r="AE39" s="10"/>
      <c r="AF39" s="10"/>
      <c r="AG39" s="10"/>
      <c r="AH39" s="9" t="s">
        <v>184</v>
      </c>
      <c r="AI39" s="3"/>
    </row>
    <row r="40" customFormat="false" ht="60" hidden="false" customHeight="true" outlineLevel="0" collapsed="false">
      <c r="A40" s="3" t="n">
        <v>39</v>
      </c>
      <c r="B40" s="3" t="n">
        <v>41</v>
      </c>
      <c r="C40" s="9" t="s">
        <v>189</v>
      </c>
      <c r="D40" s="3" t="s">
        <v>35</v>
      </c>
      <c r="E40" s="9" t="s">
        <v>190</v>
      </c>
      <c r="F40" s="10"/>
      <c r="G40" s="10"/>
      <c r="H40" s="10"/>
      <c r="I40" s="10"/>
      <c r="J40" s="10"/>
      <c r="K40" s="9" t="s">
        <v>181</v>
      </c>
      <c r="L40" s="9" t="s">
        <v>182</v>
      </c>
      <c r="M40" s="9" t="s">
        <v>85</v>
      </c>
      <c r="N40" s="10"/>
      <c r="O40" s="10"/>
      <c r="P40" s="9" t="s">
        <v>86</v>
      </c>
      <c r="Q40" s="11" t="n">
        <v>0.015</v>
      </c>
      <c r="R40" s="11" t="n">
        <v>0.015</v>
      </c>
      <c r="S40" s="11" t="n">
        <v>0</v>
      </c>
      <c r="T40" s="10"/>
      <c r="U40" s="10"/>
      <c r="V40" s="10"/>
      <c r="W40" s="10"/>
      <c r="X40" s="11" t="n">
        <v>0</v>
      </c>
      <c r="Y40" s="11" t="n">
        <v>0.015</v>
      </c>
      <c r="Z40" s="3" t="s">
        <v>183</v>
      </c>
      <c r="AA40" s="10"/>
      <c r="AB40" s="10"/>
      <c r="AC40" s="10"/>
      <c r="AD40" s="10"/>
      <c r="AE40" s="10"/>
      <c r="AF40" s="10"/>
      <c r="AG40" s="10"/>
      <c r="AH40" s="9" t="s">
        <v>184</v>
      </c>
      <c r="AI40" s="3"/>
    </row>
    <row r="41" customFormat="false" ht="60" hidden="false" customHeight="true" outlineLevel="0" collapsed="false">
      <c r="A41" s="3" t="n">
        <v>40</v>
      </c>
      <c r="B41" s="3" t="n">
        <v>42</v>
      </c>
      <c r="C41" s="9" t="s">
        <v>191</v>
      </c>
      <c r="D41" s="3" t="s">
        <v>35</v>
      </c>
      <c r="E41" s="9" t="s">
        <v>192</v>
      </c>
      <c r="F41" s="10"/>
      <c r="G41" s="10"/>
      <c r="H41" s="10"/>
      <c r="I41" s="10"/>
      <c r="J41" s="10"/>
      <c r="K41" s="9" t="s">
        <v>181</v>
      </c>
      <c r="L41" s="9" t="s">
        <v>182</v>
      </c>
      <c r="M41" s="9" t="s">
        <v>85</v>
      </c>
      <c r="N41" s="10"/>
      <c r="O41" s="10"/>
      <c r="P41" s="9" t="s">
        <v>86</v>
      </c>
      <c r="Q41" s="11" t="n">
        <v>0.015</v>
      </c>
      <c r="R41" s="11" t="n">
        <v>0.015</v>
      </c>
      <c r="S41" s="11" t="n">
        <v>0</v>
      </c>
      <c r="T41" s="10"/>
      <c r="U41" s="10"/>
      <c r="V41" s="10"/>
      <c r="W41" s="10"/>
      <c r="X41" s="11" t="n">
        <v>0</v>
      </c>
      <c r="Y41" s="11" t="n">
        <v>0.015</v>
      </c>
      <c r="Z41" s="3" t="s">
        <v>183</v>
      </c>
      <c r="AA41" s="10"/>
      <c r="AB41" s="10"/>
      <c r="AC41" s="10"/>
      <c r="AD41" s="10"/>
      <c r="AE41" s="10"/>
      <c r="AF41" s="10"/>
      <c r="AG41" s="10"/>
      <c r="AH41" s="9" t="s">
        <v>184</v>
      </c>
      <c r="AI41" s="3"/>
    </row>
    <row r="42" customFormat="false" ht="60" hidden="false" customHeight="true" outlineLevel="0" collapsed="false">
      <c r="A42" s="3" t="n">
        <v>41</v>
      </c>
      <c r="B42" s="3" t="n">
        <v>43</v>
      </c>
      <c r="C42" s="9" t="s">
        <v>193</v>
      </c>
      <c r="D42" s="3" t="s">
        <v>29</v>
      </c>
      <c r="E42" s="9" t="s">
        <v>194</v>
      </c>
      <c r="F42" s="10"/>
      <c r="G42" s="10"/>
      <c r="H42" s="10"/>
      <c r="I42" s="10"/>
      <c r="J42" s="10"/>
      <c r="K42" s="9" t="s">
        <v>93</v>
      </c>
      <c r="L42" s="9" t="s">
        <v>94</v>
      </c>
      <c r="M42" s="9" t="s">
        <v>195</v>
      </c>
      <c r="N42" s="10"/>
      <c r="O42" s="10"/>
      <c r="P42" s="9" t="s">
        <v>123</v>
      </c>
      <c r="Q42" s="11" t="n">
        <v>0.005</v>
      </c>
      <c r="R42" s="11" t="n">
        <v>0.005</v>
      </c>
      <c r="S42" s="11" t="n">
        <v>0</v>
      </c>
      <c r="T42" s="10"/>
      <c r="U42" s="10"/>
      <c r="V42" s="10"/>
      <c r="W42" s="10"/>
      <c r="X42" s="11" t="n">
        <v>0.0083</v>
      </c>
      <c r="Y42" s="11" t="n">
        <v>0.005</v>
      </c>
      <c r="Z42" s="3" t="s">
        <v>95</v>
      </c>
      <c r="AA42" s="10"/>
      <c r="AB42" s="10"/>
      <c r="AC42" s="10"/>
      <c r="AD42" s="10"/>
      <c r="AE42" s="10"/>
      <c r="AF42" s="10"/>
      <c r="AG42" s="10"/>
      <c r="AH42" s="9" t="s">
        <v>196</v>
      </c>
      <c r="AI42" s="3" t="s">
        <v>168</v>
      </c>
    </row>
    <row r="43" customFormat="false" ht="60" hidden="false" customHeight="true" outlineLevel="0" collapsed="false">
      <c r="A43" s="3" t="n">
        <v>42</v>
      </c>
      <c r="B43" s="3" t="n">
        <v>44</v>
      </c>
      <c r="C43" s="9" t="s">
        <v>197</v>
      </c>
      <c r="D43" s="3" t="s">
        <v>29</v>
      </c>
      <c r="E43" s="9" t="s">
        <v>198</v>
      </c>
      <c r="F43" s="10"/>
      <c r="G43" s="10"/>
      <c r="H43" s="10"/>
      <c r="I43" s="10"/>
      <c r="J43" s="10"/>
      <c r="K43" s="9" t="s">
        <v>93</v>
      </c>
      <c r="L43" s="9" t="s">
        <v>94</v>
      </c>
      <c r="M43" s="9" t="s">
        <v>199</v>
      </c>
      <c r="N43" s="10"/>
      <c r="O43" s="10"/>
      <c r="P43" s="9" t="s">
        <v>86</v>
      </c>
      <c r="Q43" s="11" t="n">
        <v>0.04</v>
      </c>
      <c r="R43" s="11" t="n">
        <v>0.04</v>
      </c>
      <c r="S43" s="11" t="n">
        <v>0</v>
      </c>
      <c r="T43" s="10"/>
      <c r="U43" s="10"/>
      <c r="V43" s="10"/>
      <c r="W43" s="10"/>
      <c r="X43" s="11" t="n">
        <v>0.03</v>
      </c>
      <c r="Y43" s="11" t="n">
        <v>0.01</v>
      </c>
      <c r="Z43" s="3" t="s">
        <v>95</v>
      </c>
      <c r="AA43" s="10"/>
      <c r="AB43" s="10"/>
      <c r="AC43" s="10"/>
      <c r="AD43" s="10"/>
      <c r="AE43" s="10"/>
      <c r="AF43" s="10"/>
      <c r="AG43" s="10"/>
      <c r="AH43" s="9" t="s">
        <v>88</v>
      </c>
      <c r="AI43" s="3"/>
    </row>
    <row r="44" customFormat="false" ht="60" hidden="false" customHeight="true" outlineLevel="0" collapsed="false">
      <c r="A44" s="3" t="n">
        <v>43</v>
      </c>
      <c r="B44" s="3" t="n">
        <v>45</v>
      </c>
      <c r="C44" s="9" t="s">
        <v>200</v>
      </c>
      <c r="D44" s="3" t="s">
        <v>41</v>
      </c>
      <c r="E44" s="9" t="s">
        <v>201</v>
      </c>
      <c r="F44" s="10"/>
      <c r="G44" s="10"/>
      <c r="H44" s="10"/>
      <c r="I44" s="10"/>
      <c r="J44" s="10"/>
      <c r="K44" s="9" t="s">
        <v>93</v>
      </c>
      <c r="L44" s="9" t="s">
        <v>94</v>
      </c>
      <c r="M44" s="9" t="s">
        <v>202</v>
      </c>
      <c r="N44" s="10"/>
      <c r="O44" s="10"/>
      <c r="P44" s="9" t="s">
        <v>86</v>
      </c>
      <c r="Q44" s="11" t="n">
        <v>0.005</v>
      </c>
      <c r="R44" s="11" t="n">
        <v>0.005</v>
      </c>
      <c r="S44" s="11" t="n">
        <v>0</v>
      </c>
      <c r="T44" s="10"/>
      <c r="U44" s="10"/>
      <c r="V44" s="10"/>
      <c r="W44" s="10"/>
      <c r="X44" s="11" t="n">
        <v>0.055</v>
      </c>
      <c r="Y44" s="11" t="n">
        <v>0</v>
      </c>
      <c r="Z44" s="3" t="s">
        <v>95</v>
      </c>
      <c r="AA44" s="10"/>
      <c r="AB44" s="10"/>
      <c r="AC44" s="10"/>
      <c r="AD44" s="10"/>
      <c r="AE44" s="10"/>
      <c r="AF44" s="10"/>
      <c r="AG44" s="10"/>
      <c r="AH44" s="3"/>
      <c r="AI44" s="3"/>
    </row>
    <row r="45" customFormat="false" ht="60" hidden="false" customHeight="true" outlineLevel="0" collapsed="false">
      <c r="A45" s="3" t="n">
        <v>44</v>
      </c>
      <c r="B45" s="3" t="n">
        <v>46</v>
      </c>
      <c r="C45" s="9" t="s">
        <v>203</v>
      </c>
      <c r="D45" s="3" t="s">
        <v>43</v>
      </c>
      <c r="E45" s="9" t="s">
        <v>204</v>
      </c>
      <c r="F45" s="10"/>
      <c r="G45" s="10"/>
      <c r="H45" s="10"/>
      <c r="I45" s="10"/>
      <c r="J45" s="10"/>
      <c r="K45" s="9" t="s">
        <v>93</v>
      </c>
      <c r="L45" s="9" t="s">
        <v>94</v>
      </c>
      <c r="M45" s="9" t="s">
        <v>151</v>
      </c>
      <c r="N45" s="10"/>
      <c r="O45" s="10"/>
      <c r="P45" s="9" t="s">
        <v>86</v>
      </c>
      <c r="Q45" s="11" t="n">
        <v>0</v>
      </c>
      <c r="R45" s="11" t="n">
        <v>0</v>
      </c>
      <c r="S45" s="11" t="n">
        <v>0</v>
      </c>
      <c r="T45" s="10"/>
      <c r="U45" s="10"/>
      <c r="V45" s="10"/>
      <c r="W45" s="10"/>
      <c r="X45" s="11" t="n">
        <v>0.055</v>
      </c>
      <c r="Y45" s="11" t="n">
        <v>0</v>
      </c>
      <c r="Z45" s="3" t="s">
        <v>95</v>
      </c>
      <c r="AA45" s="10"/>
      <c r="AB45" s="10"/>
      <c r="AC45" s="10"/>
      <c r="AD45" s="10"/>
      <c r="AE45" s="10"/>
      <c r="AF45" s="10"/>
      <c r="AG45" s="10"/>
      <c r="AH45" s="9" t="s">
        <v>205</v>
      </c>
      <c r="AI45" s="3"/>
    </row>
    <row r="46" customFormat="false" ht="60" hidden="false" customHeight="true" outlineLevel="0" collapsed="false">
      <c r="A46" s="3" t="n">
        <v>45</v>
      </c>
      <c r="B46" s="3" t="n">
        <v>47</v>
      </c>
      <c r="C46" s="9" t="s">
        <v>206</v>
      </c>
      <c r="D46" s="3" t="s">
        <v>43</v>
      </c>
      <c r="E46" s="9" t="s">
        <v>207</v>
      </c>
      <c r="F46" s="10"/>
      <c r="G46" s="10"/>
      <c r="H46" s="10"/>
      <c r="I46" s="10"/>
      <c r="J46" s="10"/>
      <c r="K46" s="9" t="s">
        <v>93</v>
      </c>
      <c r="L46" s="9" t="s">
        <v>94</v>
      </c>
      <c r="M46" s="9" t="s">
        <v>208</v>
      </c>
      <c r="N46" s="10"/>
      <c r="O46" s="10"/>
      <c r="P46" s="9" t="s">
        <v>86</v>
      </c>
      <c r="Q46" s="11" t="n">
        <v>0</v>
      </c>
      <c r="R46" s="11" t="n">
        <v>0</v>
      </c>
      <c r="S46" s="11" t="n">
        <v>0</v>
      </c>
      <c r="T46" s="10"/>
      <c r="U46" s="10"/>
      <c r="V46" s="10"/>
      <c r="W46" s="10"/>
      <c r="X46" s="11" t="n">
        <v>0.004</v>
      </c>
      <c r="Y46" s="11" t="n">
        <v>0</v>
      </c>
      <c r="Z46" s="3" t="s">
        <v>95</v>
      </c>
      <c r="AA46" s="10"/>
      <c r="AB46" s="10"/>
      <c r="AC46" s="10"/>
      <c r="AD46" s="10"/>
      <c r="AE46" s="10"/>
      <c r="AF46" s="10"/>
      <c r="AG46" s="10"/>
      <c r="AH46" s="9" t="s">
        <v>205</v>
      </c>
      <c r="AI46" s="3"/>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209</v>
      </c>
    </row>
    <row r="2" customFormat="false" ht="15" hidden="false" customHeight="false" outlineLevel="0" collapsed="false">
      <c r="A2" s="12" t="s">
        <v>210</v>
      </c>
      <c r="B2" s="13" t="s">
        <v>211</v>
      </c>
    </row>
    <row r="4" customFormat="false" ht="15" hidden="false" customHeight="false" outlineLevel="0" collapsed="false">
      <c r="A4" s="14" t="s">
        <v>212</v>
      </c>
    </row>
    <row r="5" customFormat="false" ht="15" hidden="false" customHeight="false" outlineLevel="0" collapsed="false">
      <c r="A5" s="15" t="s">
        <v>213</v>
      </c>
      <c r="B5" s="15" t="s">
        <v>214</v>
      </c>
      <c r="C5" s="15" t="s">
        <v>215</v>
      </c>
      <c r="D5" s="15" t="s">
        <v>216</v>
      </c>
    </row>
    <row r="6" customFormat="false" ht="15.75" hidden="false" customHeight="true" outlineLevel="0" collapsed="false">
      <c r="A6" s="3" t="s">
        <v>217</v>
      </c>
      <c r="B6" s="9" t="s">
        <v>81</v>
      </c>
      <c r="C6" s="3" t="s">
        <v>218</v>
      </c>
      <c r="D6" s="16" t="s">
        <v>219</v>
      </c>
    </row>
    <row r="7" customFormat="false" ht="42" hidden="false" customHeight="true" outlineLevel="0" collapsed="false">
      <c r="A7" s="3" t="s">
        <v>51</v>
      </c>
      <c r="B7" s="10"/>
      <c r="C7" s="3" t="s">
        <v>220</v>
      </c>
      <c r="D7" s="16" t="s">
        <v>221</v>
      </c>
    </row>
    <row r="8" customFormat="false" ht="42" hidden="false" customHeight="true" outlineLevel="0" collapsed="false">
      <c r="A8" s="3" t="s">
        <v>52</v>
      </c>
      <c r="B8" s="10"/>
      <c r="C8" s="3" t="s">
        <v>220</v>
      </c>
      <c r="D8" s="16" t="s">
        <v>222</v>
      </c>
    </row>
    <row r="9" customFormat="false" ht="42" hidden="false" customHeight="true" outlineLevel="0" collapsed="false">
      <c r="A9" s="3" t="s">
        <v>223</v>
      </c>
      <c r="B9" s="10"/>
      <c r="C9" s="3" t="s">
        <v>220</v>
      </c>
      <c r="D9" s="16" t="s">
        <v>224</v>
      </c>
    </row>
    <row r="10" customFormat="false" ht="15.75" hidden="false" customHeight="true" outlineLevel="0" collapsed="false">
      <c r="A10" s="3" t="s">
        <v>225</v>
      </c>
      <c r="B10" s="9" t="s">
        <v>226</v>
      </c>
      <c r="C10" s="3" t="s">
        <v>218</v>
      </c>
      <c r="D10" s="16" t="s">
        <v>227</v>
      </c>
    </row>
    <row r="11" customFormat="false" ht="42" hidden="false" customHeight="true" outlineLevel="0" collapsed="false">
      <c r="A11" s="3" t="s">
        <v>228</v>
      </c>
      <c r="B11" s="9" t="s">
        <v>229</v>
      </c>
      <c r="C11" s="3" t="s">
        <v>218</v>
      </c>
      <c r="D11" s="16" t="s">
        <v>230</v>
      </c>
    </row>
    <row r="12" customFormat="false" ht="15.75" hidden="false" customHeight="true" outlineLevel="0" collapsed="false">
      <c r="A12" s="3" t="s">
        <v>56</v>
      </c>
      <c r="B12" s="9" t="s">
        <v>83</v>
      </c>
      <c r="C12" s="3" t="s">
        <v>218</v>
      </c>
      <c r="D12" s="16"/>
    </row>
    <row r="13" customFormat="false" ht="42" hidden="false" customHeight="true" outlineLevel="0" collapsed="false">
      <c r="A13" s="3" t="s">
        <v>231</v>
      </c>
      <c r="B13" s="9" t="s">
        <v>84</v>
      </c>
      <c r="C13" s="3" t="s">
        <v>218</v>
      </c>
      <c r="D13" s="16" t="s">
        <v>232</v>
      </c>
    </row>
    <row r="14" customFormat="false" ht="15.75" hidden="false" customHeight="true" outlineLevel="0" collapsed="false">
      <c r="A14" s="3" t="s">
        <v>233</v>
      </c>
      <c r="B14" s="9" t="s">
        <v>85</v>
      </c>
      <c r="C14" s="3" t="s">
        <v>218</v>
      </c>
      <c r="D14" s="16" t="s">
        <v>234</v>
      </c>
    </row>
    <row r="15" customFormat="false" ht="42" hidden="false" customHeight="true" outlineLevel="0" collapsed="false">
      <c r="A15" s="3" t="s">
        <v>235</v>
      </c>
      <c r="B15" s="9" t="s">
        <v>236</v>
      </c>
      <c r="C15" s="3" t="s">
        <v>218</v>
      </c>
      <c r="D15" s="16" t="s">
        <v>237</v>
      </c>
    </row>
    <row r="16" customFormat="false" ht="15.75" hidden="false" customHeight="true" outlineLevel="0" collapsed="false">
      <c r="A16" s="3" t="s">
        <v>238</v>
      </c>
      <c r="B16" s="9" t="s">
        <v>239</v>
      </c>
      <c r="C16" s="3" t="s">
        <v>218</v>
      </c>
      <c r="D16" s="16" t="s">
        <v>240</v>
      </c>
    </row>
    <row r="17" customFormat="false" ht="42" hidden="false" customHeight="true" outlineLevel="0" collapsed="false">
      <c r="A17" s="3" t="s">
        <v>241</v>
      </c>
      <c r="B17" s="9" t="s">
        <v>86</v>
      </c>
      <c r="C17" s="3" t="s">
        <v>218</v>
      </c>
      <c r="D17" s="16" t="s">
        <v>242</v>
      </c>
    </row>
    <row r="18" customFormat="false" ht="15.75" hidden="false" customHeight="true" outlineLevel="0" collapsed="false">
      <c r="A18" s="3" t="s">
        <v>62</v>
      </c>
      <c r="B18" s="11" t="n">
        <v>0.01</v>
      </c>
      <c r="C18" s="3" t="s">
        <v>218</v>
      </c>
      <c r="D18" s="16" t="s">
        <v>243</v>
      </c>
    </row>
    <row r="19" customFormat="false" ht="15.75" hidden="false" customHeight="true" outlineLevel="0" collapsed="false">
      <c r="A19" s="3" t="s">
        <v>63</v>
      </c>
      <c r="B19" s="11" t="n">
        <v>0.01</v>
      </c>
      <c r="C19" s="3" t="s">
        <v>218</v>
      </c>
      <c r="D19" s="16"/>
    </row>
    <row r="20" customFormat="false" ht="15.75" hidden="false" customHeight="true" outlineLevel="0" collapsed="false">
      <c r="A20" s="3" t="s">
        <v>64</v>
      </c>
      <c r="B20" s="11" t="n">
        <v>0</v>
      </c>
      <c r="C20" s="3" t="s">
        <v>218</v>
      </c>
      <c r="D20" s="16" t="s">
        <v>244</v>
      </c>
    </row>
    <row r="21" customFormat="false" ht="15.75" hidden="false" customHeight="true" outlineLevel="0" collapsed="false">
      <c r="A21" s="3" t="s">
        <v>65</v>
      </c>
      <c r="B21" s="10"/>
      <c r="C21" s="3" t="s">
        <v>220</v>
      </c>
      <c r="D21" s="16" t="s">
        <v>245</v>
      </c>
    </row>
    <row r="22" customFormat="false" ht="15.75" hidden="false" customHeight="true" outlineLevel="0" collapsed="false">
      <c r="A22" s="3" t="s">
        <v>66</v>
      </c>
      <c r="B22" s="10"/>
      <c r="C22" s="3" t="s">
        <v>220</v>
      </c>
      <c r="D22" s="16" t="s">
        <v>245</v>
      </c>
    </row>
    <row r="23" customFormat="false" ht="15.75" hidden="false" customHeight="true" outlineLevel="0" collapsed="false">
      <c r="A23" s="3" t="s">
        <v>67</v>
      </c>
      <c r="B23" s="10"/>
      <c r="C23" s="3" t="s">
        <v>220</v>
      </c>
      <c r="D23" s="16" t="s">
        <v>246</v>
      </c>
    </row>
    <row r="24" customFormat="false" ht="42" hidden="false" customHeight="true" outlineLevel="0" collapsed="false">
      <c r="A24" s="3" t="s">
        <v>247</v>
      </c>
      <c r="B24" s="10"/>
      <c r="C24" s="3" t="s">
        <v>248</v>
      </c>
      <c r="D24" s="16" t="s">
        <v>249</v>
      </c>
    </row>
    <row r="25" customFormat="false" ht="42" hidden="false" customHeight="true" outlineLevel="0" collapsed="false">
      <c r="A25" s="3" t="s">
        <v>250</v>
      </c>
      <c r="B25" s="9" t="s">
        <v>251</v>
      </c>
      <c r="C25" s="3" t="s">
        <v>252</v>
      </c>
      <c r="D25" s="16" t="s">
        <v>253</v>
      </c>
    </row>
    <row r="26" customFormat="false" ht="15.75" hidden="false" customHeight="true" outlineLevel="0" collapsed="false">
      <c r="A26" s="3" t="s">
        <v>72</v>
      </c>
      <c r="B26" s="11" t="n">
        <v>0.4</v>
      </c>
      <c r="C26" s="3" t="s">
        <v>254</v>
      </c>
      <c r="D26" s="16" t="s">
        <v>255</v>
      </c>
    </row>
    <row r="27" customFormat="false" ht="15.75" hidden="false" customHeight="true" outlineLevel="0" collapsed="false">
      <c r="A27" s="3" t="s">
        <v>256</v>
      </c>
      <c r="B27" s="9"/>
      <c r="C27" s="3" t="s">
        <v>248</v>
      </c>
      <c r="D27" s="16" t="s">
        <v>257</v>
      </c>
    </row>
    <row r="28" customFormat="false" ht="42" hidden="false" customHeight="true" outlineLevel="0" collapsed="false">
      <c r="A28" s="3" t="s">
        <v>258</v>
      </c>
      <c r="B28" s="9" t="s">
        <v>259</v>
      </c>
      <c r="C28" s="3" t="s">
        <v>218</v>
      </c>
      <c r="D28" s="16" t="s">
        <v>260</v>
      </c>
    </row>
    <row r="29" customFormat="false" ht="15.75" hidden="false" customHeight="true" outlineLevel="0" collapsed="false">
      <c r="A29" s="3" t="s">
        <v>75</v>
      </c>
      <c r="B29" s="10"/>
      <c r="C29" s="3" t="s">
        <v>220</v>
      </c>
      <c r="D29" s="16" t="s">
        <v>261</v>
      </c>
    </row>
    <row r="30" customFormat="false" ht="15.75" hidden="false" customHeight="true" outlineLevel="0" collapsed="false">
      <c r="A30" s="3" t="s">
        <v>76</v>
      </c>
      <c r="B30" s="10"/>
      <c r="C30" s="3" t="s">
        <v>220</v>
      </c>
      <c r="D30" s="16" t="s">
        <v>262</v>
      </c>
    </row>
    <row r="31" customFormat="false" ht="42" hidden="false" customHeight="true" outlineLevel="0" collapsed="false">
      <c r="A31" s="3" t="s">
        <v>263</v>
      </c>
      <c r="B31" s="10"/>
      <c r="C31" s="3" t="s">
        <v>220</v>
      </c>
      <c r="D31" s="16" t="s">
        <v>264</v>
      </c>
    </row>
    <row r="33" customFormat="false" ht="15" hidden="false" customHeight="false" outlineLevel="0" collapsed="false">
      <c r="A33" s="14" t="s">
        <v>265</v>
      </c>
    </row>
    <row r="34" customFormat="false" ht="15" hidden="false" customHeight="false" outlineLevel="0" collapsed="false">
      <c r="A34" s="15" t="s">
        <v>213</v>
      </c>
      <c r="B34" s="15"/>
      <c r="C34" s="15" t="s">
        <v>214</v>
      </c>
      <c r="D34" s="15"/>
      <c r="E34" s="15" t="s">
        <v>14</v>
      </c>
    </row>
    <row r="35" customFormat="false" ht="15" hidden="false" customHeight="false" outlineLevel="0" collapsed="false">
      <c r="A35" s="3" t="s">
        <v>266</v>
      </c>
      <c r="C35" s="17" t="n">
        <v>661060</v>
      </c>
      <c r="E35" s="16" t="s">
        <v>267</v>
      </c>
    </row>
    <row r="36" customFormat="false" ht="15" hidden="false" customHeight="false" outlineLevel="0" collapsed="false">
      <c r="A36" s="3" t="s">
        <v>268</v>
      </c>
      <c r="C36" s="7" t="s">
        <v>269</v>
      </c>
      <c r="E36" s="16"/>
    </row>
    <row r="37" customFormat="false" ht="15" hidden="false" customHeight="false" outlineLevel="0" collapsed="false">
      <c r="A37" s="3" t="s">
        <v>270</v>
      </c>
      <c r="C37" s="7" t="s">
        <v>271</v>
      </c>
      <c r="E37" s="16"/>
    </row>
    <row r="38" customFormat="false" ht="15" hidden="false" customHeight="false" outlineLevel="0" collapsed="false">
      <c r="A38" s="3" t="s">
        <v>272</v>
      </c>
      <c r="C38" s="7" t="s">
        <v>273</v>
      </c>
      <c r="E38" s="16" t="s">
        <v>274</v>
      </c>
    </row>
    <row r="39" customFormat="false" ht="15" hidden="false" customHeight="false" outlineLevel="0" collapsed="false">
      <c r="A39" s="3" t="s">
        <v>275</v>
      </c>
      <c r="C39" s="18" t="n">
        <v>0.857097</v>
      </c>
      <c r="E39" s="16" t="s">
        <v>276</v>
      </c>
    </row>
    <row r="40" customFormat="false" ht="22.35" hidden="false" customHeight="false" outlineLevel="0" collapsed="false">
      <c r="A40" s="3" t="s">
        <v>277</v>
      </c>
      <c r="C40" s="19"/>
      <c r="E40" s="16" t="s">
        <v>278</v>
      </c>
    </row>
    <row r="41" customFormat="false" ht="15" hidden="false" customHeight="false" outlineLevel="0" collapsed="false">
      <c r="A41" s="3" t="s">
        <v>279</v>
      </c>
      <c r="C41" s="20" t="n">
        <v>0.01</v>
      </c>
      <c r="E41" s="16" t="s">
        <v>280</v>
      </c>
    </row>
    <row r="42" customFormat="false" ht="15" hidden="false" customHeight="false" outlineLevel="0" collapsed="false">
      <c r="A42" s="3" t="s">
        <v>281</v>
      </c>
      <c r="C42" s="20" t="n">
        <v>0.01</v>
      </c>
      <c r="E42" s="16"/>
    </row>
    <row r="43" customFormat="false" ht="15" hidden="false" customHeight="false" outlineLevel="0" collapsed="false">
      <c r="A43" s="3" t="s">
        <v>282</v>
      </c>
      <c r="C43" s="20" t="n">
        <v>0.01</v>
      </c>
      <c r="E43" s="16"/>
    </row>
    <row r="44" customFormat="false" ht="15" hidden="false" customHeight="false" outlineLevel="0" collapsed="false">
      <c r="A44" s="3" t="s">
        <v>283</v>
      </c>
      <c r="C44" s="20" t="n">
        <v>0</v>
      </c>
      <c r="E44" s="16"/>
    </row>
    <row r="45" customFormat="false" ht="15" hidden="false" customHeight="false" outlineLevel="0" collapsed="false">
      <c r="A45" s="3" t="s">
        <v>238</v>
      </c>
      <c r="C45" s="7" t="s">
        <v>239</v>
      </c>
      <c r="E45" s="16" t="s">
        <v>284</v>
      </c>
    </row>
    <row r="46" customFormat="false" ht="15" hidden="false" customHeight="false" outlineLevel="0" collapsed="false">
      <c r="A46" s="3" t="s">
        <v>231</v>
      </c>
      <c r="C46" s="7" t="s">
        <v>84</v>
      </c>
      <c r="E46" s="16" t="s">
        <v>285</v>
      </c>
    </row>
    <row r="47" customFormat="false" ht="15" hidden="false" customHeight="false" outlineLevel="0" collapsed="false">
      <c r="A47" s="3" t="s">
        <v>235</v>
      </c>
      <c r="C47" s="7" t="s">
        <v>236</v>
      </c>
      <c r="E47" s="16" t="s">
        <v>286</v>
      </c>
    </row>
    <row r="48" customFormat="false" ht="15" hidden="false" customHeight="false" outlineLevel="0" collapsed="false">
      <c r="A48" s="3" t="s">
        <v>258</v>
      </c>
      <c r="C48" s="7" t="s">
        <v>259</v>
      </c>
      <c r="E48" s="16" t="s">
        <v>287</v>
      </c>
    </row>
    <row r="49" customFormat="false" ht="15" hidden="false" customHeight="false" outlineLevel="0" collapsed="false">
      <c r="A49" s="3" t="s">
        <v>288</v>
      </c>
      <c r="C49" s="17" t="n">
        <v>1</v>
      </c>
      <c r="E49" s="16" t="s">
        <v>289</v>
      </c>
    </row>
    <row r="50" customFormat="false" ht="15" hidden="false" customHeight="false" outlineLevel="0" collapsed="false">
      <c r="A50" s="3" t="s">
        <v>290</v>
      </c>
      <c r="C50" s="20" t="n">
        <v>0.003</v>
      </c>
      <c r="E50" s="16"/>
    </row>
    <row r="51" customFormat="false" ht="15" hidden="false" customHeight="false" outlineLevel="0" collapsed="false">
      <c r="A51" s="3" t="s">
        <v>291</v>
      </c>
      <c r="C51" s="21"/>
      <c r="E51" s="16" t="s">
        <v>292</v>
      </c>
    </row>
    <row r="52" customFormat="false" ht="22.35" hidden="false" customHeight="false" outlineLevel="0" collapsed="false">
      <c r="A52" s="3" t="s">
        <v>250</v>
      </c>
      <c r="C52" s="7" t="s">
        <v>293</v>
      </c>
      <c r="E52" s="16" t="s">
        <v>294</v>
      </c>
    </row>
    <row r="53" customFormat="false" ht="15" hidden="false" customHeight="false" outlineLevel="0" collapsed="false">
      <c r="A53" s="3" t="s">
        <v>295</v>
      </c>
      <c r="C53" s="20" t="n">
        <v>0.4</v>
      </c>
      <c r="E53" s="16"/>
    </row>
    <row r="54" customFormat="false" ht="15" hidden="false" customHeight="false" outlineLevel="0" collapsed="false">
      <c r="A54" s="3" t="s">
        <v>296</v>
      </c>
      <c r="C54" s="20" t="n">
        <v>0</v>
      </c>
      <c r="E54" s="16" t="s">
        <v>297</v>
      </c>
    </row>
    <row r="56" customFormat="false" ht="15" hidden="false" customHeight="false" outlineLevel="0" collapsed="false">
      <c r="A56" s="14" t="s">
        <v>298</v>
      </c>
    </row>
    <row r="57" customFormat="false" ht="15" hidden="false" customHeight="false" outlineLevel="0" collapsed="false">
      <c r="A57" s="15" t="s">
        <v>299</v>
      </c>
      <c r="B57" s="15" t="s">
        <v>300</v>
      </c>
      <c r="C57" s="15" t="s">
        <v>214</v>
      </c>
      <c r="E57" s="15" t="s">
        <v>216</v>
      </c>
    </row>
    <row r="58" customFormat="false" ht="15" hidden="false" customHeight="false" outlineLevel="0" collapsed="false">
      <c r="A58" s="3" t="s">
        <v>301</v>
      </c>
      <c r="B58" s="16" t="s">
        <v>302</v>
      </c>
      <c r="C58" s="22" t="n">
        <f aca="false">IF($C$45="market rate",$C$39,$C$40)</f>
        <v>0.857097</v>
      </c>
      <c r="E58" s="16"/>
    </row>
    <row r="59" customFormat="false" ht="22.35" hidden="false" customHeight="false" outlineLevel="0" collapsed="false">
      <c r="A59" s="3" t="s">
        <v>303</v>
      </c>
      <c r="B59" s="16" t="s">
        <v>304</v>
      </c>
      <c r="C59" s="22" t="n">
        <f aca="false">IF($C$47="added to what the sender pays",$C$58/(1+$C$43),$C$58*(1-$C$43))</f>
        <v>0.84852603</v>
      </c>
      <c r="E59" s="16"/>
    </row>
    <row r="60" customFormat="false" ht="15" hidden="false" customHeight="false" outlineLevel="0" collapsed="false">
      <c r="A60" s="3" t="s">
        <v>305</v>
      </c>
      <c r="B60" s="16" t="s">
        <v>306</v>
      </c>
      <c r="C60" s="23" t="n">
        <f aca="false">$C$35*$C$59</f>
        <v>560926.6173918</v>
      </c>
      <c r="E60" s="16" t="s">
        <v>307</v>
      </c>
    </row>
    <row r="61" customFormat="false" ht="15" hidden="false" customHeight="false" outlineLevel="0" collapsed="false">
      <c r="A61" s="3" t="s">
        <v>308</v>
      </c>
      <c r="B61" s="16" t="s">
        <v>309</v>
      </c>
      <c r="C61" s="23" t="n">
        <f aca="false">$C$60*$C$44</f>
        <v>0</v>
      </c>
      <c r="E61" s="16" t="s">
        <v>310</v>
      </c>
    </row>
    <row r="62" customFormat="false" ht="15" hidden="false" customHeight="false" outlineLevel="0" collapsed="false">
      <c r="A62" s="3" t="s">
        <v>311</v>
      </c>
      <c r="B62" s="16" t="s">
        <v>312</v>
      </c>
      <c r="C62" s="23" t="n">
        <f aca="false">$C$60-$C$61</f>
        <v>560926.6173918</v>
      </c>
      <c r="E62" s="16" t="s">
        <v>313</v>
      </c>
    </row>
    <row r="63" customFormat="false" ht="32.8" hidden="false" customHeight="false" outlineLevel="0" collapsed="false">
      <c r="A63" s="3" t="s">
        <v>314</v>
      </c>
      <c r="B63" s="16" t="s">
        <v>315</v>
      </c>
      <c r="C63" s="23" t="n">
        <f aca="false">IF($C$46="NPL's own wallet",$C$35*$C$39,IF($C$46="fee on top of market",$C$35*$C$39*(1-$C$41),$C$35*$C$40))</f>
        <v>560926.6173918</v>
      </c>
      <c r="E63" s="16"/>
    </row>
    <row r="64" customFormat="false" ht="22.35" hidden="false" customHeight="false" outlineLevel="0" collapsed="false">
      <c r="A64" s="3" t="s">
        <v>316</v>
      </c>
      <c r="B64" s="16" t="s">
        <v>317</v>
      </c>
      <c r="C64" s="23" t="n">
        <f aca="false">$C$35*$C$39-$C$63</f>
        <v>5665.92542820005</v>
      </c>
      <c r="E64" s="16"/>
    </row>
    <row r="65" customFormat="false" ht="15" hidden="false" customHeight="false" outlineLevel="0" collapsed="false">
      <c r="A65" s="3" t="s">
        <v>318</v>
      </c>
      <c r="B65" s="16" t="s">
        <v>319</v>
      </c>
      <c r="C65" s="23" t="n">
        <f aca="false">$C$63-$C$62</f>
        <v>0</v>
      </c>
      <c r="E65" s="16" t="s">
        <v>320</v>
      </c>
    </row>
    <row r="66" customFormat="false" ht="15" hidden="false" customHeight="false" outlineLevel="0" collapsed="false">
      <c r="A66" s="3" t="s">
        <v>321</v>
      </c>
      <c r="B66" s="16" t="s">
        <v>322</v>
      </c>
      <c r="C66" s="24" t="n">
        <f aca="false">IF($C$35*$C$39=0,0,$C$65/($C$35*$C$39))</f>
        <v>0</v>
      </c>
      <c r="E66" s="16"/>
    </row>
    <row r="67" customFormat="false" ht="15" hidden="false" customHeight="false" outlineLevel="0" collapsed="false">
      <c r="A67" s="3" t="s">
        <v>323</v>
      </c>
      <c r="B67" s="16" t="s">
        <v>324</v>
      </c>
      <c r="C67" s="6" t="str">
        <f aca="false">IF($C$66&lt;$C$50,"YES — Finance must approve","no")</f>
        <v>YES — Finance must approve</v>
      </c>
      <c r="E67" s="16"/>
    </row>
    <row r="68" customFormat="false" ht="22.35" hidden="false" customHeight="false" outlineLevel="0" collapsed="false">
      <c r="A68" s="3" t="s">
        <v>325</v>
      </c>
      <c r="B68" s="16" t="s">
        <v>326</v>
      </c>
      <c r="C68" s="23" t="n">
        <f aca="false">IF($C$48="round up",CEILING($C$62,$C$49),IF($C$48="nearest unit",MROUND($C$62,$C$49),IF($C$48="nearest 1,000",MROUND($C$62,$C$49),FLOOR($C$62,$C$49))))</f>
        <v>560926</v>
      </c>
      <c r="E68" s="16" t="s">
        <v>327</v>
      </c>
    </row>
    <row r="69" customFormat="false" ht="23.85" hidden="false" customHeight="false" outlineLevel="0" collapsed="false">
      <c r="A69" s="3" t="s">
        <v>328</v>
      </c>
      <c r="B69" s="16" t="s">
        <v>329</v>
      </c>
      <c r="C69" s="23" t="n">
        <f aca="false">$C$62-$C$68</f>
        <v>0.617391800042242</v>
      </c>
      <c r="E69" s="16"/>
    </row>
    <row r="70" customFormat="false" ht="22.35" hidden="false" customHeight="false" outlineLevel="0" collapsed="false">
      <c r="A70" s="3" t="s">
        <v>330</v>
      </c>
      <c r="B70" s="16" t="s">
        <v>331</v>
      </c>
      <c r="C70" s="22" t="n">
        <f aca="false">IF($C$51="",$C$58,$C$59/(1-$C$51))</f>
        <v>0.857097</v>
      </c>
      <c r="E70" s="16" t="s">
        <v>332</v>
      </c>
    </row>
    <row r="71" customFormat="false" ht="22.35" hidden="false" customHeight="false" outlineLevel="0" collapsed="false">
      <c r="A71" s="3" t="s">
        <v>333</v>
      </c>
      <c r="B71" s="16" t="s">
        <v>334</v>
      </c>
      <c r="C71" s="23" t="n">
        <f aca="false">IF($C$52="paid back monthly",$C$64*$C$53,0)</f>
        <v>2266.37017128002</v>
      </c>
      <c r="E71" s="16"/>
    </row>
    <row r="72" customFormat="false" ht="15" hidden="false" customHeight="false" outlineLevel="0" collapsed="false">
      <c r="A72" s="3" t="s">
        <v>335</v>
      </c>
      <c r="B72" s="16" t="s">
        <v>336</v>
      </c>
      <c r="C72" s="23" t="n">
        <f aca="false">$C$35*$C$39*$C$54</f>
        <v>0</v>
      </c>
      <c r="E72" s="16" t="s">
        <v>337</v>
      </c>
    </row>
    <row r="73" customFormat="false" ht="23.85" hidden="false" customHeight="false" outlineLevel="0" collapsed="false">
      <c r="A73" s="3" t="s">
        <v>338</v>
      </c>
      <c r="B73" s="16" t="s">
        <v>339</v>
      </c>
      <c r="C73" s="23" t="n">
        <f aca="false">ROUND($C$62+$C$64+$C$65-$C$35*$C$39,6)</f>
        <v>0</v>
      </c>
      <c r="E73" s="16" t="s">
        <v>340</v>
      </c>
    </row>
    <row r="75" customFormat="false" ht="15" hidden="false" customHeight="false" outlineLevel="0" collapsed="false">
      <c r="A75" s="14" t="s">
        <v>341</v>
      </c>
    </row>
    <row r="76" customFormat="false" ht="15" hidden="false" customHeight="false" outlineLevel="0" collapsed="false">
      <c r="A76" s="15" t="s">
        <v>342</v>
      </c>
      <c r="B76" s="15" t="s">
        <v>343</v>
      </c>
      <c r="C76" s="15" t="s">
        <v>344</v>
      </c>
      <c r="D76" s="15" t="s">
        <v>345</v>
      </c>
      <c r="E76" s="15" t="s">
        <v>346</v>
      </c>
    </row>
    <row r="77" customFormat="false" ht="15" hidden="false" customHeight="false" outlineLevel="0" collapsed="false">
      <c r="A77" s="6" t="str">
        <f aca="false">"Client money received at "&amp;$C$38&amp;" ("&amp;$C$36&amp;")"</f>
        <v>Client money received at JETON (USDT)</v>
      </c>
      <c r="B77" s="6" t="s">
        <v>347</v>
      </c>
      <c r="C77" s="23" t="n">
        <f aca="false">$C$35</f>
        <v>661060</v>
      </c>
      <c r="D77" s="25" t="s">
        <v>348</v>
      </c>
      <c r="E77" s="25" t="s">
        <v>349</v>
      </c>
    </row>
    <row r="78" customFormat="false" ht="15" hidden="false" customHeight="false" outlineLevel="0" collapsed="false">
      <c r="A78" s="6" t="str">
        <f aca="false">"Owed to the client's receivers ("&amp;$C$36&amp;")"</f>
        <v>Owed to the client's receivers (USDT)</v>
      </c>
      <c r="B78" s="6" t="s">
        <v>350</v>
      </c>
      <c r="C78" s="23" t="n">
        <f aca="false">$C$35</f>
        <v>661060</v>
      </c>
      <c r="D78" s="25" t="s">
        <v>348</v>
      </c>
      <c r="E78" s="25" t="s">
        <v>349</v>
      </c>
    </row>
    <row r="79" customFormat="false" ht="15" hidden="false" customHeight="false" outlineLevel="0" collapsed="false">
      <c r="A79" s="6" t="str">
        <f aca="false">"Owed to the client's receivers ("&amp;$C$36&amp;")"</f>
        <v>Owed to the client's receivers (USDT)</v>
      </c>
      <c r="B79" s="6" t="s">
        <v>347</v>
      </c>
      <c r="C79" s="23" t="n">
        <f aca="false">$C$35</f>
        <v>661060</v>
      </c>
      <c r="D79" s="25" t="s">
        <v>348</v>
      </c>
      <c r="E79" s="25" t="s">
        <v>351</v>
      </c>
    </row>
    <row r="80" customFormat="false" ht="15" hidden="false" customHeight="false" outlineLevel="0" collapsed="false">
      <c r="A80" s="6" t="str">
        <f aca="false">"Client money received at "&amp;$C$38&amp;" ("&amp;$C$36&amp;")"</f>
        <v>Client money received at JETON (USDT)</v>
      </c>
      <c r="B80" s="6" t="s">
        <v>350</v>
      </c>
      <c r="C80" s="23" t="n">
        <f aca="false">$C$35</f>
        <v>661060</v>
      </c>
      <c r="D80" s="25" t="s">
        <v>348</v>
      </c>
      <c r="E80" s="25" t="s">
        <v>351</v>
      </c>
    </row>
    <row r="81" customFormat="false" ht="15" hidden="false" customHeight="false" outlineLevel="0" collapsed="false">
      <c r="A81" s="6" t="str">
        <f aca="false">"Client money ready to pay out at "&amp;$C$38&amp;" ("&amp;$C$37&amp;")"</f>
        <v>Client money ready to pay out at JETON (EUR)</v>
      </c>
      <c r="B81" s="6" t="s">
        <v>347</v>
      </c>
      <c r="C81" s="23" t="n">
        <f aca="false">$C$62</f>
        <v>560926.6173918</v>
      </c>
      <c r="D81" s="25" t="s">
        <v>352</v>
      </c>
      <c r="E81" s="25" t="s">
        <v>353</v>
      </c>
    </row>
    <row r="82" customFormat="false" ht="15" hidden="false" customHeight="false" outlineLevel="0" collapsed="false">
      <c r="A82" s="6" t="str">
        <f aca="false">"NPL's earnings kept at "&amp;$C$38&amp;" ("&amp;$C$37&amp;")"</f>
        <v>NPL's earnings kept at JETON (EUR)</v>
      </c>
      <c r="B82" s="6" t="s">
        <v>347</v>
      </c>
      <c r="C82" s="23" t="n">
        <f aca="false">IF($C$52="paid back monthly",0,$C$65)</f>
        <v>0</v>
      </c>
      <c r="D82" s="25" t="s">
        <v>354</v>
      </c>
      <c r="E82" s="25" t="s">
        <v>355</v>
      </c>
    </row>
    <row r="83" customFormat="false" ht="15" hidden="false" customHeight="false" outlineLevel="0" collapsed="false">
      <c r="A83" s="6" t="str">
        <f aca="false">"Owed back to NPL by "&amp;$C$38&amp;" ("&amp;$C$37&amp;")"</f>
        <v>Owed back to NPL by JETON (EUR)</v>
      </c>
      <c r="B83" s="6" t="s">
        <v>347</v>
      </c>
      <c r="C83" s="23" t="n">
        <f aca="false">$C$71</f>
        <v>2266.37017128002</v>
      </c>
      <c r="D83" s="25" t="s">
        <v>354</v>
      </c>
      <c r="E83" s="25" t="s">
        <v>356</v>
      </c>
    </row>
    <row r="84" customFormat="false" ht="15" hidden="false" customHeight="false" outlineLevel="0" collapsed="false">
      <c r="A84" s="6" t="str">
        <f aca="false">"Owed to the client's receivers ("&amp;$C$37&amp;")"</f>
        <v>Owed to the client's receivers (EUR)</v>
      </c>
      <c r="B84" s="6" t="s">
        <v>350</v>
      </c>
      <c r="C84" s="23" t="n">
        <f aca="false">$C$62</f>
        <v>560926.6173918</v>
      </c>
      <c r="D84" s="25" t="s">
        <v>348</v>
      </c>
      <c r="E84" s="25" t="s">
        <v>353</v>
      </c>
    </row>
    <row r="85" customFormat="false" ht="15" hidden="false" customHeight="false" outlineLevel="0" collapsed="false">
      <c r="A85" s="6" t="str">
        <f aca="false">"NPL's earnings ("&amp;$C$37&amp;")"</f>
        <v>NPL's earnings (EUR)</v>
      </c>
      <c r="B85" s="6" t="s">
        <v>350</v>
      </c>
      <c r="C85" s="23" t="n">
        <f aca="false">$C$65+$C$71</f>
        <v>2266.37017128002</v>
      </c>
      <c r="D85" s="25" t="s">
        <v>354</v>
      </c>
      <c r="E85" s="25" t="s">
        <v>357</v>
      </c>
    </row>
    <row r="86" customFormat="false" ht="15" hidden="false" customHeight="false" outlineLevel="0" collapsed="false">
      <c r="A86" s="6" t="str">
        <f aca="false">"Client money in transit from "&amp;$C$38&amp;" ("&amp;$C$37&amp;")"</f>
        <v>Client money in transit from JETON (EUR)</v>
      </c>
      <c r="B86" s="6" t="s">
        <v>347</v>
      </c>
      <c r="C86" s="23" t="n">
        <f aca="false">$C$68</f>
        <v>560926</v>
      </c>
      <c r="D86" s="25" t="s">
        <v>348</v>
      </c>
      <c r="E86" s="25" t="s">
        <v>358</v>
      </c>
    </row>
    <row r="87" customFormat="false" ht="15" hidden="false" customHeight="false" outlineLevel="0" collapsed="false">
      <c r="A87" s="6" t="str">
        <f aca="false">"Client money ready to pay out at "&amp;$C$38&amp;" ("&amp;$C$37&amp;")"</f>
        <v>Client money ready to pay out at JETON (EUR)</v>
      </c>
      <c r="B87" s="6" t="s">
        <v>350</v>
      </c>
      <c r="C87" s="23" t="n">
        <f aca="false">$C$68</f>
        <v>560926</v>
      </c>
      <c r="D87" s="25" t="s">
        <v>348</v>
      </c>
      <c r="E87" s="25" t="s">
        <v>359</v>
      </c>
    </row>
    <row r="88" customFormat="false" ht="15" hidden="false" customHeight="false" outlineLevel="0" collapsed="false">
      <c r="A88" s="6" t="str">
        <f aca="false">"Owed to the client's receivers ("&amp;$C$37&amp;")"</f>
        <v>Owed to the client's receivers (EUR)</v>
      </c>
      <c r="B88" s="6" t="s">
        <v>347</v>
      </c>
      <c r="C88" s="23" t="n">
        <f aca="false">$C$68</f>
        <v>560926</v>
      </c>
      <c r="D88" s="25" t="s">
        <v>348</v>
      </c>
      <c r="E88" s="25" t="s">
        <v>360</v>
      </c>
    </row>
    <row r="89" customFormat="false" ht="15" hidden="false" customHeight="false" outlineLevel="0" collapsed="false">
      <c r="A89" s="6" t="str">
        <f aca="false">"Client money in transit from "&amp;$C$38&amp;" ("&amp;$C$37&amp;")"</f>
        <v>Client money in transit from JETON (EUR)</v>
      </c>
      <c r="B89" s="6" t="s">
        <v>350</v>
      </c>
      <c r="C89" s="23" t="n">
        <f aca="false">$C$68</f>
        <v>560926</v>
      </c>
      <c r="D89" s="25" t="s">
        <v>348</v>
      </c>
      <c r="E89" s="25" t="s">
        <v>360</v>
      </c>
    </row>
    <row r="90" customFormat="false" ht="15" hidden="false" customHeight="false" outlineLevel="0" collapsed="false">
      <c r="A90" s="6" t="str">
        <f aca="false">"NPL's earnings ("&amp;$C$37&amp;")"</f>
        <v>NPL's earnings (EUR)</v>
      </c>
      <c r="B90" s="6" t="s">
        <v>347</v>
      </c>
      <c r="C90" s="23" t="n">
        <f aca="false">$C$72</f>
        <v>0</v>
      </c>
      <c r="D90" s="25" t="s">
        <v>361</v>
      </c>
      <c r="E90" s="25" t="s">
        <v>362</v>
      </c>
    </row>
    <row r="91" customFormat="false" ht="15" hidden="false" customHeight="false" outlineLevel="0" collapsed="false">
      <c r="A91" s="6" t="str">
        <f aca="false">"Owed to the other party ("&amp;$C$37&amp;")"</f>
        <v>Owed to the other party (EUR)</v>
      </c>
      <c r="B91" s="6" t="s">
        <v>350</v>
      </c>
      <c r="C91" s="23" t="n">
        <f aca="false">$C$72</f>
        <v>0</v>
      </c>
      <c r="D91" s="25" t="s">
        <v>361</v>
      </c>
      <c r="E91" s="25" t="s">
        <v>363</v>
      </c>
    </row>
    <row r="92" customFormat="false" ht="30" hidden="false" customHeight="true" outlineLevel="0" collapsed="false">
      <c r="A92" s="26" t="s">
        <v>364</v>
      </c>
      <c r="C92" s="27" t="n">
        <f aca="false">ROUND(SUMIF($B$81:$B$91,"in",$C$81:$C$91)-SUMIF($B$81:$B$91,"out",$C$81:$C$91),6)</f>
        <v>0</v>
      </c>
      <c r="E92" s="16" t="s">
        <v>365</v>
      </c>
    </row>
    <row r="94" customFormat="false" ht="15" hidden="false" customHeight="false" outlineLevel="0" collapsed="false">
      <c r="A94" s="14" t="s">
        <v>366</v>
      </c>
    </row>
    <row r="95" customFormat="false" ht="15" hidden="false" customHeight="false" outlineLevel="0" collapsed="false">
      <c r="A95" s="15" t="s">
        <v>367</v>
      </c>
      <c r="B95" s="15" t="s">
        <v>368</v>
      </c>
      <c r="C95" s="15" t="s">
        <v>369</v>
      </c>
      <c r="D95" s="15" t="s">
        <v>370</v>
      </c>
      <c r="E95" s="15" t="s">
        <v>371</v>
      </c>
    </row>
    <row r="96" customFormat="false" ht="15.75" hidden="false" customHeight="true" outlineLevel="0" collapsed="false">
      <c r="A96" s="3" t="s">
        <v>372</v>
      </c>
      <c r="B96" s="17" t="n">
        <v>560927</v>
      </c>
      <c r="C96" s="23" t="n">
        <f aca="false">$C$60</f>
        <v>560926.6173918</v>
      </c>
      <c r="D96" s="27" t="n">
        <f aca="false">ROUND(C96-B96,2)</f>
        <v>-0.38</v>
      </c>
      <c r="E96" s="16" t="s">
        <v>373</v>
      </c>
    </row>
    <row r="98" customFormat="false" ht="15" hidden="false" customHeight="false" outlineLevel="0" collapsed="false">
      <c r="A98" s="14" t="s">
        <v>374</v>
      </c>
    </row>
    <row r="99" customFormat="false" ht="31.5" hidden="false" customHeight="true" outlineLevel="0" collapsed="false">
      <c r="A99" s="13" t="s">
        <v>375</v>
      </c>
      <c r="B99" s="28" t="s">
        <v>376</v>
      </c>
      <c r="C99" s="28"/>
      <c r="D99" s="28"/>
      <c r="E99" s="28"/>
    </row>
    <row r="100" customFormat="false" ht="31.5" hidden="false" customHeight="true" outlineLevel="0" collapsed="false">
      <c r="A100" s="13" t="s">
        <v>375</v>
      </c>
      <c r="B100" s="28" t="s">
        <v>377</v>
      </c>
      <c r="C100" s="28"/>
      <c r="D100" s="28"/>
      <c r="E100" s="28"/>
    </row>
    <row r="101" customFormat="false" ht="31.5" hidden="false" customHeight="true" outlineLevel="0" collapsed="false">
      <c r="A101" s="13" t="s">
        <v>375</v>
      </c>
      <c r="B101" s="28" t="s">
        <v>378</v>
      </c>
      <c r="C101" s="28"/>
      <c r="D101" s="28"/>
      <c r="E101" s="28"/>
    </row>
  </sheetData>
  <mergeCells count="3">
    <mergeCell ref="B99:E99"/>
    <mergeCell ref="B100:E100"/>
    <mergeCell ref="B101:E10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379</v>
      </c>
    </row>
    <row r="2" customFormat="false" ht="15" hidden="false" customHeight="false" outlineLevel="0" collapsed="false">
      <c r="A2" s="12" t="s">
        <v>210</v>
      </c>
      <c r="B2" s="13" t="s">
        <v>380</v>
      </c>
    </row>
    <row r="4" customFormat="false" ht="15" hidden="false" customHeight="false" outlineLevel="0" collapsed="false">
      <c r="A4" s="14" t="s">
        <v>212</v>
      </c>
    </row>
    <row r="5" customFormat="false" ht="15" hidden="false" customHeight="false" outlineLevel="0" collapsed="false">
      <c r="A5" s="15" t="s">
        <v>213</v>
      </c>
      <c r="B5" s="15" t="s">
        <v>214</v>
      </c>
      <c r="C5" s="15" t="s">
        <v>215</v>
      </c>
      <c r="D5" s="15" t="s">
        <v>216</v>
      </c>
    </row>
    <row r="6" customFormat="false" ht="15.75" hidden="false" customHeight="true" outlineLevel="0" collapsed="false">
      <c r="A6" s="3" t="s">
        <v>217</v>
      </c>
      <c r="B6" s="9" t="s">
        <v>81</v>
      </c>
      <c r="C6" s="3" t="s">
        <v>218</v>
      </c>
      <c r="D6" s="16" t="s">
        <v>219</v>
      </c>
    </row>
    <row r="7" customFormat="false" ht="42" hidden="false" customHeight="true" outlineLevel="0" collapsed="false">
      <c r="A7" s="3" t="s">
        <v>51</v>
      </c>
      <c r="B7" s="10"/>
      <c r="C7" s="3" t="s">
        <v>220</v>
      </c>
      <c r="D7" s="16" t="s">
        <v>221</v>
      </c>
    </row>
    <row r="8" customFormat="false" ht="42" hidden="false" customHeight="true" outlineLevel="0" collapsed="false">
      <c r="A8" s="3" t="s">
        <v>52</v>
      </c>
      <c r="B8" s="10"/>
      <c r="C8" s="3" t="s">
        <v>220</v>
      </c>
      <c r="D8" s="16" t="s">
        <v>222</v>
      </c>
    </row>
    <row r="9" customFormat="false" ht="42" hidden="false" customHeight="true" outlineLevel="0" collapsed="false">
      <c r="A9" s="3" t="s">
        <v>223</v>
      </c>
      <c r="B9" s="10"/>
      <c r="C9" s="3" t="s">
        <v>220</v>
      </c>
      <c r="D9" s="16" t="s">
        <v>224</v>
      </c>
    </row>
    <row r="10" customFormat="false" ht="15.75" hidden="false" customHeight="true" outlineLevel="0" collapsed="false">
      <c r="A10" s="3" t="s">
        <v>225</v>
      </c>
      <c r="B10" s="9" t="s">
        <v>226</v>
      </c>
      <c r="C10" s="3" t="s">
        <v>218</v>
      </c>
      <c r="D10" s="16" t="s">
        <v>227</v>
      </c>
    </row>
    <row r="11" customFormat="false" ht="42" hidden="false" customHeight="true" outlineLevel="0" collapsed="false">
      <c r="A11" s="3" t="s">
        <v>228</v>
      </c>
      <c r="B11" s="9" t="s">
        <v>381</v>
      </c>
      <c r="C11" s="3" t="s">
        <v>218</v>
      </c>
      <c r="D11" s="16" t="s">
        <v>230</v>
      </c>
    </row>
    <row r="12" customFormat="false" ht="15.75" hidden="false" customHeight="true" outlineLevel="0" collapsed="false">
      <c r="A12" s="3" t="s">
        <v>56</v>
      </c>
      <c r="B12" s="9" t="s">
        <v>93</v>
      </c>
      <c r="C12" s="3" t="s">
        <v>218</v>
      </c>
      <c r="D12" s="16"/>
    </row>
    <row r="13" customFormat="false" ht="42" hidden="false" customHeight="true" outlineLevel="0" collapsed="false">
      <c r="A13" s="3" t="s">
        <v>231</v>
      </c>
      <c r="B13" s="9" t="s">
        <v>94</v>
      </c>
      <c r="C13" s="3" t="s">
        <v>218</v>
      </c>
      <c r="D13" s="16" t="s">
        <v>232</v>
      </c>
    </row>
    <row r="14" customFormat="false" ht="15.75" hidden="false" customHeight="true" outlineLevel="0" collapsed="false">
      <c r="A14" s="3" t="s">
        <v>233</v>
      </c>
      <c r="B14" s="9" t="s">
        <v>85</v>
      </c>
      <c r="C14" s="3" t="s">
        <v>218</v>
      </c>
      <c r="D14" s="16" t="s">
        <v>234</v>
      </c>
    </row>
    <row r="15" customFormat="false" ht="42" hidden="false" customHeight="true" outlineLevel="0" collapsed="false">
      <c r="A15" s="3" t="s">
        <v>235</v>
      </c>
      <c r="B15" s="9" t="s">
        <v>236</v>
      </c>
      <c r="C15" s="3" t="s">
        <v>218</v>
      </c>
      <c r="D15" s="16" t="s">
        <v>237</v>
      </c>
    </row>
    <row r="16" customFormat="false" ht="15.75" hidden="false" customHeight="true" outlineLevel="0" collapsed="false">
      <c r="A16" s="3" t="s">
        <v>238</v>
      </c>
      <c r="B16" s="9" t="s">
        <v>382</v>
      </c>
      <c r="C16" s="3" t="s">
        <v>218</v>
      </c>
      <c r="D16" s="16" t="s">
        <v>240</v>
      </c>
    </row>
    <row r="17" customFormat="false" ht="42" hidden="false" customHeight="true" outlineLevel="0" collapsed="false">
      <c r="A17" s="3" t="s">
        <v>241</v>
      </c>
      <c r="B17" s="9" t="s">
        <v>86</v>
      </c>
      <c r="C17" s="3" t="s">
        <v>218</v>
      </c>
      <c r="D17" s="16" t="s">
        <v>242</v>
      </c>
    </row>
    <row r="18" customFormat="false" ht="15.75" hidden="false" customHeight="true" outlineLevel="0" collapsed="false">
      <c r="A18" s="3" t="s">
        <v>62</v>
      </c>
      <c r="B18" s="11" t="n">
        <v>0.004</v>
      </c>
      <c r="C18" s="3" t="s">
        <v>218</v>
      </c>
      <c r="D18" s="16" t="s">
        <v>243</v>
      </c>
    </row>
    <row r="19" customFormat="false" ht="15.75" hidden="false" customHeight="true" outlineLevel="0" collapsed="false">
      <c r="A19" s="3" t="s">
        <v>63</v>
      </c>
      <c r="B19" s="11" t="n">
        <v>0.004</v>
      </c>
      <c r="C19" s="3" t="s">
        <v>218</v>
      </c>
      <c r="D19" s="16"/>
    </row>
    <row r="20" customFormat="false" ht="15.75" hidden="false" customHeight="true" outlineLevel="0" collapsed="false">
      <c r="A20" s="3" t="s">
        <v>64</v>
      </c>
      <c r="B20" s="11" t="n">
        <v>0</v>
      </c>
      <c r="C20" s="3" t="s">
        <v>218</v>
      </c>
      <c r="D20" s="16" t="s">
        <v>244</v>
      </c>
    </row>
    <row r="21" customFormat="false" ht="15.75" hidden="false" customHeight="true" outlineLevel="0" collapsed="false">
      <c r="A21" s="3" t="s">
        <v>65</v>
      </c>
      <c r="B21" s="10"/>
      <c r="C21" s="3" t="s">
        <v>220</v>
      </c>
      <c r="D21" s="16" t="s">
        <v>245</v>
      </c>
    </row>
    <row r="22" customFormat="false" ht="15.75" hidden="false" customHeight="true" outlineLevel="0" collapsed="false">
      <c r="A22" s="3" t="s">
        <v>66</v>
      </c>
      <c r="B22" s="10"/>
      <c r="C22" s="3" t="s">
        <v>220</v>
      </c>
      <c r="D22" s="16" t="s">
        <v>245</v>
      </c>
    </row>
    <row r="23" customFormat="false" ht="15.75" hidden="false" customHeight="true" outlineLevel="0" collapsed="false">
      <c r="A23" s="3" t="s">
        <v>67</v>
      </c>
      <c r="B23" s="10"/>
      <c r="C23" s="3" t="s">
        <v>220</v>
      </c>
      <c r="D23" s="16" t="s">
        <v>246</v>
      </c>
    </row>
    <row r="24" customFormat="false" ht="42" hidden="false" customHeight="true" outlineLevel="0" collapsed="false">
      <c r="A24" s="3" t="s">
        <v>247</v>
      </c>
      <c r="B24" s="11" t="n">
        <v>0.01</v>
      </c>
      <c r="C24" s="3" t="s">
        <v>218</v>
      </c>
      <c r="D24" s="16" t="s">
        <v>249</v>
      </c>
    </row>
    <row r="25" customFormat="false" ht="42" hidden="false" customHeight="true" outlineLevel="0" collapsed="false">
      <c r="A25" s="3" t="s">
        <v>250</v>
      </c>
      <c r="B25" s="9" t="s">
        <v>95</v>
      </c>
      <c r="C25" s="3" t="s">
        <v>218</v>
      </c>
      <c r="D25" s="16" t="s">
        <v>253</v>
      </c>
    </row>
    <row r="26" customFormat="false" ht="15.75" hidden="false" customHeight="true" outlineLevel="0" collapsed="false">
      <c r="A26" s="3" t="s">
        <v>72</v>
      </c>
      <c r="B26" s="10"/>
      <c r="C26" s="3" t="s">
        <v>248</v>
      </c>
      <c r="D26" s="16" t="s">
        <v>255</v>
      </c>
    </row>
    <row r="27" customFormat="false" ht="15.75" hidden="false" customHeight="true" outlineLevel="0" collapsed="false">
      <c r="A27" s="3" t="s">
        <v>256</v>
      </c>
      <c r="B27" s="9"/>
      <c r="C27" s="3" t="s">
        <v>248</v>
      </c>
      <c r="D27" s="16" t="s">
        <v>257</v>
      </c>
    </row>
    <row r="28" customFormat="false" ht="42" hidden="false" customHeight="true" outlineLevel="0" collapsed="false">
      <c r="A28" s="3" t="s">
        <v>258</v>
      </c>
      <c r="B28" s="9" t="s">
        <v>259</v>
      </c>
      <c r="C28" s="3" t="s">
        <v>218</v>
      </c>
      <c r="D28" s="16" t="s">
        <v>260</v>
      </c>
    </row>
    <row r="29" customFormat="false" ht="15.75" hidden="false" customHeight="true" outlineLevel="0" collapsed="false">
      <c r="A29" s="3" t="s">
        <v>75</v>
      </c>
      <c r="B29" s="10"/>
      <c r="C29" s="3" t="s">
        <v>220</v>
      </c>
      <c r="D29" s="16" t="s">
        <v>261</v>
      </c>
    </row>
    <row r="30" customFormat="false" ht="15.75" hidden="false" customHeight="true" outlineLevel="0" collapsed="false">
      <c r="A30" s="3" t="s">
        <v>76</v>
      </c>
      <c r="B30" s="10"/>
      <c r="C30" s="3" t="s">
        <v>220</v>
      </c>
      <c r="D30" s="16" t="s">
        <v>262</v>
      </c>
    </row>
    <row r="31" customFormat="false" ht="42" hidden="false" customHeight="true" outlineLevel="0" collapsed="false">
      <c r="A31" s="3" t="s">
        <v>263</v>
      </c>
      <c r="B31" s="10"/>
      <c r="C31" s="3" t="s">
        <v>220</v>
      </c>
      <c r="D31" s="16" t="s">
        <v>264</v>
      </c>
    </row>
    <row r="33" customFormat="false" ht="15" hidden="false" customHeight="false" outlineLevel="0" collapsed="false">
      <c r="A33" s="14" t="s">
        <v>265</v>
      </c>
    </row>
    <row r="34" customFormat="false" ht="15" hidden="false" customHeight="false" outlineLevel="0" collapsed="false">
      <c r="A34" s="15" t="s">
        <v>213</v>
      </c>
      <c r="B34" s="15"/>
      <c r="C34" s="15" t="s">
        <v>214</v>
      </c>
      <c r="D34" s="15"/>
      <c r="E34" s="15" t="s">
        <v>14</v>
      </c>
    </row>
    <row r="35" customFormat="false" ht="15" hidden="false" customHeight="false" outlineLevel="0" collapsed="false">
      <c r="A35" s="3" t="s">
        <v>266</v>
      </c>
      <c r="C35" s="17" t="n">
        <v>661060</v>
      </c>
      <c r="E35" s="16" t="s">
        <v>267</v>
      </c>
    </row>
    <row r="36" customFormat="false" ht="15" hidden="false" customHeight="false" outlineLevel="0" collapsed="false">
      <c r="A36" s="3" t="s">
        <v>268</v>
      </c>
      <c r="C36" s="7" t="s">
        <v>269</v>
      </c>
      <c r="E36" s="16"/>
    </row>
    <row r="37" customFormat="false" ht="15" hidden="false" customHeight="false" outlineLevel="0" collapsed="false">
      <c r="A37" s="3" t="s">
        <v>270</v>
      </c>
      <c r="C37" s="7" t="s">
        <v>271</v>
      </c>
      <c r="E37" s="16"/>
    </row>
    <row r="38" customFormat="false" ht="15" hidden="false" customHeight="false" outlineLevel="0" collapsed="false">
      <c r="A38" s="3" t="s">
        <v>272</v>
      </c>
      <c r="C38" s="7" t="s">
        <v>383</v>
      </c>
      <c r="E38" s="16" t="s">
        <v>274</v>
      </c>
    </row>
    <row r="39" customFormat="false" ht="15" hidden="false" customHeight="false" outlineLevel="0" collapsed="false">
      <c r="A39" s="3" t="s">
        <v>275</v>
      </c>
      <c r="C39" s="19"/>
      <c r="E39" s="16" t="s">
        <v>276</v>
      </c>
    </row>
    <row r="40" customFormat="false" ht="22.35" hidden="false" customHeight="false" outlineLevel="0" collapsed="false">
      <c r="A40" s="3" t="s">
        <v>277</v>
      </c>
      <c r="C40" s="18" t="n">
        <v>0.851934</v>
      </c>
      <c r="E40" s="16" t="s">
        <v>278</v>
      </c>
    </row>
    <row r="41" customFormat="false" ht="15" hidden="false" customHeight="false" outlineLevel="0" collapsed="false">
      <c r="A41" s="3" t="s">
        <v>279</v>
      </c>
      <c r="C41" s="20" t="n">
        <v>0</v>
      </c>
      <c r="E41" s="16" t="s">
        <v>280</v>
      </c>
    </row>
    <row r="42" customFormat="false" ht="15" hidden="false" customHeight="false" outlineLevel="0" collapsed="false">
      <c r="A42" s="3" t="s">
        <v>281</v>
      </c>
      <c r="C42" s="20" t="n">
        <v>0.004</v>
      </c>
      <c r="E42" s="16"/>
    </row>
    <row r="43" customFormat="false" ht="15" hidden="false" customHeight="false" outlineLevel="0" collapsed="false">
      <c r="A43" s="3" t="s">
        <v>282</v>
      </c>
      <c r="C43" s="20" t="n">
        <v>0.004</v>
      </c>
      <c r="E43" s="16"/>
    </row>
    <row r="44" customFormat="false" ht="15" hidden="false" customHeight="false" outlineLevel="0" collapsed="false">
      <c r="A44" s="3" t="s">
        <v>283</v>
      </c>
      <c r="C44" s="20" t="n">
        <v>0</v>
      </c>
      <c r="E44" s="16"/>
    </row>
    <row r="45" customFormat="false" ht="15" hidden="false" customHeight="false" outlineLevel="0" collapsed="false">
      <c r="A45" s="3" t="s">
        <v>238</v>
      </c>
      <c r="C45" s="7" t="s">
        <v>382</v>
      </c>
      <c r="E45" s="16" t="s">
        <v>284</v>
      </c>
    </row>
    <row r="46" customFormat="false" ht="15" hidden="false" customHeight="false" outlineLevel="0" collapsed="false">
      <c r="A46" s="3" t="s">
        <v>231</v>
      </c>
      <c r="C46" s="7" t="s">
        <v>94</v>
      </c>
      <c r="E46" s="16" t="s">
        <v>285</v>
      </c>
    </row>
    <row r="47" customFormat="false" ht="15" hidden="false" customHeight="false" outlineLevel="0" collapsed="false">
      <c r="A47" s="3" t="s">
        <v>235</v>
      </c>
      <c r="C47" s="7" t="s">
        <v>236</v>
      </c>
      <c r="E47" s="16" t="s">
        <v>286</v>
      </c>
    </row>
    <row r="48" customFormat="false" ht="15" hidden="false" customHeight="false" outlineLevel="0" collapsed="false">
      <c r="A48" s="3" t="s">
        <v>258</v>
      </c>
      <c r="C48" s="7" t="s">
        <v>259</v>
      </c>
      <c r="E48" s="16" t="s">
        <v>287</v>
      </c>
    </row>
    <row r="49" customFormat="false" ht="15" hidden="false" customHeight="false" outlineLevel="0" collapsed="false">
      <c r="A49" s="3" t="s">
        <v>288</v>
      </c>
      <c r="C49" s="17" t="n">
        <v>1</v>
      </c>
      <c r="E49" s="16" t="s">
        <v>289</v>
      </c>
    </row>
    <row r="50" customFormat="false" ht="15" hidden="false" customHeight="false" outlineLevel="0" collapsed="false">
      <c r="A50" s="3" t="s">
        <v>290</v>
      </c>
      <c r="C50" s="20" t="n">
        <v>0.003</v>
      </c>
      <c r="E50" s="16"/>
    </row>
    <row r="51" customFormat="false" ht="15" hidden="false" customHeight="false" outlineLevel="0" collapsed="false">
      <c r="A51" s="3" t="s">
        <v>291</v>
      </c>
      <c r="C51" s="20" t="n">
        <v>0.01</v>
      </c>
      <c r="E51" s="16" t="s">
        <v>292</v>
      </c>
    </row>
    <row r="52" customFormat="false" ht="22.35" hidden="false" customHeight="false" outlineLevel="0" collapsed="false">
      <c r="A52" s="3" t="s">
        <v>250</v>
      </c>
      <c r="C52" s="7" t="s">
        <v>95</v>
      </c>
      <c r="E52" s="16" t="s">
        <v>294</v>
      </c>
    </row>
    <row r="53" customFormat="false" ht="15" hidden="false" customHeight="false" outlineLevel="0" collapsed="false">
      <c r="A53" s="3" t="s">
        <v>295</v>
      </c>
      <c r="C53" s="20" t="n">
        <v>0</v>
      </c>
      <c r="E53" s="16"/>
    </row>
    <row r="54" customFormat="false" ht="15" hidden="false" customHeight="false" outlineLevel="0" collapsed="false">
      <c r="A54" s="3" t="s">
        <v>296</v>
      </c>
      <c r="C54" s="20" t="n">
        <v>0</v>
      </c>
      <c r="E54" s="16" t="s">
        <v>297</v>
      </c>
    </row>
    <row r="56" customFormat="false" ht="15" hidden="false" customHeight="false" outlineLevel="0" collapsed="false">
      <c r="A56" s="14" t="s">
        <v>298</v>
      </c>
    </row>
    <row r="57" customFormat="false" ht="15" hidden="false" customHeight="false" outlineLevel="0" collapsed="false">
      <c r="A57" s="15" t="s">
        <v>299</v>
      </c>
      <c r="B57" s="15" t="s">
        <v>300</v>
      </c>
      <c r="C57" s="15" t="s">
        <v>214</v>
      </c>
      <c r="E57" s="15" t="s">
        <v>216</v>
      </c>
    </row>
    <row r="58" customFormat="false" ht="15" hidden="false" customHeight="false" outlineLevel="0" collapsed="false">
      <c r="A58" s="3" t="s">
        <v>301</v>
      </c>
      <c r="B58" s="16" t="s">
        <v>302</v>
      </c>
      <c r="C58" s="22" t="n">
        <f aca="false">IF($C$45="market rate",$C$39,$C$40)</f>
        <v>0.851934</v>
      </c>
      <c r="E58" s="16"/>
    </row>
    <row r="59" customFormat="false" ht="22.35" hidden="false" customHeight="false" outlineLevel="0" collapsed="false">
      <c r="A59" s="3" t="s">
        <v>303</v>
      </c>
      <c r="B59" s="16" t="s">
        <v>304</v>
      </c>
      <c r="C59" s="22" t="n">
        <f aca="false">IF($C$47="added to what the sender pays",$C$58/(1+$C$43),$C$58*(1-$C$43))</f>
        <v>0.848526264</v>
      </c>
      <c r="E59" s="16"/>
    </row>
    <row r="60" customFormat="false" ht="15" hidden="false" customHeight="false" outlineLevel="0" collapsed="false">
      <c r="A60" s="3" t="s">
        <v>305</v>
      </c>
      <c r="B60" s="16" t="s">
        <v>306</v>
      </c>
      <c r="C60" s="23" t="n">
        <f aca="false">$C$35*$C$59</f>
        <v>560926.77207984</v>
      </c>
      <c r="E60" s="16" t="s">
        <v>307</v>
      </c>
    </row>
    <row r="61" customFormat="false" ht="15" hidden="false" customHeight="false" outlineLevel="0" collapsed="false">
      <c r="A61" s="3" t="s">
        <v>308</v>
      </c>
      <c r="B61" s="16" t="s">
        <v>309</v>
      </c>
      <c r="C61" s="23" t="n">
        <f aca="false">$C$60*$C$44</f>
        <v>0</v>
      </c>
      <c r="E61" s="16" t="s">
        <v>310</v>
      </c>
    </row>
    <row r="62" customFormat="false" ht="15" hidden="false" customHeight="false" outlineLevel="0" collapsed="false">
      <c r="A62" s="3" t="s">
        <v>311</v>
      </c>
      <c r="B62" s="16" t="s">
        <v>312</v>
      </c>
      <c r="C62" s="23" t="n">
        <f aca="false">$C$60-$C$61</f>
        <v>560926.77207984</v>
      </c>
      <c r="E62" s="16" t="s">
        <v>313</v>
      </c>
    </row>
    <row r="63" customFormat="false" ht="32.8" hidden="false" customHeight="false" outlineLevel="0" collapsed="false">
      <c r="A63" s="3" t="s">
        <v>314</v>
      </c>
      <c r="B63" s="16" t="s">
        <v>315</v>
      </c>
      <c r="C63" s="23" t="n">
        <f aca="false">IF($C$46="NPL's own wallet",$C$35*$C$39,IF($C$46="fee on top of market",$C$35*$C$39*(1-$C$41),$C$35*$C$40))</f>
        <v>563179.49004</v>
      </c>
      <c r="E63" s="16"/>
    </row>
    <row r="64" customFormat="false" ht="22.35" hidden="false" customHeight="false" outlineLevel="0" collapsed="false">
      <c r="A64" s="3" t="s">
        <v>316</v>
      </c>
      <c r="B64" s="16" t="s">
        <v>317</v>
      </c>
      <c r="C64" s="23" t="n">
        <f aca="false">$C$35*$C$39-$C$63</f>
        <v>-563179.49004</v>
      </c>
      <c r="E64" s="16"/>
    </row>
    <row r="65" customFormat="false" ht="15" hidden="false" customHeight="false" outlineLevel="0" collapsed="false">
      <c r="A65" s="3" t="s">
        <v>318</v>
      </c>
      <c r="B65" s="16" t="s">
        <v>319</v>
      </c>
      <c r="C65" s="23" t="n">
        <f aca="false">$C$63-$C$62</f>
        <v>2252.71796015999</v>
      </c>
      <c r="E65" s="16" t="s">
        <v>320</v>
      </c>
    </row>
    <row r="66" customFormat="false" ht="15" hidden="false" customHeight="false" outlineLevel="0" collapsed="false">
      <c r="A66" s="3" t="s">
        <v>321</v>
      </c>
      <c r="B66" s="16" t="s">
        <v>322</v>
      </c>
      <c r="C66" s="24" t="n">
        <f aca="false">IF($C$35*$C$39=0,0,$C$65/($C$35*$C$39))</f>
        <v>0</v>
      </c>
      <c r="E66" s="16"/>
    </row>
    <row r="67" customFormat="false" ht="15" hidden="false" customHeight="false" outlineLevel="0" collapsed="false">
      <c r="A67" s="3" t="s">
        <v>323</v>
      </c>
      <c r="B67" s="16" t="s">
        <v>324</v>
      </c>
      <c r="C67" s="6" t="str">
        <f aca="false">IF($C$66&lt;$C$50,"YES — Finance must approve","no")</f>
        <v>YES — Finance must approve</v>
      </c>
      <c r="E67" s="16"/>
    </row>
    <row r="68" customFormat="false" ht="22.35" hidden="false" customHeight="false" outlineLevel="0" collapsed="false">
      <c r="A68" s="3" t="s">
        <v>325</v>
      </c>
      <c r="B68" s="16" t="s">
        <v>326</v>
      </c>
      <c r="C68" s="23" t="n">
        <f aca="false">IF($C$48="round up",CEILING($C$62,$C$49),IF($C$48="nearest unit",MROUND($C$62,$C$49),IF($C$48="nearest 1,000",MROUND($C$62,$C$49),FLOOR($C$62,$C$49))))</f>
        <v>560926</v>
      </c>
      <c r="E68" s="16" t="s">
        <v>327</v>
      </c>
    </row>
    <row r="69" customFormat="false" ht="23.85" hidden="false" customHeight="false" outlineLevel="0" collapsed="false">
      <c r="A69" s="3" t="s">
        <v>328</v>
      </c>
      <c r="B69" s="16" t="s">
        <v>329</v>
      </c>
      <c r="C69" s="23" t="n">
        <f aca="false">$C$62-$C$68</f>
        <v>0.772079839953221</v>
      </c>
      <c r="E69" s="16"/>
    </row>
    <row r="70" customFormat="false" ht="22.35" hidden="false" customHeight="false" outlineLevel="0" collapsed="false">
      <c r="A70" s="3" t="s">
        <v>330</v>
      </c>
      <c r="B70" s="16" t="s">
        <v>331</v>
      </c>
      <c r="C70" s="22" t="n">
        <f aca="false">IF($C$51="",$C$58,$C$59/(1-$C$51))</f>
        <v>0.857097236363636</v>
      </c>
      <c r="E70" s="16" t="s">
        <v>332</v>
      </c>
    </row>
    <row r="71" customFormat="false" ht="22.35" hidden="false" customHeight="false" outlineLevel="0" collapsed="false">
      <c r="A71" s="3" t="s">
        <v>333</v>
      </c>
      <c r="B71" s="16" t="s">
        <v>334</v>
      </c>
      <c r="C71" s="23" t="n">
        <f aca="false">IF($C$52="paid back monthly",$C$64*$C$53,0)</f>
        <v>0</v>
      </c>
      <c r="E71" s="16"/>
    </row>
    <row r="72" customFormat="false" ht="15" hidden="false" customHeight="false" outlineLevel="0" collapsed="false">
      <c r="A72" s="3" t="s">
        <v>335</v>
      </c>
      <c r="B72" s="16" t="s">
        <v>336</v>
      </c>
      <c r="C72" s="23" t="n">
        <f aca="false">$C$35*$C$39*$C$54</f>
        <v>0</v>
      </c>
      <c r="E72" s="16" t="s">
        <v>337</v>
      </c>
    </row>
    <row r="73" customFormat="false" ht="23.85" hidden="false" customHeight="false" outlineLevel="0" collapsed="false">
      <c r="A73" s="3" t="s">
        <v>338</v>
      </c>
      <c r="B73" s="16" t="s">
        <v>339</v>
      </c>
      <c r="C73" s="23" t="n">
        <f aca="false">ROUND($C$62+$C$64+$C$65-$C$35*$C$39,6)</f>
        <v>0</v>
      </c>
      <c r="E73" s="16" t="s">
        <v>340</v>
      </c>
    </row>
    <row r="75" customFormat="false" ht="15" hidden="false" customHeight="false" outlineLevel="0" collapsed="false">
      <c r="A75" s="14" t="s">
        <v>341</v>
      </c>
    </row>
    <row r="76" customFormat="false" ht="15" hidden="false" customHeight="false" outlineLevel="0" collapsed="false">
      <c r="A76" s="15" t="s">
        <v>342</v>
      </c>
      <c r="B76" s="15" t="s">
        <v>343</v>
      </c>
      <c r="C76" s="15" t="s">
        <v>344</v>
      </c>
      <c r="D76" s="15" t="s">
        <v>345</v>
      </c>
      <c r="E76" s="15" t="s">
        <v>346</v>
      </c>
    </row>
    <row r="77" customFormat="false" ht="15" hidden="false" customHeight="false" outlineLevel="0" collapsed="false">
      <c r="A77" s="6" t="str">
        <f aca="false">"Client money received at "&amp;$C$38&amp;" ("&amp;$C$36&amp;")"</f>
        <v>Client money received at ALI (USDT)</v>
      </c>
      <c r="B77" s="6" t="s">
        <v>347</v>
      </c>
      <c r="C77" s="23" t="n">
        <f aca="false">$C$35</f>
        <v>661060</v>
      </c>
      <c r="D77" s="25" t="s">
        <v>348</v>
      </c>
      <c r="E77" s="25" t="s">
        <v>349</v>
      </c>
    </row>
    <row r="78" customFormat="false" ht="15" hidden="false" customHeight="false" outlineLevel="0" collapsed="false">
      <c r="A78" s="6" t="str">
        <f aca="false">"Owed to the client's receivers ("&amp;$C$36&amp;")"</f>
        <v>Owed to the client's receivers (USDT)</v>
      </c>
      <c r="B78" s="6" t="s">
        <v>350</v>
      </c>
      <c r="C78" s="23" t="n">
        <f aca="false">$C$35</f>
        <v>661060</v>
      </c>
      <c r="D78" s="25" t="s">
        <v>348</v>
      </c>
      <c r="E78" s="25" t="s">
        <v>349</v>
      </c>
    </row>
    <row r="79" customFormat="false" ht="15" hidden="false" customHeight="false" outlineLevel="0" collapsed="false">
      <c r="A79" s="6" t="str">
        <f aca="false">"Owed to the client's receivers ("&amp;$C$36&amp;")"</f>
        <v>Owed to the client's receivers (USDT)</v>
      </c>
      <c r="B79" s="6" t="s">
        <v>347</v>
      </c>
      <c r="C79" s="23" t="n">
        <f aca="false">$C$35</f>
        <v>661060</v>
      </c>
      <c r="D79" s="25" t="s">
        <v>348</v>
      </c>
      <c r="E79" s="25" t="s">
        <v>351</v>
      </c>
    </row>
    <row r="80" customFormat="false" ht="15" hidden="false" customHeight="false" outlineLevel="0" collapsed="false">
      <c r="A80" s="6" t="str">
        <f aca="false">"Client money received at "&amp;$C$38&amp;" ("&amp;$C$36&amp;")"</f>
        <v>Client money received at ALI (USDT)</v>
      </c>
      <c r="B80" s="6" t="s">
        <v>350</v>
      </c>
      <c r="C80" s="23" t="n">
        <f aca="false">$C$35</f>
        <v>661060</v>
      </c>
      <c r="D80" s="25" t="s">
        <v>348</v>
      </c>
      <c r="E80" s="25" t="s">
        <v>351</v>
      </c>
    </row>
    <row r="81" customFormat="false" ht="15" hidden="false" customHeight="false" outlineLevel="0" collapsed="false">
      <c r="A81" s="6" t="str">
        <f aca="false">"Client money ready to pay out at "&amp;$C$38&amp;" ("&amp;$C$37&amp;")"</f>
        <v>Client money ready to pay out at ALI (EUR)</v>
      </c>
      <c r="B81" s="6" t="s">
        <v>347</v>
      </c>
      <c r="C81" s="23" t="n">
        <f aca="false">$C$62</f>
        <v>560926.77207984</v>
      </c>
      <c r="D81" s="25" t="s">
        <v>352</v>
      </c>
      <c r="E81" s="25" t="s">
        <v>353</v>
      </c>
    </row>
    <row r="82" customFormat="false" ht="15" hidden="false" customHeight="false" outlineLevel="0" collapsed="false">
      <c r="A82" s="6" t="str">
        <f aca="false">"NPL's earnings kept at "&amp;$C$38&amp;" ("&amp;$C$37&amp;")"</f>
        <v>NPL's earnings kept at ALI (EUR)</v>
      </c>
      <c r="B82" s="6" t="s">
        <v>347</v>
      </c>
      <c r="C82" s="23" t="n">
        <f aca="false">IF($C$52="paid back monthly",0,$C$65)</f>
        <v>2252.71796015999</v>
      </c>
      <c r="D82" s="25" t="s">
        <v>354</v>
      </c>
      <c r="E82" s="25" t="s">
        <v>355</v>
      </c>
    </row>
    <row r="83" customFormat="false" ht="15" hidden="false" customHeight="false" outlineLevel="0" collapsed="false">
      <c r="A83" s="6" t="str">
        <f aca="false">"Owed back to NPL by "&amp;$C$38&amp;" ("&amp;$C$37&amp;")"</f>
        <v>Owed back to NPL by ALI (EUR)</v>
      </c>
      <c r="B83" s="6" t="s">
        <v>347</v>
      </c>
      <c r="C83" s="23" t="n">
        <f aca="false">$C$71</f>
        <v>0</v>
      </c>
      <c r="D83" s="25" t="s">
        <v>354</v>
      </c>
      <c r="E83" s="25" t="s">
        <v>356</v>
      </c>
    </row>
    <row r="84" customFormat="false" ht="15" hidden="false" customHeight="false" outlineLevel="0" collapsed="false">
      <c r="A84" s="6" t="str">
        <f aca="false">"Owed to the client's receivers ("&amp;$C$37&amp;")"</f>
        <v>Owed to the client's receivers (EUR)</v>
      </c>
      <c r="B84" s="6" t="s">
        <v>350</v>
      </c>
      <c r="C84" s="23" t="n">
        <f aca="false">$C$62</f>
        <v>560926.77207984</v>
      </c>
      <c r="D84" s="25" t="s">
        <v>348</v>
      </c>
      <c r="E84" s="25" t="s">
        <v>353</v>
      </c>
    </row>
    <row r="85" customFormat="false" ht="15" hidden="false" customHeight="false" outlineLevel="0" collapsed="false">
      <c r="A85" s="6" t="str">
        <f aca="false">"NPL's earnings ("&amp;$C$37&amp;")"</f>
        <v>NPL's earnings (EUR)</v>
      </c>
      <c r="B85" s="6" t="s">
        <v>350</v>
      </c>
      <c r="C85" s="23" t="n">
        <f aca="false">$C$65+$C$71</f>
        <v>2252.71796015999</v>
      </c>
      <c r="D85" s="25" t="s">
        <v>354</v>
      </c>
      <c r="E85" s="25" t="s">
        <v>357</v>
      </c>
    </row>
    <row r="86" customFormat="false" ht="15" hidden="false" customHeight="false" outlineLevel="0" collapsed="false">
      <c r="A86" s="6" t="str">
        <f aca="false">"Client money in transit from "&amp;$C$38&amp;" ("&amp;$C$37&amp;")"</f>
        <v>Client money in transit from ALI (EUR)</v>
      </c>
      <c r="B86" s="6" t="s">
        <v>347</v>
      </c>
      <c r="C86" s="23" t="n">
        <f aca="false">$C$68</f>
        <v>560926</v>
      </c>
      <c r="D86" s="25" t="s">
        <v>348</v>
      </c>
      <c r="E86" s="25" t="s">
        <v>358</v>
      </c>
    </row>
    <row r="87" customFormat="false" ht="15" hidden="false" customHeight="false" outlineLevel="0" collapsed="false">
      <c r="A87" s="6" t="str">
        <f aca="false">"Client money ready to pay out at "&amp;$C$38&amp;" ("&amp;$C$37&amp;")"</f>
        <v>Client money ready to pay out at ALI (EUR)</v>
      </c>
      <c r="B87" s="6" t="s">
        <v>350</v>
      </c>
      <c r="C87" s="23" t="n">
        <f aca="false">$C$68</f>
        <v>560926</v>
      </c>
      <c r="D87" s="25" t="s">
        <v>348</v>
      </c>
      <c r="E87" s="25" t="s">
        <v>359</v>
      </c>
    </row>
    <row r="88" customFormat="false" ht="15" hidden="false" customHeight="false" outlineLevel="0" collapsed="false">
      <c r="A88" s="6" t="str">
        <f aca="false">"Owed to the client's receivers ("&amp;$C$37&amp;")"</f>
        <v>Owed to the client's receivers (EUR)</v>
      </c>
      <c r="B88" s="6" t="s">
        <v>347</v>
      </c>
      <c r="C88" s="23" t="n">
        <f aca="false">$C$68</f>
        <v>560926</v>
      </c>
      <c r="D88" s="25" t="s">
        <v>348</v>
      </c>
      <c r="E88" s="25" t="s">
        <v>360</v>
      </c>
    </row>
    <row r="89" customFormat="false" ht="15" hidden="false" customHeight="false" outlineLevel="0" collapsed="false">
      <c r="A89" s="6" t="str">
        <f aca="false">"Client money in transit from "&amp;$C$38&amp;" ("&amp;$C$37&amp;")"</f>
        <v>Client money in transit from ALI (EUR)</v>
      </c>
      <c r="B89" s="6" t="s">
        <v>350</v>
      </c>
      <c r="C89" s="23" t="n">
        <f aca="false">$C$68</f>
        <v>560926</v>
      </c>
      <c r="D89" s="25" t="s">
        <v>348</v>
      </c>
      <c r="E89" s="25" t="s">
        <v>360</v>
      </c>
    </row>
    <row r="90" customFormat="false" ht="15" hidden="false" customHeight="false" outlineLevel="0" collapsed="false">
      <c r="A90" s="6" t="str">
        <f aca="false">"NPL's earnings ("&amp;$C$37&amp;")"</f>
        <v>NPL's earnings (EUR)</v>
      </c>
      <c r="B90" s="6" t="s">
        <v>347</v>
      </c>
      <c r="C90" s="23" t="n">
        <f aca="false">$C$72</f>
        <v>0</v>
      </c>
      <c r="D90" s="25" t="s">
        <v>361</v>
      </c>
      <c r="E90" s="25" t="s">
        <v>362</v>
      </c>
    </row>
    <row r="91" customFormat="false" ht="15" hidden="false" customHeight="false" outlineLevel="0" collapsed="false">
      <c r="A91" s="6" t="str">
        <f aca="false">"Owed to the other party ("&amp;$C$37&amp;")"</f>
        <v>Owed to the other party (EUR)</v>
      </c>
      <c r="B91" s="6" t="s">
        <v>350</v>
      </c>
      <c r="C91" s="23" t="n">
        <f aca="false">$C$72</f>
        <v>0</v>
      </c>
      <c r="D91" s="25" t="s">
        <v>361</v>
      </c>
      <c r="E91" s="25" t="s">
        <v>363</v>
      </c>
    </row>
    <row r="92" customFormat="false" ht="30" hidden="false" customHeight="true" outlineLevel="0" collapsed="false">
      <c r="A92" s="26" t="s">
        <v>364</v>
      </c>
      <c r="C92" s="27" t="n">
        <f aca="false">ROUND(SUMIF($B$81:$B$91,"in",$C$81:$C$91)-SUMIF($B$81:$B$91,"out",$C$81:$C$91),6)</f>
        <v>0</v>
      </c>
      <c r="E92" s="16" t="s">
        <v>365</v>
      </c>
    </row>
    <row r="94" customFormat="false" ht="15" hidden="false" customHeight="false" outlineLevel="0" collapsed="false">
      <c r="A94" s="14" t="s">
        <v>366</v>
      </c>
    </row>
    <row r="95" customFormat="false" ht="15" hidden="false" customHeight="false" outlineLevel="0" collapsed="false">
      <c r="A95" s="15" t="s">
        <v>367</v>
      </c>
      <c r="B95" s="15" t="s">
        <v>368</v>
      </c>
      <c r="C95" s="15" t="s">
        <v>369</v>
      </c>
      <c r="D95" s="15" t="s">
        <v>370</v>
      </c>
      <c r="E95" s="15" t="s">
        <v>371</v>
      </c>
    </row>
    <row r="96" customFormat="false" ht="30" hidden="false" customHeight="true" outlineLevel="0" collapsed="false">
      <c r="A96" s="3" t="s">
        <v>384</v>
      </c>
      <c r="B96" s="18" t="n">
        <v>0.857097</v>
      </c>
      <c r="C96" s="22" t="n">
        <f aca="false">$C$70</f>
        <v>0.857097236363636</v>
      </c>
      <c r="D96" s="27" t="n">
        <f aca="false">ROUND(C96-B96,2)</f>
        <v>0</v>
      </c>
      <c r="E96" s="16" t="s">
        <v>385</v>
      </c>
    </row>
    <row r="97" customFormat="false" ht="15.75" hidden="false" customHeight="true" outlineLevel="0" collapsed="false">
      <c r="A97" s="3" t="s">
        <v>372</v>
      </c>
      <c r="B97" s="17" t="n">
        <v>560927</v>
      </c>
      <c r="C97" s="23" t="n">
        <f aca="false">$C$60</f>
        <v>560926.77207984</v>
      </c>
      <c r="D97" s="27" t="n">
        <f aca="false">ROUND(C97-B97,2)</f>
        <v>-0.23</v>
      </c>
      <c r="E97" s="16" t="s">
        <v>386</v>
      </c>
    </row>
    <row r="99" customFormat="false" ht="15" hidden="false" customHeight="false" outlineLevel="0" collapsed="false">
      <c r="A99" s="14" t="s">
        <v>374</v>
      </c>
    </row>
    <row r="100" customFormat="false" ht="31.5" hidden="false" customHeight="true" outlineLevel="0" collapsed="false">
      <c r="A100" s="13" t="s">
        <v>375</v>
      </c>
      <c r="B100" s="28" t="s">
        <v>387</v>
      </c>
      <c r="C100" s="28"/>
      <c r="D100" s="28"/>
      <c r="E100" s="28"/>
    </row>
    <row r="101" customFormat="false" ht="31.5" hidden="false" customHeight="true" outlineLevel="0" collapsed="false">
      <c r="A101" s="13" t="s">
        <v>375</v>
      </c>
      <c r="B101" s="28" t="s">
        <v>388</v>
      </c>
      <c r="C101" s="28"/>
      <c r="D101" s="28"/>
      <c r="E101" s="28"/>
    </row>
    <row r="102" customFormat="false" ht="31.5" hidden="false" customHeight="true" outlineLevel="0" collapsed="false">
      <c r="A102" s="13" t="s">
        <v>375</v>
      </c>
      <c r="B102" s="28" t="s">
        <v>389</v>
      </c>
      <c r="C102" s="28"/>
      <c r="D102" s="28"/>
      <c r="E102" s="28"/>
    </row>
  </sheetData>
  <mergeCells count="3">
    <mergeCell ref="B100:E100"/>
    <mergeCell ref="B101:E101"/>
    <mergeCell ref="B102:E10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390</v>
      </c>
    </row>
    <row r="2" customFormat="false" ht="15" hidden="false" customHeight="false" outlineLevel="0" collapsed="false">
      <c r="A2" s="12" t="s">
        <v>210</v>
      </c>
      <c r="B2" s="13" t="s">
        <v>391</v>
      </c>
    </row>
    <row r="4" customFormat="false" ht="15" hidden="false" customHeight="false" outlineLevel="0" collapsed="false">
      <c r="A4" s="14" t="s">
        <v>212</v>
      </c>
    </row>
    <row r="5" customFormat="false" ht="15" hidden="false" customHeight="false" outlineLevel="0" collapsed="false">
      <c r="A5" s="15" t="s">
        <v>213</v>
      </c>
      <c r="B5" s="15" t="s">
        <v>214</v>
      </c>
      <c r="C5" s="15" t="s">
        <v>215</v>
      </c>
      <c r="D5" s="15" t="s">
        <v>216</v>
      </c>
    </row>
    <row r="6" customFormat="false" ht="15.75" hidden="false" customHeight="true" outlineLevel="0" collapsed="false">
      <c r="A6" s="3" t="s">
        <v>217</v>
      </c>
      <c r="B6" s="9" t="s">
        <v>126</v>
      </c>
      <c r="C6" s="3" t="s">
        <v>218</v>
      </c>
      <c r="D6" s="16" t="s">
        <v>219</v>
      </c>
    </row>
    <row r="7" customFormat="false" ht="42" hidden="false" customHeight="true" outlineLevel="0" collapsed="false">
      <c r="A7" s="3" t="s">
        <v>51</v>
      </c>
      <c r="B7" s="10"/>
      <c r="C7" s="3" t="s">
        <v>220</v>
      </c>
      <c r="D7" s="16" t="s">
        <v>221</v>
      </c>
    </row>
    <row r="8" customFormat="false" ht="42" hidden="false" customHeight="true" outlineLevel="0" collapsed="false">
      <c r="A8" s="3" t="s">
        <v>52</v>
      </c>
      <c r="B8" s="9" t="s">
        <v>392</v>
      </c>
      <c r="C8" s="3" t="s">
        <v>218</v>
      </c>
      <c r="D8" s="16" t="s">
        <v>222</v>
      </c>
    </row>
    <row r="9" customFormat="false" ht="42" hidden="false" customHeight="true" outlineLevel="0" collapsed="false">
      <c r="A9" s="3" t="s">
        <v>223</v>
      </c>
      <c r="B9" s="10"/>
      <c r="C9" s="3" t="s">
        <v>220</v>
      </c>
      <c r="D9" s="16" t="s">
        <v>224</v>
      </c>
    </row>
    <row r="10" customFormat="false" ht="15.75" hidden="false" customHeight="true" outlineLevel="0" collapsed="false">
      <c r="A10" s="3" t="s">
        <v>225</v>
      </c>
      <c r="B10" s="9" t="s">
        <v>226</v>
      </c>
      <c r="C10" s="3" t="s">
        <v>218</v>
      </c>
      <c r="D10" s="16" t="s">
        <v>227</v>
      </c>
    </row>
    <row r="11" customFormat="false" ht="42" hidden="false" customHeight="true" outlineLevel="0" collapsed="false">
      <c r="A11" s="3" t="s">
        <v>228</v>
      </c>
      <c r="B11" s="9" t="s">
        <v>393</v>
      </c>
      <c r="C11" s="3" t="s">
        <v>218</v>
      </c>
      <c r="D11" s="16" t="s">
        <v>230</v>
      </c>
    </row>
    <row r="12" customFormat="false" ht="15.75" hidden="false" customHeight="true" outlineLevel="0" collapsed="false">
      <c r="A12" s="3" t="s">
        <v>56</v>
      </c>
      <c r="B12" s="9" t="s">
        <v>93</v>
      </c>
      <c r="C12" s="3" t="s">
        <v>218</v>
      </c>
      <c r="D12" s="16"/>
    </row>
    <row r="13" customFormat="false" ht="42" hidden="false" customHeight="true" outlineLevel="0" collapsed="false">
      <c r="A13" s="3" t="s">
        <v>231</v>
      </c>
      <c r="B13" s="9" t="s">
        <v>94</v>
      </c>
      <c r="C13" s="3" t="s">
        <v>218</v>
      </c>
      <c r="D13" s="16" t="s">
        <v>232</v>
      </c>
    </row>
    <row r="14" customFormat="false" ht="15.75" hidden="false" customHeight="true" outlineLevel="0" collapsed="false">
      <c r="A14" s="3" t="s">
        <v>233</v>
      </c>
      <c r="B14" s="9" t="s">
        <v>85</v>
      </c>
      <c r="C14" s="3" t="s">
        <v>218</v>
      </c>
      <c r="D14" s="16" t="s">
        <v>234</v>
      </c>
    </row>
    <row r="15" customFormat="false" ht="42" hidden="false" customHeight="true" outlineLevel="0" collapsed="false">
      <c r="A15" s="3" t="s">
        <v>235</v>
      </c>
      <c r="B15" s="9" t="s">
        <v>236</v>
      </c>
      <c r="C15" s="3" t="s">
        <v>218</v>
      </c>
      <c r="D15" s="16" t="s">
        <v>237</v>
      </c>
    </row>
    <row r="16" customFormat="false" ht="15.75" hidden="false" customHeight="true" outlineLevel="0" collapsed="false">
      <c r="A16" s="3" t="s">
        <v>238</v>
      </c>
      <c r="B16" s="9" t="s">
        <v>239</v>
      </c>
      <c r="C16" s="3" t="s">
        <v>218</v>
      </c>
      <c r="D16" s="16" t="s">
        <v>240</v>
      </c>
    </row>
    <row r="17" customFormat="false" ht="42" hidden="false" customHeight="true" outlineLevel="0" collapsed="false">
      <c r="A17" s="3" t="s">
        <v>241</v>
      </c>
      <c r="B17" s="9" t="s">
        <v>86</v>
      </c>
      <c r="C17" s="3" t="s">
        <v>218</v>
      </c>
      <c r="D17" s="16" t="s">
        <v>242</v>
      </c>
    </row>
    <row r="18" customFormat="false" ht="15.75" hidden="false" customHeight="true" outlineLevel="0" collapsed="false">
      <c r="A18" s="3" t="s">
        <v>62</v>
      </c>
      <c r="B18" s="11" t="n">
        <v>0.02</v>
      </c>
      <c r="C18" s="3" t="s">
        <v>218</v>
      </c>
      <c r="D18" s="16" t="s">
        <v>243</v>
      </c>
    </row>
    <row r="19" customFormat="false" ht="15.75" hidden="false" customHeight="true" outlineLevel="0" collapsed="false">
      <c r="A19" s="3" t="s">
        <v>63</v>
      </c>
      <c r="B19" s="11" t="n">
        <v>0.014</v>
      </c>
      <c r="C19" s="3" t="s">
        <v>218</v>
      </c>
      <c r="D19" s="16"/>
    </row>
    <row r="20" customFormat="false" ht="15.75" hidden="false" customHeight="true" outlineLevel="0" collapsed="false">
      <c r="A20" s="3" t="s">
        <v>64</v>
      </c>
      <c r="B20" s="11" t="n">
        <v>0.006</v>
      </c>
      <c r="C20" s="3" t="s">
        <v>218</v>
      </c>
      <c r="D20" s="16" t="s">
        <v>244</v>
      </c>
    </row>
    <row r="21" customFormat="false" ht="15.75" hidden="false" customHeight="true" outlineLevel="0" collapsed="false">
      <c r="A21" s="3" t="s">
        <v>65</v>
      </c>
      <c r="B21" s="10"/>
      <c r="C21" s="3" t="s">
        <v>220</v>
      </c>
      <c r="D21" s="16" t="s">
        <v>245</v>
      </c>
    </row>
    <row r="22" customFormat="false" ht="15.75" hidden="false" customHeight="true" outlineLevel="0" collapsed="false">
      <c r="A22" s="3" t="s">
        <v>66</v>
      </c>
      <c r="B22" s="10"/>
      <c r="C22" s="3" t="s">
        <v>220</v>
      </c>
      <c r="D22" s="16" t="s">
        <v>245</v>
      </c>
    </row>
    <row r="23" customFormat="false" ht="15.75" hidden="false" customHeight="true" outlineLevel="0" collapsed="false">
      <c r="A23" s="3" t="s">
        <v>67</v>
      </c>
      <c r="B23" s="10"/>
      <c r="C23" s="3" t="s">
        <v>220</v>
      </c>
      <c r="D23" s="16" t="s">
        <v>246</v>
      </c>
    </row>
    <row r="24" customFormat="false" ht="42" hidden="false" customHeight="true" outlineLevel="0" collapsed="false">
      <c r="A24" s="3" t="s">
        <v>247</v>
      </c>
      <c r="B24" s="10"/>
      <c r="C24" s="3" t="s">
        <v>248</v>
      </c>
      <c r="D24" s="16" t="s">
        <v>249</v>
      </c>
    </row>
    <row r="25" customFormat="false" ht="42" hidden="false" customHeight="true" outlineLevel="0" collapsed="false">
      <c r="A25" s="3" t="s">
        <v>250</v>
      </c>
      <c r="B25" s="9" t="s">
        <v>95</v>
      </c>
      <c r="C25" s="3" t="s">
        <v>218</v>
      </c>
      <c r="D25" s="16" t="s">
        <v>253</v>
      </c>
    </row>
    <row r="26" customFormat="false" ht="15.75" hidden="false" customHeight="true" outlineLevel="0" collapsed="false">
      <c r="A26" s="3" t="s">
        <v>72</v>
      </c>
      <c r="B26" s="10"/>
      <c r="C26" s="3" t="s">
        <v>248</v>
      </c>
      <c r="D26" s="16" t="s">
        <v>255</v>
      </c>
    </row>
    <row r="27" customFormat="false" ht="15.75" hidden="false" customHeight="true" outlineLevel="0" collapsed="false">
      <c r="A27" s="3" t="s">
        <v>256</v>
      </c>
      <c r="B27" s="9"/>
      <c r="C27" s="3" t="s">
        <v>248</v>
      </c>
      <c r="D27" s="16" t="s">
        <v>257</v>
      </c>
    </row>
    <row r="28" customFormat="false" ht="42" hidden="false" customHeight="true" outlineLevel="0" collapsed="false">
      <c r="A28" s="3" t="s">
        <v>258</v>
      </c>
      <c r="B28" s="9" t="s">
        <v>259</v>
      </c>
      <c r="C28" s="3" t="s">
        <v>218</v>
      </c>
      <c r="D28" s="16" t="s">
        <v>260</v>
      </c>
    </row>
    <row r="29" customFormat="false" ht="15.75" hidden="false" customHeight="true" outlineLevel="0" collapsed="false">
      <c r="A29" s="3" t="s">
        <v>75</v>
      </c>
      <c r="B29" s="10"/>
      <c r="C29" s="3" t="s">
        <v>220</v>
      </c>
      <c r="D29" s="16" t="s">
        <v>261</v>
      </c>
    </row>
    <row r="30" customFormat="false" ht="15.75" hidden="false" customHeight="true" outlineLevel="0" collapsed="false">
      <c r="A30" s="3" t="s">
        <v>76</v>
      </c>
      <c r="B30" s="10"/>
      <c r="C30" s="3" t="s">
        <v>220</v>
      </c>
      <c r="D30" s="16" t="s">
        <v>262</v>
      </c>
    </row>
    <row r="31" customFormat="false" ht="42" hidden="false" customHeight="true" outlineLevel="0" collapsed="false">
      <c r="A31" s="3" t="s">
        <v>263</v>
      </c>
      <c r="B31" s="10"/>
      <c r="C31" s="3" t="s">
        <v>220</v>
      </c>
      <c r="D31" s="16" t="s">
        <v>264</v>
      </c>
    </row>
    <row r="33" customFormat="false" ht="15" hidden="false" customHeight="false" outlineLevel="0" collapsed="false">
      <c r="A33" s="14" t="s">
        <v>265</v>
      </c>
    </row>
    <row r="34" customFormat="false" ht="15" hidden="false" customHeight="false" outlineLevel="0" collapsed="false">
      <c r="A34" s="15" t="s">
        <v>213</v>
      </c>
      <c r="B34" s="15"/>
      <c r="C34" s="15" t="s">
        <v>214</v>
      </c>
      <c r="D34" s="15"/>
      <c r="E34" s="15" t="s">
        <v>14</v>
      </c>
    </row>
    <row r="35" customFormat="false" ht="15" hidden="false" customHeight="false" outlineLevel="0" collapsed="false">
      <c r="A35" s="3" t="s">
        <v>266</v>
      </c>
      <c r="C35" s="17" t="n">
        <v>29325</v>
      </c>
      <c r="E35" s="16" t="s">
        <v>267</v>
      </c>
    </row>
    <row r="36" customFormat="false" ht="15" hidden="false" customHeight="false" outlineLevel="0" collapsed="false">
      <c r="A36" s="3" t="s">
        <v>268</v>
      </c>
      <c r="C36" s="7" t="s">
        <v>269</v>
      </c>
      <c r="E36" s="16"/>
    </row>
    <row r="37" customFormat="false" ht="15" hidden="false" customHeight="false" outlineLevel="0" collapsed="false">
      <c r="A37" s="3" t="s">
        <v>270</v>
      </c>
      <c r="C37" s="7" t="s">
        <v>271</v>
      </c>
      <c r="E37" s="16"/>
    </row>
    <row r="38" customFormat="false" ht="15" hidden="false" customHeight="false" outlineLevel="0" collapsed="false">
      <c r="A38" s="3" t="s">
        <v>272</v>
      </c>
      <c r="C38" s="7" t="s">
        <v>383</v>
      </c>
      <c r="E38" s="16" t="s">
        <v>274</v>
      </c>
    </row>
    <row r="39" customFormat="false" ht="15" hidden="false" customHeight="false" outlineLevel="0" collapsed="false">
      <c r="A39" s="3" t="s">
        <v>275</v>
      </c>
      <c r="C39" s="18" t="n">
        <v>0.888977323</v>
      </c>
      <c r="E39" s="16" t="s">
        <v>276</v>
      </c>
    </row>
    <row r="40" customFormat="false" ht="22.35" hidden="false" customHeight="false" outlineLevel="0" collapsed="false">
      <c r="A40" s="3" t="s">
        <v>277</v>
      </c>
      <c r="C40" s="18" t="n">
        <v>0.881421</v>
      </c>
      <c r="E40" s="16" t="s">
        <v>278</v>
      </c>
    </row>
    <row r="41" customFormat="false" ht="15" hidden="false" customHeight="false" outlineLevel="0" collapsed="false">
      <c r="A41" s="3" t="s">
        <v>279</v>
      </c>
      <c r="C41" s="20" t="n">
        <v>0</v>
      </c>
      <c r="E41" s="16" t="s">
        <v>280</v>
      </c>
    </row>
    <row r="42" customFormat="false" ht="15" hidden="false" customHeight="false" outlineLevel="0" collapsed="false">
      <c r="A42" s="3" t="s">
        <v>281</v>
      </c>
      <c r="C42" s="20" t="n">
        <v>0.02</v>
      </c>
      <c r="E42" s="16"/>
    </row>
    <row r="43" customFormat="false" ht="15" hidden="false" customHeight="false" outlineLevel="0" collapsed="false">
      <c r="A43" s="3" t="s">
        <v>282</v>
      </c>
      <c r="C43" s="20" t="n">
        <v>0.014</v>
      </c>
      <c r="E43" s="16"/>
    </row>
    <row r="44" customFormat="false" ht="15" hidden="false" customHeight="false" outlineLevel="0" collapsed="false">
      <c r="A44" s="3" t="s">
        <v>283</v>
      </c>
      <c r="C44" s="20" t="n">
        <v>0.006</v>
      </c>
      <c r="E44" s="16"/>
    </row>
    <row r="45" customFormat="false" ht="15" hidden="false" customHeight="false" outlineLevel="0" collapsed="false">
      <c r="A45" s="3" t="s">
        <v>238</v>
      </c>
      <c r="C45" s="7" t="s">
        <v>239</v>
      </c>
      <c r="E45" s="16" t="s">
        <v>284</v>
      </c>
    </row>
    <row r="46" customFormat="false" ht="15" hidden="false" customHeight="false" outlineLevel="0" collapsed="false">
      <c r="A46" s="3" t="s">
        <v>231</v>
      </c>
      <c r="C46" s="7" t="s">
        <v>94</v>
      </c>
      <c r="E46" s="16" t="s">
        <v>285</v>
      </c>
    </row>
    <row r="47" customFormat="false" ht="15" hidden="false" customHeight="false" outlineLevel="0" collapsed="false">
      <c r="A47" s="3" t="s">
        <v>235</v>
      </c>
      <c r="C47" s="7" t="s">
        <v>236</v>
      </c>
      <c r="E47" s="16" t="s">
        <v>286</v>
      </c>
    </row>
    <row r="48" customFormat="false" ht="15" hidden="false" customHeight="false" outlineLevel="0" collapsed="false">
      <c r="A48" s="3" t="s">
        <v>258</v>
      </c>
      <c r="C48" s="7" t="s">
        <v>259</v>
      </c>
      <c r="E48" s="16" t="s">
        <v>287</v>
      </c>
    </row>
    <row r="49" customFormat="false" ht="15" hidden="false" customHeight="false" outlineLevel="0" collapsed="false">
      <c r="A49" s="3" t="s">
        <v>288</v>
      </c>
      <c r="C49" s="17" t="n">
        <v>1</v>
      </c>
      <c r="E49" s="16" t="s">
        <v>289</v>
      </c>
    </row>
    <row r="50" customFormat="false" ht="15" hidden="false" customHeight="false" outlineLevel="0" collapsed="false">
      <c r="A50" s="3" t="s">
        <v>290</v>
      </c>
      <c r="C50" s="20" t="n">
        <v>0.005</v>
      </c>
      <c r="E50" s="16"/>
    </row>
    <row r="51" customFormat="false" ht="15" hidden="false" customHeight="false" outlineLevel="0" collapsed="false">
      <c r="A51" s="3" t="s">
        <v>291</v>
      </c>
      <c r="C51" s="21"/>
      <c r="E51" s="16" t="s">
        <v>292</v>
      </c>
    </row>
    <row r="52" customFormat="false" ht="22.35" hidden="false" customHeight="false" outlineLevel="0" collapsed="false">
      <c r="A52" s="3" t="s">
        <v>250</v>
      </c>
      <c r="C52" s="7" t="s">
        <v>95</v>
      </c>
      <c r="E52" s="16" t="s">
        <v>294</v>
      </c>
    </row>
    <row r="53" customFormat="false" ht="15" hidden="false" customHeight="false" outlineLevel="0" collapsed="false">
      <c r="A53" s="3" t="s">
        <v>295</v>
      </c>
      <c r="C53" s="20" t="n">
        <v>0</v>
      </c>
      <c r="E53" s="16"/>
    </row>
    <row r="54" customFormat="false" ht="15" hidden="false" customHeight="false" outlineLevel="0" collapsed="false">
      <c r="A54" s="3" t="s">
        <v>296</v>
      </c>
      <c r="C54" s="20" t="n">
        <v>0</v>
      </c>
      <c r="E54" s="16" t="s">
        <v>297</v>
      </c>
    </row>
    <row r="56" customFormat="false" ht="15" hidden="false" customHeight="false" outlineLevel="0" collapsed="false">
      <c r="A56" s="14" t="s">
        <v>298</v>
      </c>
    </row>
    <row r="57" customFormat="false" ht="15" hidden="false" customHeight="false" outlineLevel="0" collapsed="false">
      <c r="A57" s="15" t="s">
        <v>299</v>
      </c>
      <c r="B57" s="15" t="s">
        <v>300</v>
      </c>
      <c r="C57" s="15" t="s">
        <v>214</v>
      </c>
      <c r="E57" s="15" t="s">
        <v>216</v>
      </c>
    </row>
    <row r="58" customFormat="false" ht="15" hidden="false" customHeight="false" outlineLevel="0" collapsed="false">
      <c r="A58" s="3" t="s">
        <v>301</v>
      </c>
      <c r="B58" s="16" t="s">
        <v>302</v>
      </c>
      <c r="C58" s="22" t="n">
        <f aca="false">IF($C$45="market rate",$C$39,$C$40)</f>
        <v>0.888977323</v>
      </c>
      <c r="E58" s="16"/>
    </row>
    <row r="59" customFormat="false" ht="22.35" hidden="false" customHeight="false" outlineLevel="0" collapsed="false">
      <c r="A59" s="3" t="s">
        <v>303</v>
      </c>
      <c r="B59" s="16" t="s">
        <v>304</v>
      </c>
      <c r="C59" s="22" t="n">
        <f aca="false">IF($C$47="added to what the sender pays",$C$58/(1+$C$43),$C$58*(1-$C$43))</f>
        <v>0.876531640478</v>
      </c>
      <c r="E59" s="16"/>
    </row>
    <row r="60" customFormat="false" ht="15" hidden="false" customHeight="false" outlineLevel="0" collapsed="false">
      <c r="A60" s="3" t="s">
        <v>305</v>
      </c>
      <c r="B60" s="16" t="s">
        <v>306</v>
      </c>
      <c r="C60" s="23" t="n">
        <f aca="false">$C$35*$C$59</f>
        <v>25704.2903570174</v>
      </c>
      <c r="E60" s="16" t="s">
        <v>307</v>
      </c>
    </row>
    <row r="61" customFormat="false" ht="15" hidden="false" customHeight="false" outlineLevel="0" collapsed="false">
      <c r="A61" s="3" t="s">
        <v>308</v>
      </c>
      <c r="B61" s="16" t="s">
        <v>309</v>
      </c>
      <c r="C61" s="23" t="n">
        <f aca="false">$C$60*$C$44</f>
        <v>154.225742142104</v>
      </c>
      <c r="E61" s="16" t="s">
        <v>310</v>
      </c>
    </row>
    <row r="62" customFormat="false" ht="15" hidden="false" customHeight="false" outlineLevel="0" collapsed="false">
      <c r="A62" s="3" t="s">
        <v>311</v>
      </c>
      <c r="B62" s="16" t="s">
        <v>312</v>
      </c>
      <c r="C62" s="23" t="n">
        <f aca="false">$C$60-$C$61</f>
        <v>25550.0646148752</v>
      </c>
      <c r="E62" s="16" t="s">
        <v>313</v>
      </c>
    </row>
    <row r="63" customFormat="false" ht="32.8" hidden="false" customHeight="false" outlineLevel="0" collapsed="false">
      <c r="A63" s="3" t="s">
        <v>314</v>
      </c>
      <c r="B63" s="16" t="s">
        <v>315</v>
      </c>
      <c r="C63" s="23" t="n">
        <f aca="false">IF($C$46="NPL's own wallet",$C$35*$C$39,IF($C$46="fee on top of market",$C$35*$C$39*(1-$C$41),$C$35*$C$40))</f>
        <v>25847.670825</v>
      </c>
      <c r="E63" s="16"/>
    </row>
    <row r="64" customFormat="false" ht="22.35" hidden="false" customHeight="false" outlineLevel="0" collapsed="false">
      <c r="A64" s="3" t="s">
        <v>316</v>
      </c>
      <c r="B64" s="16" t="s">
        <v>317</v>
      </c>
      <c r="C64" s="23" t="n">
        <f aca="false">$C$35*$C$39-$C$63</f>
        <v>221.589171975</v>
      </c>
      <c r="E64" s="16"/>
    </row>
    <row r="65" customFormat="false" ht="15" hidden="false" customHeight="false" outlineLevel="0" collapsed="false">
      <c r="A65" s="3" t="s">
        <v>318</v>
      </c>
      <c r="B65" s="16" t="s">
        <v>319</v>
      </c>
      <c r="C65" s="23" t="n">
        <f aca="false">$C$63-$C$62</f>
        <v>297.606210124755</v>
      </c>
      <c r="E65" s="16" t="s">
        <v>320</v>
      </c>
    </row>
    <row r="66" customFormat="false" ht="15" hidden="false" customHeight="false" outlineLevel="0" collapsed="false">
      <c r="A66" s="3" t="s">
        <v>321</v>
      </c>
      <c r="B66" s="16" t="s">
        <v>322</v>
      </c>
      <c r="C66" s="24" t="n">
        <f aca="false">IF($C$35*$C$39=0,0,$C$65/($C$35*$C$39))</f>
        <v>0.0114159822779507</v>
      </c>
      <c r="E66" s="16"/>
    </row>
    <row r="67" customFormat="false" ht="15" hidden="false" customHeight="false" outlineLevel="0" collapsed="false">
      <c r="A67" s="3" t="s">
        <v>323</v>
      </c>
      <c r="B67" s="16" t="s">
        <v>324</v>
      </c>
      <c r="C67" s="6" t="str">
        <f aca="false">IF($C$66&lt;$C$50,"YES — Finance must approve","no")</f>
        <v>no</v>
      </c>
      <c r="E67" s="16"/>
    </row>
    <row r="68" customFormat="false" ht="22.35" hidden="false" customHeight="false" outlineLevel="0" collapsed="false">
      <c r="A68" s="3" t="s">
        <v>325</v>
      </c>
      <c r="B68" s="16" t="s">
        <v>326</v>
      </c>
      <c r="C68" s="23" t="n">
        <f aca="false">IF($C$48="round up",CEILING($C$62,$C$49),IF($C$48="nearest unit",MROUND($C$62,$C$49),IF($C$48="nearest 1,000",MROUND($C$62,$C$49),FLOOR($C$62,$C$49))))</f>
        <v>25550</v>
      </c>
      <c r="E68" s="16" t="s">
        <v>327</v>
      </c>
    </row>
    <row r="69" customFormat="false" ht="23.85" hidden="false" customHeight="false" outlineLevel="0" collapsed="false">
      <c r="A69" s="3" t="s">
        <v>328</v>
      </c>
      <c r="B69" s="16" t="s">
        <v>329</v>
      </c>
      <c r="C69" s="23" t="n">
        <f aca="false">$C$62-$C$68</f>
        <v>0.0646148752457521</v>
      </c>
      <c r="E69" s="16"/>
    </row>
    <row r="70" customFormat="false" ht="22.35" hidden="false" customHeight="false" outlineLevel="0" collapsed="false">
      <c r="A70" s="3" t="s">
        <v>330</v>
      </c>
      <c r="B70" s="16" t="s">
        <v>331</v>
      </c>
      <c r="C70" s="22" t="n">
        <f aca="false">IF($C$51="",$C$58,$C$59/(1-$C$51))</f>
        <v>0.888977323</v>
      </c>
      <c r="E70" s="16" t="s">
        <v>332</v>
      </c>
    </row>
    <row r="71" customFormat="false" ht="22.35" hidden="false" customHeight="false" outlineLevel="0" collapsed="false">
      <c r="A71" s="3" t="s">
        <v>333</v>
      </c>
      <c r="B71" s="16" t="s">
        <v>334</v>
      </c>
      <c r="C71" s="23" t="n">
        <f aca="false">IF($C$52="paid back monthly",$C$64*$C$53,0)</f>
        <v>0</v>
      </c>
      <c r="E71" s="16"/>
    </row>
    <row r="72" customFormat="false" ht="15" hidden="false" customHeight="false" outlineLevel="0" collapsed="false">
      <c r="A72" s="3" t="s">
        <v>335</v>
      </c>
      <c r="B72" s="16" t="s">
        <v>336</v>
      </c>
      <c r="C72" s="23" t="n">
        <f aca="false">$C$35*$C$39*$C$54</f>
        <v>0</v>
      </c>
      <c r="E72" s="16" t="s">
        <v>337</v>
      </c>
    </row>
    <row r="73" customFormat="false" ht="23.85" hidden="false" customHeight="false" outlineLevel="0" collapsed="false">
      <c r="A73" s="3" t="s">
        <v>338</v>
      </c>
      <c r="B73" s="16" t="s">
        <v>339</v>
      </c>
      <c r="C73" s="23" t="n">
        <f aca="false">ROUND($C$62+$C$64+$C$65-$C$35*$C$39,6)</f>
        <v>0</v>
      </c>
      <c r="E73" s="16" t="s">
        <v>340</v>
      </c>
    </row>
    <row r="75" customFormat="false" ht="15" hidden="false" customHeight="false" outlineLevel="0" collapsed="false">
      <c r="A75" s="14" t="s">
        <v>341</v>
      </c>
    </row>
    <row r="76" customFormat="false" ht="15" hidden="false" customHeight="false" outlineLevel="0" collapsed="false">
      <c r="A76" s="15" t="s">
        <v>342</v>
      </c>
      <c r="B76" s="15" t="s">
        <v>343</v>
      </c>
      <c r="C76" s="15" t="s">
        <v>344</v>
      </c>
      <c r="D76" s="15" t="s">
        <v>345</v>
      </c>
      <c r="E76" s="15" t="s">
        <v>346</v>
      </c>
    </row>
    <row r="77" customFormat="false" ht="15" hidden="false" customHeight="false" outlineLevel="0" collapsed="false">
      <c r="A77" s="6" t="str">
        <f aca="false">"Client money received at "&amp;$C$38&amp;" ("&amp;$C$36&amp;")"</f>
        <v>Client money received at ALI (USDT)</v>
      </c>
      <c r="B77" s="6" t="s">
        <v>347</v>
      </c>
      <c r="C77" s="23" t="n">
        <f aca="false">$C$35</f>
        <v>29325</v>
      </c>
      <c r="D77" s="25" t="s">
        <v>348</v>
      </c>
      <c r="E77" s="25" t="s">
        <v>349</v>
      </c>
    </row>
    <row r="78" customFormat="false" ht="15" hidden="false" customHeight="false" outlineLevel="0" collapsed="false">
      <c r="A78" s="6" t="str">
        <f aca="false">"Owed to the client's receivers ("&amp;$C$36&amp;")"</f>
        <v>Owed to the client's receivers (USDT)</v>
      </c>
      <c r="B78" s="6" t="s">
        <v>350</v>
      </c>
      <c r="C78" s="23" t="n">
        <f aca="false">$C$35</f>
        <v>29325</v>
      </c>
      <c r="D78" s="25" t="s">
        <v>348</v>
      </c>
      <c r="E78" s="25" t="s">
        <v>349</v>
      </c>
    </row>
    <row r="79" customFormat="false" ht="15" hidden="false" customHeight="false" outlineLevel="0" collapsed="false">
      <c r="A79" s="6" t="str">
        <f aca="false">"Owed to the client's receivers ("&amp;$C$36&amp;")"</f>
        <v>Owed to the client's receivers (USDT)</v>
      </c>
      <c r="B79" s="6" t="s">
        <v>347</v>
      </c>
      <c r="C79" s="23" t="n">
        <f aca="false">$C$35</f>
        <v>29325</v>
      </c>
      <c r="D79" s="25" t="s">
        <v>348</v>
      </c>
      <c r="E79" s="25" t="s">
        <v>351</v>
      </c>
    </row>
    <row r="80" customFormat="false" ht="15" hidden="false" customHeight="false" outlineLevel="0" collapsed="false">
      <c r="A80" s="6" t="str">
        <f aca="false">"Client money received at "&amp;$C$38&amp;" ("&amp;$C$36&amp;")"</f>
        <v>Client money received at ALI (USDT)</v>
      </c>
      <c r="B80" s="6" t="s">
        <v>350</v>
      </c>
      <c r="C80" s="23" t="n">
        <f aca="false">$C$35</f>
        <v>29325</v>
      </c>
      <c r="D80" s="25" t="s">
        <v>348</v>
      </c>
      <c r="E80" s="25" t="s">
        <v>351</v>
      </c>
    </row>
    <row r="81" customFormat="false" ht="15" hidden="false" customHeight="false" outlineLevel="0" collapsed="false">
      <c r="A81" s="6" t="str">
        <f aca="false">"Client money ready to pay out at "&amp;$C$38&amp;" ("&amp;$C$37&amp;")"</f>
        <v>Client money ready to pay out at ALI (EUR)</v>
      </c>
      <c r="B81" s="6" t="s">
        <v>347</v>
      </c>
      <c r="C81" s="23" t="n">
        <f aca="false">$C$62</f>
        <v>25550.0646148752</v>
      </c>
      <c r="D81" s="25" t="s">
        <v>352</v>
      </c>
      <c r="E81" s="25" t="s">
        <v>353</v>
      </c>
    </row>
    <row r="82" customFormat="false" ht="15" hidden="false" customHeight="false" outlineLevel="0" collapsed="false">
      <c r="A82" s="6" t="str">
        <f aca="false">"NPL's earnings kept at "&amp;$C$38&amp;" ("&amp;$C$37&amp;")"</f>
        <v>NPL's earnings kept at ALI (EUR)</v>
      </c>
      <c r="B82" s="6" t="s">
        <v>347</v>
      </c>
      <c r="C82" s="23" t="n">
        <f aca="false">IF($C$52="paid back monthly",0,$C$65)</f>
        <v>297.606210124755</v>
      </c>
      <c r="D82" s="25" t="s">
        <v>354</v>
      </c>
      <c r="E82" s="25" t="s">
        <v>355</v>
      </c>
    </row>
    <row r="83" customFormat="false" ht="15" hidden="false" customHeight="false" outlineLevel="0" collapsed="false">
      <c r="A83" s="6" t="str">
        <f aca="false">"Owed back to NPL by "&amp;$C$38&amp;" ("&amp;$C$37&amp;")"</f>
        <v>Owed back to NPL by ALI (EUR)</v>
      </c>
      <c r="B83" s="6" t="s">
        <v>347</v>
      </c>
      <c r="C83" s="23" t="n">
        <f aca="false">$C$71</f>
        <v>0</v>
      </c>
      <c r="D83" s="25" t="s">
        <v>354</v>
      </c>
      <c r="E83" s="25" t="s">
        <v>356</v>
      </c>
    </row>
    <row r="84" customFormat="false" ht="15" hidden="false" customHeight="false" outlineLevel="0" collapsed="false">
      <c r="A84" s="6" t="str">
        <f aca="false">"Owed to the client's receivers ("&amp;$C$37&amp;")"</f>
        <v>Owed to the client's receivers (EUR)</v>
      </c>
      <c r="B84" s="6" t="s">
        <v>350</v>
      </c>
      <c r="C84" s="23" t="n">
        <f aca="false">$C$62</f>
        <v>25550.0646148752</v>
      </c>
      <c r="D84" s="25" t="s">
        <v>348</v>
      </c>
      <c r="E84" s="25" t="s">
        <v>353</v>
      </c>
    </row>
    <row r="85" customFormat="false" ht="15" hidden="false" customHeight="false" outlineLevel="0" collapsed="false">
      <c r="A85" s="6" t="str">
        <f aca="false">"NPL's earnings ("&amp;$C$37&amp;")"</f>
        <v>NPL's earnings (EUR)</v>
      </c>
      <c r="B85" s="6" t="s">
        <v>350</v>
      </c>
      <c r="C85" s="23" t="n">
        <f aca="false">$C$65+$C$71</f>
        <v>297.606210124755</v>
      </c>
      <c r="D85" s="25" t="s">
        <v>354</v>
      </c>
      <c r="E85" s="25" t="s">
        <v>357</v>
      </c>
    </row>
    <row r="86" customFormat="false" ht="15" hidden="false" customHeight="false" outlineLevel="0" collapsed="false">
      <c r="A86" s="6" t="str">
        <f aca="false">"Client money in transit from "&amp;$C$38&amp;" ("&amp;$C$37&amp;")"</f>
        <v>Client money in transit from ALI (EUR)</v>
      </c>
      <c r="B86" s="6" t="s">
        <v>347</v>
      </c>
      <c r="C86" s="23" t="n">
        <f aca="false">$C$68</f>
        <v>25550</v>
      </c>
      <c r="D86" s="25" t="s">
        <v>348</v>
      </c>
      <c r="E86" s="25" t="s">
        <v>358</v>
      </c>
    </row>
    <row r="87" customFormat="false" ht="15" hidden="false" customHeight="false" outlineLevel="0" collapsed="false">
      <c r="A87" s="6" t="str">
        <f aca="false">"Client money ready to pay out at "&amp;$C$38&amp;" ("&amp;$C$37&amp;")"</f>
        <v>Client money ready to pay out at ALI (EUR)</v>
      </c>
      <c r="B87" s="6" t="s">
        <v>350</v>
      </c>
      <c r="C87" s="23" t="n">
        <f aca="false">$C$68</f>
        <v>25550</v>
      </c>
      <c r="D87" s="25" t="s">
        <v>348</v>
      </c>
      <c r="E87" s="25" t="s">
        <v>359</v>
      </c>
    </row>
    <row r="88" customFormat="false" ht="15" hidden="false" customHeight="false" outlineLevel="0" collapsed="false">
      <c r="A88" s="6" t="str">
        <f aca="false">"Owed to the client's receivers ("&amp;$C$37&amp;")"</f>
        <v>Owed to the client's receivers (EUR)</v>
      </c>
      <c r="B88" s="6" t="s">
        <v>347</v>
      </c>
      <c r="C88" s="23" t="n">
        <f aca="false">$C$68</f>
        <v>25550</v>
      </c>
      <c r="D88" s="25" t="s">
        <v>348</v>
      </c>
      <c r="E88" s="25" t="s">
        <v>360</v>
      </c>
    </row>
    <row r="89" customFormat="false" ht="15" hidden="false" customHeight="false" outlineLevel="0" collapsed="false">
      <c r="A89" s="6" t="str">
        <f aca="false">"Client money in transit from "&amp;$C$38&amp;" ("&amp;$C$37&amp;")"</f>
        <v>Client money in transit from ALI (EUR)</v>
      </c>
      <c r="B89" s="6" t="s">
        <v>350</v>
      </c>
      <c r="C89" s="23" t="n">
        <f aca="false">$C$68</f>
        <v>25550</v>
      </c>
      <c r="D89" s="25" t="s">
        <v>348</v>
      </c>
      <c r="E89" s="25" t="s">
        <v>360</v>
      </c>
    </row>
    <row r="90" customFormat="false" ht="15" hidden="false" customHeight="false" outlineLevel="0" collapsed="false">
      <c r="A90" s="6" t="str">
        <f aca="false">"NPL's earnings ("&amp;$C$37&amp;")"</f>
        <v>NPL's earnings (EUR)</v>
      </c>
      <c r="B90" s="6" t="s">
        <v>347</v>
      </c>
      <c r="C90" s="23" t="n">
        <f aca="false">$C$72</f>
        <v>0</v>
      </c>
      <c r="D90" s="25" t="s">
        <v>361</v>
      </c>
      <c r="E90" s="25" t="s">
        <v>362</v>
      </c>
    </row>
    <row r="91" customFormat="false" ht="15" hidden="false" customHeight="false" outlineLevel="0" collapsed="false">
      <c r="A91" s="6" t="str">
        <f aca="false">"Owed to the other party ("&amp;$C$37&amp;")"</f>
        <v>Owed to the other party (EUR)</v>
      </c>
      <c r="B91" s="6" t="s">
        <v>350</v>
      </c>
      <c r="C91" s="23" t="n">
        <f aca="false">$C$72</f>
        <v>0</v>
      </c>
      <c r="D91" s="25" t="s">
        <v>361</v>
      </c>
      <c r="E91" s="25" t="s">
        <v>363</v>
      </c>
    </row>
    <row r="92" customFormat="false" ht="30" hidden="false" customHeight="true" outlineLevel="0" collapsed="false">
      <c r="A92" s="26" t="s">
        <v>364</v>
      </c>
      <c r="C92" s="27" t="n">
        <f aca="false">ROUND(SUMIF($B$81:$B$91,"in",$C$81:$C$91)-SUMIF($B$81:$B$91,"out",$C$81:$C$91),6)</f>
        <v>0</v>
      </c>
      <c r="E92" s="16" t="s">
        <v>365</v>
      </c>
    </row>
    <row r="94" customFormat="false" ht="15" hidden="false" customHeight="false" outlineLevel="0" collapsed="false">
      <c r="A94" s="14" t="s">
        <v>366</v>
      </c>
    </row>
    <row r="95" customFormat="false" ht="15" hidden="false" customHeight="false" outlineLevel="0" collapsed="false">
      <c r="A95" s="15" t="s">
        <v>367</v>
      </c>
      <c r="B95" s="15" t="s">
        <v>368</v>
      </c>
      <c r="C95" s="15" t="s">
        <v>369</v>
      </c>
      <c r="D95" s="15" t="s">
        <v>370</v>
      </c>
      <c r="E95" s="15" t="s">
        <v>371</v>
      </c>
    </row>
    <row r="96" customFormat="false" ht="15.75" hidden="false" customHeight="true" outlineLevel="0" collapsed="false">
      <c r="A96" s="3" t="s">
        <v>394</v>
      </c>
      <c r="B96" s="18" t="n">
        <v>0.876531640478</v>
      </c>
      <c r="C96" s="22" t="n">
        <f aca="false">$C$59</f>
        <v>0.876531640478</v>
      </c>
      <c r="D96" s="27" t="n">
        <f aca="false">ROUND(C96-B96,2)</f>
        <v>0</v>
      </c>
      <c r="E96" s="16" t="s">
        <v>395</v>
      </c>
    </row>
    <row r="97" customFormat="false" ht="15.75" hidden="false" customHeight="true" outlineLevel="0" collapsed="false">
      <c r="A97" s="3" t="s">
        <v>396</v>
      </c>
      <c r="B97" s="17" t="n">
        <v>25704</v>
      </c>
      <c r="C97" s="23" t="n">
        <f aca="false">$C$60</f>
        <v>25704.2903570174</v>
      </c>
      <c r="D97" s="27" t="n">
        <f aca="false">ROUND(C97-B97,2)</f>
        <v>0.29</v>
      </c>
      <c r="E97" s="16" t="s">
        <v>397</v>
      </c>
    </row>
    <row r="98" customFormat="false" ht="15.75" hidden="false" customHeight="true" outlineLevel="0" collapsed="false">
      <c r="A98" s="3" t="s">
        <v>398</v>
      </c>
      <c r="B98" s="17" t="n">
        <v>25550</v>
      </c>
      <c r="C98" s="23" t="n">
        <f aca="false">$C$62</f>
        <v>25550.0646148752</v>
      </c>
      <c r="D98" s="27" t="n">
        <f aca="false">ROUND(C98-B98,2)</f>
        <v>0.06</v>
      </c>
      <c r="E98" s="16" t="s">
        <v>399</v>
      </c>
    </row>
    <row r="100" customFormat="false" ht="15" hidden="false" customHeight="false" outlineLevel="0" collapsed="false">
      <c r="A100" s="14" t="s">
        <v>374</v>
      </c>
    </row>
    <row r="101" customFormat="false" ht="31.5" hidden="false" customHeight="true" outlineLevel="0" collapsed="false">
      <c r="A101" s="13" t="s">
        <v>375</v>
      </c>
      <c r="B101" s="28" t="s">
        <v>400</v>
      </c>
      <c r="C101" s="28"/>
      <c r="D101" s="28"/>
      <c r="E101" s="28"/>
    </row>
    <row r="102" customFormat="false" ht="31.5" hidden="false" customHeight="true" outlineLevel="0" collapsed="false">
      <c r="A102" s="13" t="s">
        <v>375</v>
      </c>
      <c r="B102" s="28" t="s">
        <v>401</v>
      </c>
      <c r="C102" s="28"/>
      <c r="D102" s="28"/>
      <c r="E102" s="28"/>
    </row>
    <row r="103" customFormat="false" ht="31.5" hidden="false" customHeight="true" outlineLevel="0" collapsed="false">
      <c r="A103" s="13" t="s">
        <v>375</v>
      </c>
      <c r="B103" s="28" t="s">
        <v>402</v>
      </c>
      <c r="C103" s="28"/>
      <c r="D103" s="28"/>
      <c r="E103" s="28"/>
    </row>
  </sheetData>
  <mergeCells count="3">
    <mergeCell ref="B101:E101"/>
    <mergeCell ref="B102:E102"/>
    <mergeCell ref="B103:E10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403</v>
      </c>
    </row>
    <row r="2" customFormat="false" ht="15" hidden="false" customHeight="false" outlineLevel="0" collapsed="false">
      <c r="A2" s="12" t="s">
        <v>210</v>
      </c>
      <c r="B2" s="13" t="s">
        <v>404</v>
      </c>
    </row>
    <row r="4" customFormat="false" ht="15" hidden="false" customHeight="false" outlineLevel="0" collapsed="false">
      <c r="A4" s="14" t="s">
        <v>212</v>
      </c>
    </row>
    <row r="5" customFormat="false" ht="15" hidden="false" customHeight="false" outlineLevel="0" collapsed="false">
      <c r="A5" s="15" t="s">
        <v>213</v>
      </c>
      <c r="B5" s="15" t="s">
        <v>214</v>
      </c>
      <c r="C5" s="15" t="s">
        <v>215</v>
      </c>
      <c r="D5" s="15" t="s">
        <v>216</v>
      </c>
    </row>
    <row r="6" customFormat="false" ht="15.75" hidden="false" customHeight="true" outlineLevel="0" collapsed="false">
      <c r="A6" s="3" t="s">
        <v>217</v>
      </c>
      <c r="B6" s="9" t="s">
        <v>149</v>
      </c>
      <c r="C6" s="3" t="s">
        <v>218</v>
      </c>
      <c r="D6" s="16" t="s">
        <v>219</v>
      </c>
    </row>
    <row r="7" customFormat="false" ht="42" hidden="false" customHeight="true" outlineLevel="0" collapsed="false">
      <c r="A7" s="3" t="s">
        <v>51</v>
      </c>
      <c r="B7" s="10"/>
      <c r="C7" s="3" t="s">
        <v>220</v>
      </c>
      <c r="D7" s="16" t="s">
        <v>221</v>
      </c>
    </row>
    <row r="8" customFormat="false" ht="42" hidden="false" customHeight="true" outlineLevel="0" collapsed="false">
      <c r="A8" s="3" t="s">
        <v>52</v>
      </c>
      <c r="B8" s="10"/>
      <c r="C8" s="3" t="s">
        <v>220</v>
      </c>
      <c r="D8" s="16" t="s">
        <v>222</v>
      </c>
    </row>
    <row r="9" customFormat="false" ht="42" hidden="false" customHeight="true" outlineLevel="0" collapsed="false">
      <c r="A9" s="3" t="s">
        <v>223</v>
      </c>
      <c r="B9" s="10"/>
      <c r="C9" s="3" t="s">
        <v>220</v>
      </c>
      <c r="D9" s="16" t="s">
        <v>224</v>
      </c>
    </row>
    <row r="10" customFormat="false" ht="15.75" hidden="false" customHeight="true" outlineLevel="0" collapsed="false">
      <c r="A10" s="3" t="s">
        <v>225</v>
      </c>
      <c r="B10" s="9" t="s">
        <v>405</v>
      </c>
      <c r="C10" s="3" t="s">
        <v>218</v>
      </c>
      <c r="D10" s="16" t="s">
        <v>227</v>
      </c>
    </row>
    <row r="11" customFormat="false" ht="42" hidden="false" customHeight="true" outlineLevel="0" collapsed="false">
      <c r="A11" s="3" t="s">
        <v>228</v>
      </c>
      <c r="B11" s="9" t="s">
        <v>406</v>
      </c>
      <c r="C11" s="3" t="s">
        <v>218</v>
      </c>
      <c r="D11" s="16" t="s">
        <v>230</v>
      </c>
    </row>
    <row r="12" customFormat="false" ht="15.75" hidden="false" customHeight="true" outlineLevel="0" collapsed="false">
      <c r="A12" s="3" t="s">
        <v>56</v>
      </c>
      <c r="B12" s="9" t="s">
        <v>93</v>
      </c>
      <c r="C12" s="3" t="s">
        <v>218</v>
      </c>
      <c r="D12" s="16"/>
    </row>
    <row r="13" customFormat="false" ht="42" hidden="false" customHeight="true" outlineLevel="0" collapsed="false">
      <c r="A13" s="3" t="s">
        <v>231</v>
      </c>
      <c r="B13" s="9" t="s">
        <v>94</v>
      </c>
      <c r="C13" s="3" t="s">
        <v>218</v>
      </c>
      <c r="D13" s="16" t="s">
        <v>232</v>
      </c>
    </row>
    <row r="14" customFormat="false" ht="15.75" hidden="false" customHeight="true" outlineLevel="0" collapsed="false">
      <c r="A14" s="3" t="s">
        <v>233</v>
      </c>
      <c r="B14" s="9" t="s">
        <v>151</v>
      </c>
      <c r="C14" s="3" t="s">
        <v>218</v>
      </c>
      <c r="D14" s="16" t="s">
        <v>234</v>
      </c>
    </row>
    <row r="15" customFormat="false" ht="42" hidden="false" customHeight="true" outlineLevel="0" collapsed="false">
      <c r="A15" s="3" t="s">
        <v>235</v>
      </c>
      <c r="B15" s="9" t="s">
        <v>407</v>
      </c>
      <c r="C15" s="3" t="s">
        <v>218</v>
      </c>
      <c r="D15" s="16" t="s">
        <v>237</v>
      </c>
    </row>
    <row r="16" customFormat="false" ht="15.75" hidden="false" customHeight="true" outlineLevel="0" collapsed="false">
      <c r="A16" s="3" t="s">
        <v>238</v>
      </c>
      <c r="B16" s="9" t="s">
        <v>239</v>
      </c>
      <c r="C16" s="3" t="s">
        <v>218</v>
      </c>
      <c r="D16" s="16" t="s">
        <v>240</v>
      </c>
    </row>
    <row r="17" customFormat="false" ht="42" hidden="false" customHeight="true" outlineLevel="0" collapsed="false">
      <c r="A17" s="3" t="s">
        <v>241</v>
      </c>
      <c r="B17" s="9" t="s">
        <v>123</v>
      </c>
      <c r="C17" s="3" t="s">
        <v>218</v>
      </c>
      <c r="D17" s="16" t="s">
        <v>242</v>
      </c>
    </row>
    <row r="18" customFormat="false" ht="15.75" hidden="false" customHeight="true" outlineLevel="0" collapsed="false">
      <c r="A18" s="3" t="s">
        <v>62</v>
      </c>
      <c r="B18" s="11" t="n">
        <v>0.07</v>
      </c>
      <c r="C18" s="3" t="s">
        <v>218</v>
      </c>
      <c r="D18" s="16" t="s">
        <v>243</v>
      </c>
    </row>
    <row r="19" customFormat="false" ht="15.75" hidden="false" customHeight="true" outlineLevel="0" collapsed="false">
      <c r="A19" s="3" t="s">
        <v>63</v>
      </c>
      <c r="B19" s="11" t="n">
        <v>0.07</v>
      </c>
      <c r="C19" s="3" t="s">
        <v>218</v>
      </c>
      <c r="D19" s="16"/>
    </row>
    <row r="20" customFormat="false" ht="15.75" hidden="false" customHeight="true" outlineLevel="0" collapsed="false">
      <c r="A20" s="3" t="s">
        <v>64</v>
      </c>
      <c r="B20" s="11" t="n">
        <v>0</v>
      </c>
      <c r="C20" s="3" t="s">
        <v>218</v>
      </c>
      <c r="D20" s="16" t="s">
        <v>244</v>
      </c>
    </row>
    <row r="21" customFormat="false" ht="15.75" hidden="false" customHeight="true" outlineLevel="0" collapsed="false">
      <c r="A21" s="3" t="s">
        <v>65</v>
      </c>
      <c r="B21" s="10"/>
      <c r="C21" s="3" t="s">
        <v>220</v>
      </c>
      <c r="D21" s="16" t="s">
        <v>245</v>
      </c>
    </row>
    <row r="22" customFormat="false" ht="15.75" hidden="false" customHeight="true" outlineLevel="0" collapsed="false">
      <c r="A22" s="3" t="s">
        <v>66</v>
      </c>
      <c r="B22" s="10"/>
      <c r="C22" s="3" t="s">
        <v>220</v>
      </c>
      <c r="D22" s="16" t="s">
        <v>245</v>
      </c>
    </row>
    <row r="23" customFormat="false" ht="15.75" hidden="false" customHeight="true" outlineLevel="0" collapsed="false">
      <c r="A23" s="3" t="s">
        <v>67</v>
      </c>
      <c r="B23" s="11" t="n">
        <v>0.005</v>
      </c>
      <c r="C23" s="3" t="s">
        <v>218</v>
      </c>
      <c r="D23" s="16" t="s">
        <v>246</v>
      </c>
    </row>
    <row r="24" customFormat="false" ht="42" hidden="false" customHeight="true" outlineLevel="0" collapsed="false">
      <c r="A24" s="3" t="s">
        <v>247</v>
      </c>
      <c r="B24" s="10"/>
      <c r="C24" s="3" t="s">
        <v>248</v>
      </c>
      <c r="D24" s="16" t="s">
        <v>249</v>
      </c>
    </row>
    <row r="25" customFormat="false" ht="42" hidden="false" customHeight="true" outlineLevel="0" collapsed="false">
      <c r="A25" s="3" t="s">
        <v>250</v>
      </c>
      <c r="B25" s="9" t="s">
        <v>95</v>
      </c>
      <c r="C25" s="3" t="s">
        <v>218</v>
      </c>
      <c r="D25" s="16" t="s">
        <v>253</v>
      </c>
    </row>
    <row r="26" customFormat="false" ht="15.75" hidden="false" customHeight="true" outlineLevel="0" collapsed="false">
      <c r="A26" s="3" t="s">
        <v>72</v>
      </c>
      <c r="B26" s="10"/>
      <c r="C26" s="3" t="s">
        <v>248</v>
      </c>
      <c r="D26" s="16" t="s">
        <v>255</v>
      </c>
    </row>
    <row r="27" customFormat="false" ht="15.75" hidden="false" customHeight="true" outlineLevel="0" collapsed="false">
      <c r="A27" s="3" t="s">
        <v>256</v>
      </c>
      <c r="B27" s="9"/>
      <c r="C27" s="3" t="s">
        <v>248</v>
      </c>
      <c r="D27" s="16" t="s">
        <v>257</v>
      </c>
    </row>
    <row r="28" customFormat="false" ht="42" hidden="false" customHeight="true" outlineLevel="0" collapsed="false">
      <c r="A28" s="3" t="s">
        <v>258</v>
      </c>
      <c r="B28" s="9" t="s">
        <v>408</v>
      </c>
      <c r="C28" s="3" t="s">
        <v>218</v>
      </c>
      <c r="D28" s="16" t="s">
        <v>260</v>
      </c>
    </row>
    <row r="29" customFormat="false" ht="15.75" hidden="false" customHeight="true" outlineLevel="0" collapsed="false">
      <c r="A29" s="3" t="s">
        <v>75</v>
      </c>
      <c r="B29" s="10"/>
      <c r="C29" s="3" t="s">
        <v>220</v>
      </c>
      <c r="D29" s="16" t="s">
        <v>261</v>
      </c>
    </row>
    <row r="30" customFormat="false" ht="15.75" hidden="false" customHeight="true" outlineLevel="0" collapsed="false">
      <c r="A30" s="3" t="s">
        <v>76</v>
      </c>
      <c r="B30" s="10"/>
      <c r="C30" s="3" t="s">
        <v>220</v>
      </c>
      <c r="D30" s="16" t="s">
        <v>262</v>
      </c>
    </row>
    <row r="31" customFormat="false" ht="42" hidden="false" customHeight="true" outlineLevel="0" collapsed="false">
      <c r="A31" s="3" t="s">
        <v>263</v>
      </c>
      <c r="B31" s="10"/>
      <c r="C31" s="3" t="s">
        <v>220</v>
      </c>
      <c r="D31" s="16" t="s">
        <v>264</v>
      </c>
    </row>
    <row r="33" customFormat="false" ht="15" hidden="false" customHeight="false" outlineLevel="0" collapsed="false">
      <c r="A33" s="14" t="s">
        <v>265</v>
      </c>
    </row>
    <row r="34" customFormat="false" ht="15" hidden="false" customHeight="false" outlineLevel="0" collapsed="false">
      <c r="A34" s="15" t="s">
        <v>213</v>
      </c>
      <c r="B34" s="15"/>
      <c r="C34" s="15" t="s">
        <v>214</v>
      </c>
      <c r="D34" s="15"/>
      <c r="E34" s="15" t="s">
        <v>14</v>
      </c>
    </row>
    <row r="35" customFormat="false" ht="15" hidden="false" customHeight="false" outlineLevel="0" collapsed="false">
      <c r="A35" s="3" t="s">
        <v>266</v>
      </c>
      <c r="C35" s="17" t="n">
        <v>2329000</v>
      </c>
      <c r="E35" s="16" t="s">
        <v>267</v>
      </c>
    </row>
    <row r="36" customFormat="false" ht="15" hidden="false" customHeight="false" outlineLevel="0" collapsed="false">
      <c r="A36" s="3" t="s">
        <v>268</v>
      </c>
      <c r="C36" s="7" t="s">
        <v>409</v>
      </c>
      <c r="E36" s="16"/>
    </row>
    <row r="37" customFormat="false" ht="15" hidden="false" customHeight="false" outlineLevel="0" collapsed="false">
      <c r="A37" s="3" t="s">
        <v>270</v>
      </c>
      <c r="C37" s="7" t="s">
        <v>410</v>
      </c>
      <c r="E37" s="16"/>
    </row>
    <row r="38" customFormat="false" ht="15" hidden="false" customHeight="false" outlineLevel="0" collapsed="false">
      <c r="A38" s="3" t="s">
        <v>272</v>
      </c>
      <c r="C38" s="7" t="s">
        <v>383</v>
      </c>
      <c r="E38" s="16" t="s">
        <v>274</v>
      </c>
    </row>
    <row r="39" customFormat="false" ht="15" hidden="false" customHeight="false" outlineLevel="0" collapsed="false">
      <c r="A39" s="3" t="s">
        <v>275</v>
      </c>
      <c r="C39" s="18" t="n">
        <v>0.0110084736765085</v>
      </c>
      <c r="E39" s="16" t="s">
        <v>276</v>
      </c>
    </row>
    <row r="40" customFormat="false" ht="22.35" hidden="false" customHeight="false" outlineLevel="0" collapsed="false">
      <c r="A40" s="3" t="s">
        <v>277</v>
      </c>
      <c r="C40" s="18" t="n">
        <v>0.0104593574123596</v>
      </c>
      <c r="E40" s="16" t="s">
        <v>278</v>
      </c>
    </row>
    <row r="41" customFormat="false" ht="15" hidden="false" customHeight="false" outlineLevel="0" collapsed="false">
      <c r="A41" s="3" t="s">
        <v>279</v>
      </c>
      <c r="C41" s="20" t="n">
        <v>0</v>
      </c>
      <c r="E41" s="16" t="s">
        <v>280</v>
      </c>
    </row>
    <row r="42" customFormat="false" ht="15" hidden="false" customHeight="false" outlineLevel="0" collapsed="false">
      <c r="A42" s="3" t="s">
        <v>281</v>
      </c>
      <c r="C42" s="20" t="n">
        <v>0.07</v>
      </c>
      <c r="E42" s="16"/>
    </row>
    <row r="43" customFormat="false" ht="15" hidden="false" customHeight="false" outlineLevel="0" collapsed="false">
      <c r="A43" s="3" t="s">
        <v>282</v>
      </c>
      <c r="C43" s="20" t="n">
        <v>0.07</v>
      </c>
      <c r="E43" s="16"/>
    </row>
    <row r="44" customFormat="false" ht="15" hidden="false" customHeight="false" outlineLevel="0" collapsed="false">
      <c r="A44" s="3" t="s">
        <v>283</v>
      </c>
      <c r="C44" s="20" t="n">
        <v>0</v>
      </c>
      <c r="E44" s="16"/>
    </row>
    <row r="45" customFormat="false" ht="15" hidden="false" customHeight="false" outlineLevel="0" collapsed="false">
      <c r="A45" s="3" t="s">
        <v>238</v>
      </c>
      <c r="C45" s="7" t="s">
        <v>239</v>
      </c>
      <c r="E45" s="16" t="s">
        <v>284</v>
      </c>
    </row>
    <row r="46" customFormat="false" ht="15" hidden="false" customHeight="false" outlineLevel="0" collapsed="false">
      <c r="A46" s="3" t="s">
        <v>231</v>
      </c>
      <c r="C46" s="7" t="s">
        <v>94</v>
      </c>
      <c r="E46" s="16" t="s">
        <v>285</v>
      </c>
    </row>
    <row r="47" customFormat="false" ht="15" hidden="false" customHeight="false" outlineLevel="0" collapsed="false">
      <c r="A47" s="3" t="s">
        <v>235</v>
      </c>
      <c r="C47" s="7" t="s">
        <v>407</v>
      </c>
      <c r="E47" s="16" t="s">
        <v>286</v>
      </c>
    </row>
    <row r="48" customFormat="false" ht="15" hidden="false" customHeight="false" outlineLevel="0" collapsed="false">
      <c r="A48" s="3" t="s">
        <v>258</v>
      </c>
      <c r="C48" s="7" t="s">
        <v>259</v>
      </c>
      <c r="E48" s="16" t="s">
        <v>287</v>
      </c>
    </row>
    <row r="49" customFormat="false" ht="15" hidden="false" customHeight="false" outlineLevel="0" collapsed="false">
      <c r="A49" s="3" t="s">
        <v>288</v>
      </c>
      <c r="C49" s="17" t="n">
        <v>1</v>
      </c>
      <c r="E49" s="16" t="s">
        <v>289</v>
      </c>
    </row>
    <row r="50" customFormat="false" ht="15" hidden="false" customHeight="false" outlineLevel="0" collapsed="false">
      <c r="A50" s="3" t="s">
        <v>290</v>
      </c>
      <c r="C50" s="20" t="n">
        <v>0.005</v>
      </c>
      <c r="E50" s="16"/>
    </row>
    <row r="51" customFormat="false" ht="15" hidden="false" customHeight="false" outlineLevel="0" collapsed="false">
      <c r="A51" s="3" t="s">
        <v>291</v>
      </c>
      <c r="C51" s="21"/>
      <c r="E51" s="16" t="s">
        <v>292</v>
      </c>
    </row>
    <row r="52" customFormat="false" ht="22.35" hidden="false" customHeight="false" outlineLevel="0" collapsed="false">
      <c r="A52" s="3" t="s">
        <v>250</v>
      </c>
      <c r="C52" s="7" t="s">
        <v>95</v>
      </c>
      <c r="E52" s="16" t="s">
        <v>294</v>
      </c>
    </row>
    <row r="53" customFormat="false" ht="15" hidden="false" customHeight="false" outlineLevel="0" collapsed="false">
      <c r="A53" s="3" t="s">
        <v>295</v>
      </c>
      <c r="C53" s="20" t="n">
        <v>0</v>
      </c>
      <c r="E53" s="16"/>
    </row>
    <row r="54" customFormat="false" ht="15" hidden="false" customHeight="false" outlineLevel="0" collapsed="false">
      <c r="A54" s="3" t="s">
        <v>296</v>
      </c>
      <c r="C54" s="20" t="n">
        <v>0</v>
      </c>
      <c r="E54" s="16" t="s">
        <v>297</v>
      </c>
    </row>
    <row r="56" customFormat="false" ht="15" hidden="false" customHeight="false" outlineLevel="0" collapsed="false">
      <c r="A56" s="14" t="s">
        <v>298</v>
      </c>
    </row>
    <row r="57" customFormat="false" ht="15" hidden="false" customHeight="false" outlineLevel="0" collapsed="false">
      <c r="A57" s="15" t="s">
        <v>299</v>
      </c>
      <c r="B57" s="15" t="s">
        <v>300</v>
      </c>
      <c r="C57" s="15" t="s">
        <v>214</v>
      </c>
      <c r="E57" s="15" t="s">
        <v>216</v>
      </c>
    </row>
    <row r="58" customFormat="false" ht="15" hidden="false" customHeight="false" outlineLevel="0" collapsed="false">
      <c r="A58" s="3" t="s">
        <v>301</v>
      </c>
      <c r="B58" s="16" t="s">
        <v>302</v>
      </c>
      <c r="C58" s="22" t="n">
        <f aca="false">IF($C$45="market rate",$C$39,$C$40)</f>
        <v>0.0110084736765085</v>
      </c>
      <c r="E58" s="16"/>
    </row>
    <row r="59" customFormat="false" ht="22.35" hidden="false" customHeight="false" outlineLevel="0" collapsed="false">
      <c r="A59" s="3" t="s">
        <v>303</v>
      </c>
      <c r="B59" s="16" t="s">
        <v>304</v>
      </c>
      <c r="C59" s="22" t="n">
        <f aca="false">IF($C$47="added to what the sender pays",$C$58/(1+$C$43),$C$58*(1-$C$43))</f>
        <v>0.0102882931556154</v>
      </c>
      <c r="E59" s="16"/>
    </row>
    <row r="60" customFormat="false" ht="15" hidden="false" customHeight="false" outlineLevel="0" collapsed="false">
      <c r="A60" s="3" t="s">
        <v>305</v>
      </c>
      <c r="B60" s="16" t="s">
        <v>306</v>
      </c>
      <c r="C60" s="23" t="n">
        <f aca="false">$C$35*$C$59</f>
        <v>23961.4347594284</v>
      </c>
      <c r="E60" s="16" t="s">
        <v>307</v>
      </c>
    </row>
    <row r="61" customFormat="false" ht="15" hidden="false" customHeight="false" outlineLevel="0" collapsed="false">
      <c r="A61" s="3" t="s">
        <v>308</v>
      </c>
      <c r="B61" s="16" t="s">
        <v>309</v>
      </c>
      <c r="C61" s="23" t="n">
        <f aca="false">$C$60*$C$44</f>
        <v>0</v>
      </c>
      <c r="E61" s="16" t="s">
        <v>310</v>
      </c>
    </row>
    <row r="62" customFormat="false" ht="15" hidden="false" customHeight="false" outlineLevel="0" collapsed="false">
      <c r="A62" s="3" t="s">
        <v>311</v>
      </c>
      <c r="B62" s="16" t="s">
        <v>312</v>
      </c>
      <c r="C62" s="23" t="n">
        <f aca="false">$C$60-$C$61</f>
        <v>23961.4347594284</v>
      </c>
      <c r="E62" s="16" t="s">
        <v>313</v>
      </c>
    </row>
    <row r="63" customFormat="false" ht="32.8" hidden="false" customHeight="false" outlineLevel="0" collapsed="false">
      <c r="A63" s="3" t="s">
        <v>314</v>
      </c>
      <c r="B63" s="16" t="s">
        <v>315</v>
      </c>
      <c r="C63" s="23" t="n">
        <f aca="false">IF($C$46="NPL's own wallet",$C$35*$C$39,IF($C$46="fee on top of market",$C$35*$C$39*(1-$C$41),$C$35*$C$40))</f>
        <v>24359.8434133856</v>
      </c>
      <c r="E63" s="16"/>
    </row>
    <row r="64" customFormat="false" ht="22.35" hidden="false" customHeight="false" outlineLevel="0" collapsed="false">
      <c r="A64" s="3" t="s">
        <v>316</v>
      </c>
      <c r="B64" s="16" t="s">
        <v>317</v>
      </c>
      <c r="C64" s="23" t="n">
        <f aca="false">$C$35*$C$39-$C$63</f>
        <v>1278.89177920274</v>
      </c>
      <c r="E64" s="16"/>
    </row>
    <row r="65" customFormat="false" ht="15" hidden="false" customHeight="false" outlineLevel="0" collapsed="false">
      <c r="A65" s="3" t="s">
        <v>318</v>
      </c>
      <c r="B65" s="16" t="s">
        <v>319</v>
      </c>
      <c r="C65" s="23" t="n">
        <f aca="false">$C$63-$C$62</f>
        <v>398.408653957245</v>
      </c>
      <c r="E65" s="16" t="s">
        <v>320</v>
      </c>
    </row>
    <row r="66" customFormat="false" ht="15" hidden="false" customHeight="false" outlineLevel="0" collapsed="false">
      <c r="A66" s="3" t="s">
        <v>321</v>
      </c>
      <c r="B66" s="16" t="s">
        <v>322</v>
      </c>
      <c r="C66" s="24" t="n">
        <f aca="false">IF($C$35*$C$39=0,0,$C$65/($C$35*$C$39))</f>
        <v>0.0155393255932694</v>
      </c>
      <c r="E66" s="16"/>
    </row>
    <row r="67" customFormat="false" ht="15" hidden="false" customHeight="false" outlineLevel="0" collapsed="false">
      <c r="A67" s="3" t="s">
        <v>323</v>
      </c>
      <c r="B67" s="16" t="s">
        <v>324</v>
      </c>
      <c r="C67" s="6" t="str">
        <f aca="false">IF($C$66&lt;$C$50,"YES — Finance must approve","no")</f>
        <v>no</v>
      </c>
      <c r="E67" s="16"/>
    </row>
    <row r="68" customFormat="false" ht="22.35" hidden="false" customHeight="false" outlineLevel="0" collapsed="false">
      <c r="A68" s="3" t="s">
        <v>325</v>
      </c>
      <c r="B68" s="16" t="s">
        <v>326</v>
      </c>
      <c r="C68" s="23" t="n">
        <f aca="false">IF($C$48="round up",CEILING($C$62,$C$49),IF($C$48="nearest unit",MROUND($C$62,$C$49),IF($C$48="nearest 1,000",MROUND($C$62,$C$49),FLOOR($C$62,$C$49))))</f>
        <v>23961</v>
      </c>
      <c r="E68" s="16" t="s">
        <v>327</v>
      </c>
    </row>
    <row r="69" customFormat="false" ht="23.85" hidden="false" customHeight="false" outlineLevel="0" collapsed="false">
      <c r="A69" s="3" t="s">
        <v>328</v>
      </c>
      <c r="B69" s="16" t="s">
        <v>329</v>
      </c>
      <c r="C69" s="23" t="n">
        <f aca="false">$C$62-$C$68</f>
        <v>0.434759428357211</v>
      </c>
      <c r="E69" s="16"/>
    </row>
    <row r="70" customFormat="false" ht="22.35" hidden="false" customHeight="false" outlineLevel="0" collapsed="false">
      <c r="A70" s="3" t="s">
        <v>330</v>
      </c>
      <c r="B70" s="16" t="s">
        <v>331</v>
      </c>
      <c r="C70" s="22" t="n">
        <f aca="false">IF($C$51="",$C$58,$C$59/(1-$C$51))</f>
        <v>0.0110084736765085</v>
      </c>
      <c r="E70" s="16" t="s">
        <v>332</v>
      </c>
    </row>
    <row r="71" customFormat="false" ht="22.35" hidden="false" customHeight="false" outlineLevel="0" collapsed="false">
      <c r="A71" s="3" t="s">
        <v>333</v>
      </c>
      <c r="B71" s="16" t="s">
        <v>334</v>
      </c>
      <c r="C71" s="23" t="n">
        <f aca="false">IF($C$52="paid back monthly",$C$64*$C$53,0)</f>
        <v>0</v>
      </c>
      <c r="E71" s="16"/>
    </row>
    <row r="72" customFormat="false" ht="15" hidden="false" customHeight="false" outlineLevel="0" collapsed="false">
      <c r="A72" s="3" t="s">
        <v>335</v>
      </c>
      <c r="B72" s="16" t="s">
        <v>336</v>
      </c>
      <c r="C72" s="23" t="n">
        <f aca="false">$C$35*$C$39*$C$54</f>
        <v>0</v>
      </c>
      <c r="E72" s="16" t="s">
        <v>337</v>
      </c>
    </row>
    <row r="73" customFormat="false" ht="23.85" hidden="false" customHeight="false" outlineLevel="0" collapsed="false">
      <c r="A73" s="3" t="s">
        <v>338</v>
      </c>
      <c r="B73" s="16" t="s">
        <v>339</v>
      </c>
      <c r="C73" s="23" t="n">
        <f aca="false">ROUND($C$62+$C$64+$C$65-$C$35*$C$39,6)</f>
        <v>0</v>
      </c>
      <c r="E73" s="16" t="s">
        <v>340</v>
      </c>
    </row>
    <row r="75" customFormat="false" ht="15" hidden="false" customHeight="false" outlineLevel="0" collapsed="false">
      <c r="A75" s="14" t="s">
        <v>341</v>
      </c>
    </row>
    <row r="76" customFormat="false" ht="15" hidden="false" customHeight="false" outlineLevel="0" collapsed="false">
      <c r="A76" s="15" t="s">
        <v>342</v>
      </c>
      <c r="B76" s="15" t="s">
        <v>343</v>
      </c>
      <c r="C76" s="15" t="s">
        <v>344</v>
      </c>
      <c r="D76" s="15" t="s">
        <v>345</v>
      </c>
      <c r="E76" s="15" t="s">
        <v>346</v>
      </c>
    </row>
    <row r="77" customFormat="false" ht="15" hidden="false" customHeight="false" outlineLevel="0" collapsed="false">
      <c r="A77" s="6" t="str">
        <f aca="false">"Client money received at "&amp;$C$38&amp;" ("&amp;$C$36&amp;")"</f>
        <v>Client money received at ALI (INR)</v>
      </c>
      <c r="B77" s="6" t="s">
        <v>347</v>
      </c>
      <c r="C77" s="23" t="n">
        <f aca="false">$C$35</f>
        <v>2329000</v>
      </c>
      <c r="D77" s="25" t="s">
        <v>348</v>
      </c>
      <c r="E77" s="25" t="s">
        <v>349</v>
      </c>
    </row>
    <row r="78" customFormat="false" ht="15" hidden="false" customHeight="false" outlineLevel="0" collapsed="false">
      <c r="A78" s="6" t="str">
        <f aca="false">"Owed to the client's receivers ("&amp;$C$36&amp;")"</f>
        <v>Owed to the client's receivers (INR)</v>
      </c>
      <c r="B78" s="6" t="s">
        <v>350</v>
      </c>
      <c r="C78" s="23" t="n">
        <f aca="false">$C$35</f>
        <v>2329000</v>
      </c>
      <c r="D78" s="25" t="s">
        <v>348</v>
      </c>
      <c r="E78" s="25" t="s">
        <v>349</v>
      </c>
    </row>
    <row r="79" customFormat="false" ht="15" hidden="false" customHeight="false" outlineLevel="0" collapsed="false">
      <c r="A79" s="6" t="str">
        <f aca="false">"Owed to the client's receivers ("&amp;$C$36&amp;")"</f>
        <v>Owed to the client's receivers (INR)</v>
      </c>
      <c r="B79" s="6" t="s">
        <v>347</v>
      </c>
      <c r="C79" s="23" t="n">
        <f aca="false">$C$35</f>
        <v>2329000</v>
      </c>
      <c r="D79" s="25" t="s">
        <v>348</v>
      </c>
      <c r="E79" s="25" t="s">
        <v>351</v>
      </c>
    </row>
    <row r="80" customFormat="false" ht="15" hidden="false" customHeight="false" outlineLevel="0" collapsed="false">
      <c r="A80" s="6" t="str">
        <f aca="false">"Client money received at "&amp;$C$38&amp;" ("&amp;$C$36&amp;")"</f>
        <v>Client money received at ALI (INR)</v>
      </c>
      <c r="B80" s="6" t="s">
        <v>350</v>
      </c>
      <c r="C80" s="23" t="n">
        <f aca="false">$C$35</f>
        <v>2329000</v>
      </c>
      <c r="D80" s="25" t="s">
        <v>348</v>
      </c>
      <c r="E80" s="25" t="s">
        <v>351</v>
      </c>
    </row>
    <row r="81" customFormat="false" ht="15" hidden="false" customHeight="false" outlineLevel="0" collapsed="false">
      <c r="A81" s="6" t="str">
        <f aca="false">"Client money ready to pay out at "&amp;$C$38&amp;" ("&amp;$C$37&amp;")"</f>
        <v>Client money ready to pay out at ALI (USD)</v>
      </c>
      <c r="B81" s="6" t="s">
        <v>347</v>
      </c>
      <c r="C81" s="23" t="n">
        <f aca="false">$C$62</f>
        <v>23961.4347594284</v>
      </c>
      <c r="D81" s="25" t="s">
        <v>352</v>
      </c>
      <c r="E81" s="25" t="s">
        <v>353</v>
      </c>
    </row>
    <row r="82" customFormat="false" ht="15" hidden="false" customHeight="false" outlineLevel="0" collapsed="false">
      <c r="A82" s="6" t="str">
        <f aca="false">"NPL's earnings kept at "&amp;$C$38&amp;" ("&amp;$C$37&amp;")"</f>
        <v>NPL's earnings kept at ALI (USD)</v>
      </c>
      <c r="B82" s="6" t="s">
        <v>347</v>
      </c>
      <c r="C82" s="23" t="n">
        <f aca="false">IF($C$52="paid back monthly",0,$C$65)</f>
        <v>398.408653957245</v>
      </c>
      <c r="D82" s="25" t="s">
        <v>354</v>
      </c>
      <c r="E82" s="25" t="s">
        <v>355</v>
      </c>
    </row>
    <row r="83" customFormat="false" ht="15" hidden="false" customHeight="false" outlineLevel="0" collapsed="false">
      <c r="A83" s="6" t="str">
        <f aca="false">"Owed back to NPL by "&amp;$C$38&amp;" ("&amp;$C$37&amp;")"</f>
        <v>Owed back to NPL by ALI (USD)</v>
      </c>
      <c r="B83" s="6" t="s">
        <v>347</v>
      </c>
      <c r="C83" s="23" t="n">
        <f aca="false">$C$71</f>
        <v>0</v>
      </c>
      <c r="D83" s="25" t="s">
        <v>354</v>
      </c>
      <c r="E83" s="25" t="s">
        <v>356</v>
      </c>
    </row>
    <row r="84" customFormat="false" ht="15" hidden="false" customHeight="false" outlineLevel="0" collapsed="false">
      <c r="A84" s="6" t="str">
        <f aca="false">"Owed to the client's receivers ("&amp;$C$37&amp;")"</f>
        <v>Owed to the client's receivers (USD)</v>
      </c>
      <c r="B84" s="6" t="s">
        <v>350</v>
      </c>
      <c r="C84" s="23" t="n">
        <f aca="false">$C$62</f>
        <v>23961.4347594284</v>
      </c>
      <c r="D84" s="25" t="s">
        <v>348</v>
      </c>
      <c r="E84" s="25" t="s">
        <v>353</v>
      </c>
    </row>
    <row r="85" customFormat="false" ht="15" hidden="false" customHeight="false" outlineLevel="0" collapsed="false">
      <c r="A85" s="6" t="str">
        <f aca="false">"NPL's earnings ("&amp;$C$37&amp;")"</f>
        <v>NPL's earnings (USD)</v>
      </c>
      <c r="B85" s="6" t="s">
        <v>350</v>
      </c>
      <c r="C85" s="23" t="n">
        <f aca="false">$C$65+$C$71</f>
        <v>398.408653957245</v>
      </c>
      <c r="D85" s="25" t="s">
        <v>354</v>
      </c>
      <c r="E85" s="25" t="s">
        <v>357</v>
      </c>
    </row>
    <row r="86" customFormat="false" ht="15" hidden="false" customHeight="false" outlineLevel="0" collapsed="false">
      <c r="A86" s="6" t="str">
        <f aca="false">"Client money in transit from "&amp;$C$38&amp;" ("&amp;$C$37&amp;")"</f>
        <v>Client money in transit from ALI (USD)</v>
      </c>
      <c r="B86" s="6" t="s">
        <v>347</v>
      </c>
      <c r="C86" s="23" t="n">
        <f aca="false">$C$68</f>
        <v>23961</v>
      </c>
      <c r="D86" s="25" t="s">
        <v>348</v>
      </c>
      <c r="E86" s="25" t="s">
        <v>358</v>
      </c>
    </row>
    <row r="87" customFormat="false" ht="15" hidden="false" customHeight="false" outlineLevel="0" collapsed="false">
      <c r="A87" s="6" t="str">
        <f aca="false">"Client money ready to pay out at "&amp;$C$38&amp;" ("&amp;$C$37&amp;")"</f>
        <v>Client money ready to pay out at ALI (USD)</v>
      </c>
      <c r="B87" s="6" t="s">
        <v>350</v>
      </c>
      <c r="C87" s="23" t="n">
        <f aca="false">$C$68</f>
        <v>23961</v>
      </c>
      <c r="D87" s="25" t="s">
        <v>348</v>
      </c>
      <c r="E87" s="25" t="s">
        <v>359</v>
      </c>
    </row>
    <row r="88" customFormat="false" ht="15" hidden="false" customHeight="false" outlineLevel="0" collapsed="false">
      <c r="A88" s="6" t="str">
        <f aca="false">"Owed to the client's receivers ("&amp;$C$37&amp;")"</f>
        <v>Owed to the client's receivers (USD)</v>
      </c>
      <c r="B88" s="6" t="s">
        <v>347</v>
      </c>
      <c r="C88" s="23" t="n">
        <f aca="false">$C$68</f>
        <v>23961</v>
      </c>
      <c r="D88" s="25" t="s">
        <v>348</v>
      </c>
      <c r="E88" s="25" t="s">
        <v>360</v>
      </c>
    </row>
    <row r="89" customFormat="false" ht="15" hidden="false" customHeight="false" outlineLevel="0" collapsed="false">
      <c r="A89" s="6" t="str">
        <f aca="false">"Client money in transit from "&amp;$C$38&amp;" ("&amp;$C$37&amp;")"</f>
        <v>Client money in transit from ALI (USD)</v>
      </c>
      <c r="B89" s="6" t="s">
        <v>350</v>
      </c>
      <c r="C89" s="23" t="n">
        <f aca="false">$C$68</f>
        <v>23961</v>
      </c>
      <c r="D89" s="25" t="s">
        <v>348</v>
      </c>
      <c r="E89" s="25" t="s">
        <v>360</v>
      </c>
    </row>
    <row r="90" customFormat="false" ht="15" hidden="false" customHeight="false" outlineLevel="0" collapsed="false">
      <c r="A90" s="6" t="str">
        <f aca="false">"NPL's earnings ("&amp;$C$37&amp;")"</f>
        <v>NPL's earnings (USD)</v>
      </c>
      <c r="B90" s="6" t="s">
        <v>347</v>
      </c>
      <c r="C90" s="23" t="n">
        <f aca="false">$C$72</f>
        <v>0</v>
      </c>
      <c r="D90" s="25" t="s">
        <v>361</v>
      </c>
      <c r="E90" s="25" t="s">
        <v>362</v>
      </c>
    </row>
    <row r="91" customFormat="false" ht="15" hidden="false" customHeight="false" outlineLevel="0" collapsed="false">
      <c r="A91" s="6" t="str">
        <f aca="false">"Owed to the other party ("&amp;$C$37&amp;")"</f>
        <v>Owed to the other party (USD)</v>
      </c>
      <c r="B91" s="6" t="s">
        <v>350</v>
      </c>
      <c r="C91" s="23" t="n">
        <f aca="false">$C$72</f>
        <v>0</v>
      </c>
      <c r="D91" s="25" t="s">
        <v>361</v>
      </c>
      <c r="E91" s="25" t="s">
        <v>363</v>
      </c>
    </row>
    <row r="92" customFormat="false" ht="30" hidden="false" customHeight="true" outlineLevel="0" collapsed="false">
      <c r="A92" s="26" t="s">
        <v>364</v>
      </c>
      <c r="C92" s="27" t="n">
        <f aca="false">ROUND(SUMIF($B$81:$B$91,"in",$C$81:$C$91)-SUMIF($B$81:$B$91,"out",$C$81:$C$91),6)</f>
        <v>0</v>
      </c>
      <c r="E92" s="16" t="s">
        <v>365</v>
      </c>
    </row>
    <row r="94" customFormat="false" ht="15" hidden="false" customHeight="false" outlineLevel="0" collapsed="false">
      <c r="A94" s="14" t="s">
        <v>366</v>
      </c>
    </row>
    <row r="95" customFormat="false" ht="15" hidden="false" customHeight="false" outlineLevel="0" collapsed="false">
      <c r="A95" s="15" t="s">
        <v>367</v>
      </c>
      <c r="B95" s="15" t="s">
        <v>368</v>
      </c>
      <c r="C95" s="15" t="s">
        <v>369</v>
      </c>
      <c r="D95" s="15" t="s">
        <v>370</v>
      </c>
      <c r="E95" s="15" t="s">
        <v>371</v>
      </c>
    </row>
    <row r="96" customFormat="false" ht="30" hidden="false" customHeight="true" outlineLevel="0" collapsed="false">
      <c r="A96" s="3" t="s">
        <v>411</v>
      </c>
      <c r="B96" s="17" t="n">
        <v>23960.18</v>
      </c>
      <c r="C96" s="23" t="n">
        <f aca="false">$C$60</f>
        <v>23961.4347594284</v>
      </c>
      <c r="D96" s="27" t="n">
        <f aca="false">ROUND(C96-B96,2)</f>
        <v>1.25</v>
      </c>
      <c r="E96" s="16" t="s">
        <v>412</v>
      </c>
    </row>
    <row r="98" customFormat="false" ht="15" hidden="false" customHeight="false" outlineLevel="0" collapsed="false">
      <c r="A98" s="14" t="s">
        <v>374</v>
      </c>
    </row>
    <row r="99" customFormat="false" ht="31.5" hidden="false" customHeight="true" outlineLevel="0" collapsed="false">
      <c r="A99" s="13" t="s">
        <v>375</v>
      </c>
      <c r="B99" s="28" t="s">
        <v>413</v>
      </c>
      <c r="C99" s="28"/>
      <c r="D99" s="28"/>
      <c r="E99" s="28"/>
    </row>
    <row r="100" customFormat="false" ht="31.5" hidden="false" customHeight="true" outlineLevel="0" collapsed="false">
      <c r="A100" s="13" t="s">
        <v>375</v>
      </c>
      <c r="B100" s="28" t="s">
        <v>414</v>
      </c>
      <c r="C100" s="28"/>
      <c r="D100" s="28"/>
      <c r="E100" s="28"/>
    </row>
    <row r="101" customFormat="false" ht="31.5" hidden="false" customHeight="true" outlineLevel="0" collapsed="false">
      <c r="A101" s="13" t="s">
        <v>375</v>
      </c>
      <c r="B101" s="28" t="s">
        <v>415</v>
      </c>
      <c r="C101" s="28"/>
      <c r="D101" s="28"/>
      <c r="E101" s="28"/>
    </row>
  </sheetData>
  <mergeCells count="3">
    <mergeCell ref="B99:E99"/>
    <mergeCell ref="B100:E100"/>
    <mergeCell ref="B101:E10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416</v>
      </c>
    </row>
    <row r="2" customFormat="false" ht="15" hidden="false" customHeight="false" outlineLevel="0" collapsed="false">
      <c r="A2" s="12" t="s">
        <v>210</v>
      </c>
      <c r="B2" s="13" t="s">
        <v>417</v>
      </c>
    </row>
    <row r="4" customFormat="false" ht="15" hidden="false" customHeight="false" outlineLevel="0" collapsed="false">
      <c r="A4" s="14" t="s">
        <v>212</v>
      </c>
    </row>
    <row r="5" customFormat="false" ht="15" hidden="false" customHeight="false" outlineLevel="0" collapsed="false">
      <c r="A5" s="15" t="s">
        <v>213</v>
      </c>
      <c r="B5" s="15" t="s">
        <v>214</v>
      </c>
      <c r="C5" s="15" t="s">
        <v>215</v>
      </c>
      <c r="D5" s="15" t="s">
        <v>216</v>
      </c>
    </row>
    <row r="6" customFormat="false" ht="15.75" hidden="false" customHeight="true" outlineLevel="0" collapsed="false">
      <c r="A6" s="3" t="s">
        <v>217</v>
      </c>
      <c r="B6" s="9" t="s">
        <v>418</v>
      </c>
      <c r="C6" s="3" t="s">
        <v>218</v>
      </c>
      <c r="D6" s="16" t="s">
        <v>219</v>
      </c>
    </row>
    <row r="7" customFormat="false" ht="42" hidden="false" customHeight="true" outlineLevel="0" collapsed="false">
      <c r="A7" s="3" t="s">
        <v>51</v>
      </c>
      <c r="B7" s="10"/>
      <c r="C7" s="3" t="s">
        <v>220</v>
      </c>
      <c r="D7" s="16" t="s">
        <v>221</v>
      </c>
    </row>
    <row r="8" customFormat="false" ht="42" hidden="false" customHeight="true" outlineLevel="0" collapsed="false">
      <c r="A8" s="3" t="s">
        <v>52</v>
      </c>
      <c r="B8" s="10"/>
      <c r="C8" s="3" t="s">
        <v>220</v>
      </c>
      <c r="D8" s="16" t="s">
        <v>222</v>
      </c>
    </row>
    <row r="9" customFormat="false" ht="42" hidden="false" customHeight="true" outlineLevel="0" collapsed="false">
      <c r="A9" s="3" t="s">
        <v>223</v>
      </c>
      <c r="B9" s="10"/>
      <c r="C9" s="3" t="s">
        <v>220</v>
      </c>
      <c r="D9" s="16" t="s">
        <v>224</v>
      </c>
    </row>
    <row r="10" customFormat="false" ht="15.75" hidden="false" customHeight="true" outlineLevel="0" collapsed="false">
      <c r="A10" s="3" t="s">
        <v>225</v>
      </c>
      <c r="B10" s="9" t="s">
        <v>226</v>
      </c>
      <c r="C10" s="3" t="s">
        <v>218</v>
      </c>
      <c r="D10" s="16" t="s">
        <v>227</v>
      </c>
    </row>
    <row r="11" customFormat="false" ht="42" hidden="false" customHeight="true" outlineLevel="0" collapsed="false">
      <c r="A11" s="3" t="s">
        <v>228</v>
      </c>
      <c r="B11" s="9" t="s">
        <v>419</v>
      </c>
      <c r="C11" s="3" t="s">
        <v>218</v>
      </c>
      <c r="D11" s="16" t="s">
        <v>230</v>
      </c>
    </row>
    <row r="12" customFormat="false" ht="15.75" hidden="false" customHeight="true" outlineLevel="0" collapsed="false">
      <c r="A12" s="3" t="s">
        <v>56</v>
      </c>
      <c r="B12" s="9" t="s">
        <v>93</v>
      </c>
      <c r="C12" s="3" t="s">
        <v>218</v>
      </c>
      <c r="D12" s="16"/>
    </row>
    <row r="13" customFormat="false" ht="42" hidden="false" customHeight="true" outlineLevel="0" collapsed="false">
      <c r="A13" s="3" t="s">
        <v>231</v>
      </c>
      <c r="B13" s="9" t="s">
        <v>94</v>
      </c>
      <c r="C13" s="3" t="s">
        <v>218</v>
      </c>
      <c r="D13" s="16" t="s">
        <v>232</v>
      </c>
    </row>
    <row r="14" customFormat="false" ht="15.75" hidden="false" customHeight="true" outlineLevel="0" collapsed="false">
      <c r="A14" s="3" t="s">
        <v>233</v>
      </c>
      <c r="B14" s="9" t="s">
        <v>155</v>
      </c>
      <c r="C14" s="3" t="s">
        <v>218</v>
      </c>
      <c r="D14" s="16" t="s">
        <v>234</v>
      </c>
    </row>
    <row r="15" customFormat="false" ht="42" hidden="false" customHeight="true" outlineLevel="0" collapsed="false">
      <c r="A15" s="3" t="s">
        <v>235</v>
      </c>
      <c r="B15" s="9" t="s">
        <v>407</v>
      </c>
      <c r="C15" s="3" t="s">
        <v>218</v>
      </c>
      <c r="D15" s="16" t="s">
        <v>237</v>
      </c>
    </row>
    <row r="16" customFormat="false" ht="15.75" hidden="false" customHeight="true" outlineLevel="0" collapsed="false">
      <c r="A16" s="3" t="s">
        <v>238</v>
      </c>
      <c r="B16" s="9" t="s">
        <v>239</v>
      </c>
      <c r="C16" s="3" t="s">
        <v>218</v>
      </c>
      <c r="D16" s="16" t="s">
        <v>240</v>
      </c>
    </row>
    <row r="17" customFormat="false" ht="42" hidden="false" customHeight="true" outlineLevel="0" collapsed="false">
      <c r="A17" s="3" t="s">
        <v>241</v>
      </c>
      <c r="B17" s="9" t="s">
        <v>86</v>
      </c>
      <c r="C17" s="3" t="s">
        <v>218</v>
      </c>
      <c r="D17" s="16" t="s">
        <v>242</v>
      </c>
    </row>
    <row r="18" customFormat="false" ht="15.75" hidden="false" customHeight="true" outlineLevel="0" collapsed="false">
      <c r="A18" s="3" t="s">
        <v>62</v>
      </c>
      <c r="B18" s="11" t="n">
        <v>0.025</v>
      </c>
      <c r="C18" s="3" t="s">
        <v>218</v>
      </c>
      <c r="D18" s="16" t="s">
        <v>243</v>
      </c>
    </row>
    <row r="19" customFormat="false" ht="15.75" hidden="false" customHeight="true" outlineLevel="0" collapsed="false">
      <c r="A19" s="3" t="s">
        <v>63</v>
      </c>
      <c r="B19" s="11" t="n">
        <v>0.025</v>
      </c>
      <c r="C19" s="3" t="s">
        <v>218</v>
      </c>
      <c r="D19" s="16"/>
    </row>
    <row r="20" customFormat="false" ht="15.75" hidden="false" customHeight="true" outlineLevel="0" collapsed="false">
      <c r="A20" s="3" t="s">
        <v>64</v>
      </c>
      <c r="B20" s="11" t="n">
        <v>0</v>
      </c>
      <c r="C20" s="3" t="s">
        <v>218</v>
      </c>
      <c r="D20" s="16" t="s">
        <v>244</v>
      </c>
    </row>
    <row r="21" customFormat="false" ht="15.75" hidden="false" customHeight="true" outlineLevel="0" collapsed="false">
      <c r="A21" s="3" t="s">
        <v>65</v>
      </c>
      <c r="B21" s="10"/>
      <c r="C21" s="3" t="s">
        <v>220</v>
      </c>
      <c r="D21" s="16" t="s">
        <v>245</v>
      </c>
    </row>
    <row r="22" customFormat="false" ht="15.75" hidden="false" customHeight="true" outlineLevel="0" collapsed="false">
      <c r="A22" s="3" t="s">
        <v>66</v>
      </c>
      <c r="B22" s="10"/>
      <c r="C22" s="3" t="s">
        <v>220</v>
      </c>
      <c r="D22" s="16" t="s">
        <v>245</v>
      </c>
    </row>
    <row r="23" customFormat="false" ht="15.75" hidden="false" customHeight="true" outlineLevel="0" collapsed="false">
      <c r="A23" s="3" t="s">
        <v>67</v>
      </c>
      <c r="B23" s="10"/>
      <c r="C23" s="3" t="s">
        <v>220</v>
      </c>
      <c r="D23" s="16" t="s">
        <v>246</v>
      </c>
    </row>
    <row r="24" customFormat="false" ht="42" hidden="false" customHeight="true" outlineLevel="0" collapsed="false">
      <c r="A24" s="3" t="s">
        <v>247</v>
      </c>
      <c r="B24" s="10"/>
      <c r="C24" s="3" t="s">
        <v>248</v>
      </c>
      <c r="D24" s="16" t="s">
        <v>249</v>
      </c>
    </row>
    <row r="25" customFormat="false" ht="42" hidden="false" customHeight="true" outlineLevel="0" collapsed="false">
      <c r="A25" s="3" t="s">
        <v>250</v>
      </c>
      <c r="B25" s="9" t="s">
        <v>95</v>
      </c>
      <c r="C25" s="3" t="s">
        <v>218</v>
      </c>
      <c r="D25" s="16" t="s">
        <v>253</v>
      </c>
    </row>
    <row r="26" customFormat="false" ht="15.75" hidden="false" customHeight="true" outlineLevel="0" collapsed="false">
      <c r="A26" s="3" t="s">
        <v>72</v>
      </c>
      <c r="B26" s="10"/>
      <c r="C26" s="3" t="s">
        <v>248</v>
      </c>
      <c r="D26" s="16" t="s">
        <v>255</v>
      </c>
    </row>
    <row r="27" customFormat="false" ht="15.75" hidden="false" customHeight="true" outlineLevel="0" collapsed="false">
      <c r="A27" s="3" t="s">
        <v>256</v>
      </c>
      <c r="B27" s="9"/>
      <c r="C27" s="3" t="s">
        <v>248</v>
      </c>
      <c r="D27" s="16" t="s">
        <v>257</v>
      </c>
    </row>
    <row r="28" customFormat="false" ht="42" hidden="false" customHeight="true" outlineLevel="0" collapsed="false">
      <c r="A28" s="3" t="s">
        <v>258</v>
      </c>
      <c r="B28" s="9" t="s">
        <v>259</v>
      </c>
      <c r="C28" s="3" t="s">
        <v>218</v>
      </c>
      <c r="D28" s="16" t="s">
        <v>260</v>
      </c>
    </row>
    <row r="29" customFormat="false" ht="15.75" hidden="false" customHeight="true" outlineLevel="0" collapsed="false">
      <c r="A29" s="3" t="s">
        <v>75</v>
      </c>
      <c r="B29" s="10"/>
      <c r="C29" s="3" t="s">
        <v>220</v>
      </c>
      <c r="D29" s="16" t="s">
        <v>261</v>
      </c>
    </row>
    <row r="30" customFormat="false" ht="15.75" hidden="false" customHeight="true" outlineLevel="0" collapsed="false">
      <c r="A30" s="3" t="s">
        <v>76</v>
      </c>
      <c r="B30" s="10"/>
      <c r="C30" s="3" t="s">
        <v>220</v>
      </c>
      <c r="D30" s="16" t="s">
        <v>262</v>
      </c>
    </row>
    <row r="31" customFormat="false" ht="42" hidden="false" customHeight="true" outlineLevel="0" collapsed="false">
      <c r="A31" s="3" t="s">
        <v>263</v>
      </c>
      <c r="B31" s="10"/>
      <c r="C31" s="3" t="s">
        <v>220</v>
      </c>
      <c r="D31" s="16" t="s">
        <v>264</v>
      </c>
    </row>
    <row r="33" customFormat="false" ht="15" hidden="false" customHeight="false" outlineLevel="0" collapsed="false">
      <c r="A33" s="14" t="s">
        <v>265</v>
      </c>
    </row>
    <row r="34" customFormat="false" ht="15" hidden="false" customHeight="false" outlineLevel="0" collapsed="false">
      <c r="A34" s="15" t="s">
        <v>213</v>
      </c>
      <c r="B34" s="15"/>
      <c r="C34" s="15" t="s">
        <v>214</v>
      </c>
      <c r="D34" s="15"/>
      <c r="E34" s="15" t="s">
        <v>14</v>
      </c>
    </row>
    <row r="35" customFormat="false" ht="15" hidden="false" customHeight="false" outlineLevel="0" collapsed="false">
      <c r="A35" s="3" t="s">
        <v>266</v>
      </c>
      <c r="C35" s="17" t="n">
        <v>86594</v>
      </c>
      <c r="E35" s="16" t="s">
        <v>267</v>
      </c>
    </row>
    <row r="36" customFormat="false" ht="15" hidden="false" customHeight="false" outlineLevel="0" collapsed="false">
      <c r="A36" s="3" t="s">
        <v>268</v>
      </c>
      <c r="C36" s="7" t="s">
        <v>269</v>
      </c>
      <c r="E36" s="16"/>
    </row>
    <row r="37" customFormat="false" ht="15" hidden="false" customHeight="false" outlineLevel="0" collapsed="false">
      <c r="A37" s="3" t="s">
        <v>270</v>
      </c>
      <c r="C37" s="7" t="s">
        <v>410</v>
      </c>
      <c r="E37" s="16"/>
    </row>
    <row r="38" customFormat="false" ht="15" hidden="false" customHeight="false" outlineLevel="0" collapsed="false">
      <c r="A38" s="3" t="s">
        <v>272</v>
      </c>
      <c r="C38" s="7" t="s">
        <v>383</v>
      </c>
      <c r="E38" s="16" t="s">
        <v>274</v>
      </c>
    </row>
    <row r="39" customFormat="false" ht="15" hidden="false" customHeight="false" outlineLevel="0" collapsed="false">
      <c r="A39" s="3" t="s">
        <v>275</v>
      </c>
      <c r="C39" s="18" t="n">
        <v>1</v>
      </c>
      <c r="E39" s="16" t="s">
        <v>276</v>
      </c>
    </row>
    <row r="40" customFormat="false" ht="22.35" hidden="false" customHeight="false" outlineLevel="0" collapsed="false">
      <c r="A40" s="3" t="s">
        <v>277</v>
      </c>
      <c r="C40" s="18" t="n">
        <v>0.996</v>
      </c>
      <c r="E40" s="16" t="s">
        <v>278</v>
      </c>
    </row>
    <row r="41" customFormat="false" ht="15" hidden="false" customHeight="false" outlineLevel="0" collapsed="false">
      <c r="A41" s="3" t="s">
        <v>279</v>
      </c>
      <c r="C41" s="20" t="n">
        <v>0</v>
      </c>
      <c r="E41" s="16" t="s">
        <v>280</v>
      </c>
    </row>
    <row r="42" customFormat="false" ht="15" hidden="false" customHeight="false" outlineLevel="0" collapsed="false">
      <c r="A42" s="3" t="s">
        <v>281</v>
      </c>
      <c r="C42" s="20" t="n">
        <v>0.025</v>
      </c>
      <c r="E42" s="16"/>
    </row>
    <row r="43" customFormat="false" ht="15" hidden="false" customHeight="false" outlineLevel="0" collapsed="false">
      <c r="A43" s="3" t="s">
        <v>282</v>
      </c>
      <c r="C43" s="20" t="n">
        <v>0.025</v>
      </c>
      <c r="E43" s="16"/>
    </row>
    <row r="44" customFormat="false" ht="15" hidden="false" customHeight="false" outlineLevel="0" collapsed="false">
      <c r="A44" s="3" t="s">
        <v>283</v>
      </c>
      <c r="C44" s="20" t="n">
        <v>0</v>
      </c>
      <c r="E44" s="16"/>
    </row>
    <row r="45" customFormat="false" ht="15" hidden="false" customHeight="false" outlineLevel="0" collapsed="false">
      <c r="A45" s="3" t="s">
        <v>238</v>
      </c>
      <c r="C45" s="7" t="s">
        <v>239</v>
      </c>
      <c r="E45" s="16" t="s">
        <v>284</v>
      </c>
    </row>
    <row r="46" customFormat="false" ht="15" hidden="false" customHeight="false" outlineLevel="0" collapsed="false">
      <c r="A46" s="3" t="s">
        <v>231</v>
      </c>
      <c r="C46" s="7" t="s">
        <v>94</v>
      </c>
      <c r="E46" s="16" t="s">
        <v>285</v>
      </c>
    </row>
    <row r="47" customFormat="false" ht="15" hidden="false" customHeight="false" outlineLevel="0" collapsed="false">
      <c r="A47" s="3" t="s">
        <v>235</v>
      </c>
      <c r="C47" s="7" t="s">
        <v>407</v>
      </c>
      <c r="E47" s="16" t="s">
        <v>286</v>
      </c>
    </row>
    <row r="48" customFormat="false" ht="15" hidden="false" customHeight="false" outlineLevel="0" collapsed="false">
      <c r="A48" s="3" t="s">
        <v>258</v>
      </c>
      <c r="C48" s="7" t="s">
        <v>259</v>
      </c>
      <c r="E48" s="16" t="s">
        <v>287</v>
      </c>
    </row>
    <row r="49" customFormat="false" ht="15" hidden="false" customHeight="false" outlineLevel="0" collapsed="false">
      <c r="A49" s="3" t="s">
        <v>288</v>
      </c>
      <c r="C49" s="17" t="n">
        <v>1</v>
      </c>
      <c r="E49" s="16" t="s">
        <v>289</v>
      </c>
    </row>
    <row r="50" customFormat="false" ht="15" hidden="false" customHeight="false" outlineLevel="0" collapsed="false">
      <c r="A50" s="3" t="s">
        <v>290</v>
      </c>
      <c r="C50" s="20" t="n">
        <v>0.005</v>
      </c>
      <c r="E50" s="16"/>
    </row>
    <row r="51" customFormat="false" ht="15" hidden="false" customHeight="false" outlineLevel="0" collapsed="false">
      <c r="A51" s="3" t="s">
        <v>291</v>
      </c>
      <c r="C51" s="21"/>
      <c r="E51" s="16" t="s">
        <v>292</v>
      </c>
    </row>
    <row r="52" customFormat="false" ht="22.35" hidden="false" customHeight="false" outlineLevel="0" collapsed="false">
      <c r="A52" s="3" t="s">
        <v>250</v>
      </c>
      <c r="C52" s="7" t="s">
        <v>95</v>
      </c>
      <c r="E52" s="16" t="s">
        <v>294</v>
      </c>
    </row>
    <row r="53" customFormat="false" ht="15" hidden="false" customHeight="false" outlineLevel="0" collapsed="false">
      <c r="A53" s="3" t="s">
        <v>295</v>
      </c>
      <c r="C53" s="20" t="n">
        <v>0</v>
      </c>
      <c r="E53" s="16"/>
    </row>
    <row r="54" customFormat="false" ht="15" hidden="false" customHeight="false" outlineLevel="0" collapsed="false">
      <c r="A54" s="3" t="s">
        <v>296</v>
      </c>
      <c r="C54" s="20" t="n">
        <v>0</v>
      </c>
      <c r="E54" s="16" t="s">
        <v>297</v>
      </c>
    </row>
    <row r="56" customFormat="false" ht="15" hidden="false" customHeight="false" outlineLevel="0" collapsed="false">
      <c r="A56" s="14" t="s">
        <v>298</v>
      </c>
    </row>
    <row r="57" customFormat="false" ht="15" hidden="false" customHeight="false" outlineLevel="0" collapsed="false">
      <c r="A57" s="15" t="s">
        <v>299</v>
      </c>
      <c r="B57" s="15" t="s">
        <v>300</v>
      </c>
      <c r="C57" s="15" t="s">
        <v>214</v>
      </c>
      <c r="E57" s="15" t="s">
        <v>216</v>
      </c>
    </row>
    <row r="58" customFormat="false" ht="15" hidden="false" customHeight="false" outlineLevel="0" collapsed="false">
      <c r="A58" s="3" t="s">
        <v>301</v>
      </c>
      <c r="B58" s="16" t="s">
        <v>302</v>
      </c>
      <c r="C58" s="22" t="n">
        <f aca="false">IF($C$45="market rate",$C$39,$C$40)</f>
        <v>1</v>
      </c>
      <c r="E58" s="16"/>
    </row>
    <row r="59" customFormat="false" ht="22.35" hidden="false" customHeight="false" outlineLevel="0" collapsed="false">
      <c r="A59" s="3" t="s">
        <v>303</v>
      </c>
      <c r="B59" s="16" t="s">
        <v>304</v>
      </c>
      <c r="C59" s="22" t="n">
        <f aca="false">IF($C$47="added to what the sender pays",$C$58/(1+$C$43),$C$58*(1-$C$43))</f>
        <v>0.975609756097561</v>
      </c>
      <c r="E59" s="16"/>
    </row>
    <row r="60" customFormat="false" ht="15" hidden="false" customHeight="false" outlineLevel="0" collapsed="false">
      <c r="A60" s="3" t="s">
        <v>305</v>
      </c>
      <c r="B60" s="16" t="s">
        <v>306</v>
      </c>
      <c r="C60" s="23" t="n">
        <f aca="false">$C$35*$C$59</f>
        <v>84481.9512195122</v>
      </c>
      <c r="E60" s="16" t="s">
        <v>307</v>
      </c>
    </row>
    <row r="61" customFormat="false" ht="15" hidden="false" customHeight="false" outlineLevel="0" collapsed="false">
      <c r="A61" s="3" t="s">
        <v>308</v>
      </c>
      <c r="B61" s="16" t="s">
        <v>309</v>
      </c>
      <c r="C61" s="23" t="n">
        <f aca="false">$C$60*$C$44</f>
        <v>0</v>
      </c>
      <c r="E61" s="16" t="s">
        <v>310</v>
      </c>
    </row>
    <row r="62" customFormat="false" ht="15" hidden="false" customHeight="false" outlineLevel="0" collapsed="false">
      <c r="A62" s="3" t="s">
        <v>311</v>
      </c>
      <c r="B62" s="16" t="s">
        <v>312</v>
      </c>
      <c r="C62" s="23" t="n">
        <f aca="false">$C$60-$C$61</f>
        <v>84481.9512195122</v>
      </c>
      <c r="E62" s="16" t="s">
        <v>313</v>
      </c>
    </row>
    <row r="63" customFormat="false" ht="32.8" hidden="false" customHeight="false" outlineLevel="0" collapsed="false">
      <c r="A63" s="3" t="s">
        <v>314</v>
      </c>
      <c r="B63" s="16" t="s">
        <v>315</v>
      </c>
      <c r="C63" s="23" t="n">
        <f aca="false">IF($C$46="NPL's own wallet",$C$35*$C$39,IF($C$46="fee on top of market",$C$35*$C$39*(1-$C$41),$C$35*$C$40))</f>
        <v>86247.624</v>
      </c>
      <c r="E63" s="16"/>
    </row>
    <row r="64" customFormat="false" ht="22.35" hidden="false" customHeight="false" outlineLevel="0" collapsed="false">
      <c r="A64" s="3" t="s">
        <v>316</v>
      </c>
      <c r="B64" s="16" t="s">
        <v>317</v>
      </c>
      <c r="C64" s="23" t="n">
        <f aca="false">$C$35*$C$39-$C$63</f>
        <v>346.376000000004</v>
      </c>
      <c r="E64" s="16"/>
    </row>
    <row r="65" customFormat="false" ht="15" hidden="false" customHeight="false" outlineLevel="0" collapsed="false">
      <c r="A65" s="3" t="s">
        <v>318</v>
      </c>
      <c r="B65" s="16" t="s">
        <v>319</v>
      </c>
      <c r="C65" s="23" t="n">
        <f aca="false">$C$63-$C$62</f>
        <v>1765.67278048779</v>
      </c>
      <c r="E65" s="16" t="s">
        <v>320</v>
      </c>
    </row>
    <row r="66" customFormat="false" ht="15" hidden="false" customHeight="false" outlineLevel="0" collapsed="false">
      <c r="A66" s="3" t="s">
        <v>321</v>
      </c>
      <c r="B66" s="16" t="s">
        <v>322</v>
      </c>
      <c r="C66" s="24" t="n">
        <f aca="false">IF($C$35*$C$39=0,0,$C$65/($C$35*$C$39))</f>
        <v>0.0203902439024388</v>
      </c>
      <c r="E66" s="16"/>
    </row>
    <row r="67" customFormat="false" ht="15" hidden="false" customHeight="false" outlineLevel="0" collapsed="false">
      <c r="A67" s="3" t="s">
        <v>323</v>
      </c>
      <c r="B67" s="16" t="s">
        <v>324</v>
      </c>
      <c r="C67" s="6" t="str">
        <f aca="false">IF($C$66&lt;$C$50,"YES — Finance must approve","no")</f>
        <v>no</v>
      </c>
      <c r="E67" s="16"/>
    </row>
    <row r="68" customFormat="false" ht="22.35" hidden="false" customHeight="false" outlineLevel="0" collapsed="false">
      <c r="A68" s="3" t="s">
        <v>325</v>
      </c>
      <c r="B68" s="16" t="s">
        <v>326</v>
      </c>
      <c r="C68" s="23" t="n">
        <f aca="false">IF($C$48="round up",CEILING($C$62,$C$49),IF($C$48="nearest unit",MROUND($C$62,$C$49),IF($C$48="nearest 1,000",MROUND($C$62,$C$49),FLOOR($C$62,$C$49))))</f>
        <v>84481</v>
      </c>
      <c r="E68" s="16" t="s">
        <v>327</v>
      </c>
    </row>
    <row r="69" customFormat="false" ht="23.85" hidden="false" customHeight="false" outlineLevel="0" collapsed="false">
      <c r="A69" s="3" t="s">
        <v>328</v>
      </c>
      <c r="B69" s="16" t="s">
        <v>329</v>
      </c>
      <c r="C69" s="23" t="n">
        <f aca="false">$C$62-$C$68</f>
        <v>0.951219512207899</v>
      </c>
      <c r="E69" s="16"/>
    </row>
    <row r="70" customFormat="false" ht="22.35" hidden="false" customHeight="false" outlineLevel="0" collapsed="false">
      <c r="A70" s="3" t="s">
        <v>330</v>
      </c>
      <c r="B70" s="16" t="s">
        <v>331</v>
      </c>
      <c r="C70" s="22" t="n">
        <f aca="false">IF($C$51="",$C$58,$C$59/(1-$C$51))</f>
        <v>1</v>
      </c>
      <c r="E70" s="16" t="s">
        <v>332</v>
      </c>
    </row>
    <row r="71" customFormat="false" ht="22.35" hidden="false" customHeight="false" outlineLevel="0" collapsed="false">
      <c r="A71" s="3" t="s">
        <v>333</v>
      </c>
      <c r="B71" s="16" t="s">
        <v>334</v>
      </c>
      <c r="C71" s="23" t="n">
        <f aca="false">IF($C$52="paid back monthly",$C$64*$C$53,0)</f>
        <v>0</v>
      </c>
      <c r="E71" s="16"/>
    </row>
    <row r="72" customFormat="false" ht="15" hidden="false" customHeight="false" outlineLevel="0" collapsed="false">
      <c r="A72" s="3" t="s">
        <v>335</v>
      </c>
      <c r="B72" s="16" t="s">
        <v>336</v>
      </c>
      <c r="C72" s="23" t="n">
        <f aca="false">$C$35*$C$39*$C$54</f>
        <v>0</v>
      </c>
      <c r="E72" s="16" t="s">
        <v>337</v>
      </c>
    </row>
    <row r="73" customFormat="false" ht="23.85" hidden="false" customHeight="false" outlineLevel="0" collapsed="false">
      <c r="A73" s="3" t="s">
        <v>338</v>
      </c>
      <c r="B73" s="16" t="s">
        <v>339</v>
      </c>
      <c r="C73" s="23" t="n">
        <f aca="false">ROUND($C$62+$C$64+$C$65-$C$35*$C$39,6)</f>
        <v>0</v>
      </c>
      <c r="E73" s="16" t="s">
        <v>340</v>
      </c>
    </row>
    <row r="75" customFormat="false" ht="15" hidden="false" customHeight="false" outlineLevel="0" collapsed="false">
      <c r="A75" s="14" t="s">
        <v>341</v>
      </c>
    </row>
    <row r="76" customFormat="false" ht="15" hidden="false" customHeight="false" outlineLevel="0" collapsed="false">
      <c r="A76" s="15" t="s">
        <v>342</v>
      </c>
      <c r="B76" s="15" t="s">
        <v>343</v>
      </c>
      <c r="C76" s="15" t="s">
        <v>344</v>
      </c>
      <c r="D76" s="15" t="s">
        <v>345</v>
      </c>
      <c r="E76" s="15" t="s">
        <v>346</v>
      </c>
    </row>
    <row r="77" customFormat="false" ht="15" hidden="false" customHeight="false" outlineLevel="0" collapsed="false">
      <c r="A77" s="6" t="str">
        <f aca="false">"Client money received at "&amp;$C$38&amp;" ("&amp;$C$36&amp;")"</f>
        <v>Client money received at ALI (USDT)</v>
      </c>
      <c r="B77" s="6" t="s">
        <v>347</v>
      </c>
      <c r="C77" s="23" t="n">
        <f aca="false">$C$35</f>
        <v>86594</v>
      </c>
      <c r="D77" s="25" t="s">
        <v>348</v>
      </c>
      <c r="E77" s="25" t="s">
        <v>349</v>
      </c>
    </row>
    <row r="78" customFormat="false" ht="15" hidden="false" customHeight="false" outlineLevel="0" collapsed="false">
      <c r="A78" s="6" t="str">
        <f aca="false">"Owed to the client's receivers ("&amp;$C$36&amp;")"</f>
        <v>Owed to the client's receivers (USDT)</v>
      </c>
      <c r="B78" s="6" t="s">
        <v>350</v>
      </c>
      <c r="C78" s="23" t="n">
        <f aca="false">$C$35</f>
        <v>86594</v>
      </c>
      <c r="D78" s="25" t="s">
        <v>348</v>
      </c>
      <c r="E78" s="25" t="s">
        <v>349</v>
      </c>
    </row>
    <row r="79" customFormat="false" ht="15" hidden="false" customHeight="false" outlineLevel="0" collapsed="false">
      <c r="A79" s="6" t="str">
        <f aca="false">"Owed to the client's receivers ("&amp;$C$36&amp;")"</f>
        <v>Owed to the client's receivers (USDT)</v>
      </c>
      <c r="B79" s="6" t="s">
        <v>347</v>
      </c>
      <c r="C79" s="23" t="n">
        <f aca="false">$C$35</f>
        <v>86594</v>
      </c>
      <c r="D79" s="25" t="s">
        <v>348</v>
      </c>
      <c r="E79" s="25" t="s">
        <v>351</v>
      </c>
    </row>
    <row r="80" customFormat="false" ht="15" hidden="false" customHeight="false" outlineLevel="0" collapsed="false">
      <c r="A80" s="6" t="str">
        <f aca="false">"Client money received at "&amp;$C$38&amp;" ("&amp;$C$36&amp;")"</f>
        <v>Client money received at ALI (USDT)</v>
      </c>
      <c r="B80" s="6" t="s">
        <v>350</v>
      </c>
      <c r="C80" s="23" t="n">
        <f aca="false">$C$35</f>
        <v>86594</v>
      </c>
      <c r="D80" s="25" t="s">
        <v>348</v>
      </c>
      <c r="E80" s="25" t="s">
        <v>351</v>
      </c>
    </row>
    <row r="81" customFormat="false" ht="15" hidden="false" customHeight="false" outlineLevel="0" collapsed="false">
      <c r="A81" s="6" t="str">
        <f aca="false">"Client money ready to pay out at "&amp;$C$38&amp;" ("&amp;$C$37&amp;")"</f>
        <v>Client money ready to pay out at ALI (USD)</v>
      </c>
      <c r="B81" s="6" t="s">
        <v>347</v>
      </c>
      <c r="C81" s="23" t="n">
        <f aca="false">$C$62</f>
        <v>84481.9512195122</v>
      </c>
      <c r="D81" s="25" t="s">
        <v>352</v>
      </c>
      <c r="E81" s="25" t="s">
        <v>353</v>
      </c>
    </row>
    <row r="82" customFormat="false" ht="15" hidden="false" customHeight="false" outlineLevel="0" collapsed="false">
      <c r="A82" s="6" t="str">
        <f aca="false">"NPL's earnings kept at "&amp;$C$38&amp;" ("&amp;$C$37&amp;")"</f>
        <v>NPL's earnings kept at ALI (USD)</v>
      </c>
      <c r="B82" s="6" t="s">
        <v>347</v>
      </c>
      <c r="C82" s="23" t="n">
        <f aca="false">IF($C$52="paid back monthly",0,$C$65)</f>
        <v>1765.67278048779</v>
      </c>
      <c r="D82" s="25" t="s">
        <v>354</v>
      </c>
      <c r="E82" s="25" t="s">
        <v>355</v>
      </c>
    </row>
    <row r="83" customFormat="false" ht="15" hidden="false" customHeight="false" outlineLevel="0" collapsed="false">
      <c r="A83" s="6" t="str">
        <f aca="false">"Owed back to NPL by "&amp;$C$38&amp;" ("&amp;$C$37&amp;")"</f>
        <v>Owed back to NPL by ALI (USD)</v>
      </c>
      <c r="B83" s="6" t="s">
        <v>347</v>
      </c>
      <c r="C83" s="23" t="n">
        <f aca="false">$C$71</f>
        <v>0</v>
      </c>
      <c r="D83" s="25" t="s">
        <v>354</v>
      </c>
      <c r="E83" s="25" t="s">
        <v>356</v>
      </c>
    </row>
    <row r="84" customFormat="false" ht="15" hidden="false" customHeight="false" outlineLevel="0" collapsed="false">
      <c r="A84" s="6" t="str">
        <f aca="false">"Owed to the client's receivers ("&amp;$C$37&amp;")"</f>
        <v>Owed to the client's receivers (USD)</v>
      </c>
      <c r="B84" s="6" t="s">
        <v>350</v>
      </c>
      <c r="C84" s="23" t="n">
        <f aca="false">$C$62</f>
        <v>84481.9512195122</v>
      </c>
      <c r="D84" s="25" t="s">
        <v>348</v>
      </c>
      <c r="E84" s="25" t="s">
        <v>353</v>
      </c>
    </row>
    <row r="85" customFormat="false" ht="15" hidden="false" customHeight="false" outlineLevel="0" collapsed="false">
      <c r="A85" s="6" t="str">
        <f aca="false">"NPL's earnings ("&amp;$C$37&amp;")"</f>
        <v>NPL's earnings (USD)</v>
      </c>
      <c r="B85" s="6" t="s">
        <v>350</v>
      </c>
      <c r="C85" s="23" t="n">
        <f aca="false">$C$65+$C$71</f>
        <v>1765.67278048779</v>
      </c>
      <c r="D85" s="25" t="s">
        <v>354</v>
      </c>
      <c r="E85" s="25" t="s">
        <v>357</v>
      </c>
    </row>
    <row r="86" customFormat="false" ht="15" hidden="false" customHeight="false" outlineLevel="0" collapsed="false">
      <c r="A86" s="6" t="str">
        <f aca="false">"Client money in transit from "&amp;$C$38&amp;" ("&amp;$C$37&amp;")"</f>
        <v>Client money in transit from ALI (USD)</v>
      </c>
      <c r="B86" s="6" t="s">
        <v>347</v>
      </c>
      <c r="C86" s="23" t="n">
        <f aca="false">$C$68</f>
        <v>84481</v>
      </c>
      <c r="D86" s="25" t="s">
        <v>348</v>
      </c>
      <c r="E86" s="25" t="s">
        <v>358</v>
      </c>
    </row>
    <row r="87" customFormat="false" ht="15" hidden="false" customHeight="false" outlineLevel="0" collapsed="false">
      <c r="A87" s="6" t="str">
        <f aca="false">"Client money ready to pay out at "&amp;$C$38&amp;" ("&amp;$C$37&amp;")"</f>
        <v>Client money ready to pay out at ALI (USD)</v>
      </c>
      <c r="B87" s="6" t="s">
        <v>350</v>
      </c>
      <c r="C87" s="23" t="n">
        <f aca="false">$C$68</f>
        <v>84481</v>
      </c>
      <c r="D87" s="25" t="s">
        <v>348</v>
      </c>
      <c r="E87" s="25" t="s">
        <v>359</v>
      </c>
    </row>
    <row r="88" customFormat="false" ht="15" hidden="false" customHeight="false" outlineLevel="0" collapsed="false">
      <c r="A88" s="6" t="str">
        <f aca="false">"Owed to the client's receivers ("&amp;$C$37&amp;")"</f>
        <v>Owed to the client's receivers (USD)</v>
      </c>
      <c r="B88" s="6" t="s">
        <v>347</v>
      </c>
      <c r="C88" s="23" t="n">
        <f aca="false">$C$68</f>
        <v>84481</v>
      </c>
      <c r="D88" s="25" t="s">
        <v>348</v>
      </c>
      <c r="E88" s="25" t="s">
        <v>360</v>
      </c>
    </row>
    <row r="89" customFormat="false" ht="15" hidden="false" customHeight="false" outlineLevel="0" collapsed="false">
      <c r="A89" s="6" t="str">
        <f aca="false">"Client money in transit from "&amp;$C$38&amp;" ("&amp;$C$37&amp;")"</f>
        <v>Client money in transit from ALI (USD)</v>
      </c>
      <c r="B89" s="6" t="s">
        <v>350</v>
      </c>
      <c r="C89" s="23" t="n">
        <f aca="false">$C$68</f>
        <v>84481</v>
      </c>
      <c r="D89" s="25" t="s">
        <v>348</v>
      </c>
      <c r="E89" s="25" t="s">
        <v>360</v>
      </c>
    </row>
    <row r="90" customFormat="false" ht="15" hidden="false" customHeight="false" outlineLevel="0" collapsed="false">
      <c r="A90" s="6" t="str">
        <f aca="false">"NPL's earnings ("&amp;$C$37&amp;")"</f>
        <v>NPL's earnings (USD)</v>
      </c>
      <c r="B90" s="6" t="s">
        <v>347</v>
      </c>
      <c r="C90" s="23" t="n">
        <f aca="false">$C$72</f>
        <v>0</v>
      </c>
      <c r="D90" s="25" t="s">
        <v>361</v>
      </c>
      <c r="E90" s="25" t="s">
        <v>362</v>
      </c>
    </row>
    <row r="91" customFormat="false" ht="15" hidden="false" customHeight="false" outlineLevel="0" collapsed="false">
      <c r="A91" s="6" t="str">
        <f aca="false">"Owed to the other party ("&amp;$C$37&amp;")"</f>
        <v>Owed to the other party (USD)</v>
      </c>
      <c r="B91" s="6" t="s">
        <v>350</v>
      </c>
      <c r="C91" s="23" t="n">
        <f aca="false">$C$72</f>
        <v>0</v>
      </c>
      <c r="D91" s="25" t="s">
        <v>361</v>
      </c>
      <c r="E91" s="25" t="s">
        <v>363</v>
      </c>
    </row>
    <row r="92" customFormat="false" ht="30" hidden="false" customHeight="true" outlineLevel="0" collapsed="false">
      <c r="A92" s="26" t="s">
        <v>364</v>
      </c>
      <c r="C92" s="27" t="n">
        <f aca="false">ROUND(SUMIF($B$81:$B$91,"in",$C$81:$C$91)-SUMIF($B$81:$B$91,"out",$C$81:$C$91),6)</f>
        <v>0</v>
      </c>
      <c r="E92" s="16" t="s">
        <v>365</v>
      </c>
    </row>
    <row r="94" customFormat="false" ht="15" hidden="false" customHeight="false" outlineLevel="0" collapsed="false">
      <c r="A94" s="14" t="s">
        <v>366</v>
      </c>
    </row>
    <row r="95" customFormat="false" ht="15" hidden="false" customHeight="false" outlineLevel="0" collapsed="false">
      <c r="A95" s="15" t="s">
        <v>367</v>
      </c>
      <c r="B95" s="15" t="s">
        <v>368</v>
      </c>
      <c r="C95" s="15" t="s">
        <v>369</v>
      </c>
      <c r="D95" s="15" t="s">
        <v>370</v>
      </c>
      <c r="E95" s="15" t="s">
        <v>371</v>
      </c>
    </row>
    <row r="96" customFormat="false" ht="30" hidden="false" customHeight="true" outlineLevel="0" collapsed="false">
      <c r="A96" s="3" t="s">
        <v>420</v>
      </c>
      <c r="B96" s="17" t="n">
        <v>84482</v>
      </c>
      <c r="C96" s="23" t="n">
        <f aca="false">$C$60</f>
        <v>84481.9512195122</v>
      </c>
      <c r="D96" s="27" t="n">
        <f aca="false">ROUND(C96-B96,2)</f>
        <v>-0.05</v>
      </c>
      <c r="E96" s="16" t="s">
        <v>421</v>
      </c>
    </row>
    <row r="98" customFormat="false" ht="15" hidden="false" customHeight="false" outlineLevel="0" collapsed="false">
      <c r="A98" s="14" t="s">
        <v>78</v>
      </c>
    </row>
    <row r="99" customFormat="false" ht="15" hidden="false" customHeight="false" outlineLevel="0" collapsed="false">
      <c r="A99" s="15" t="s">
        <v>422</v>
      </c>
      <c r="B99" s="15" t="s">
        <v>423</v>
      </c>
      <c r="C99" s="15"/>
      <c r="D99" s="15"/>
      <c r="E99" s="15" t="s">
        <v>424</v>
      </c>
    </row>
    <row r="100" customFormat="false" ht="15" hidden="false" customHeight="false" outlineLevel="0" collapsed="false">
      <c r="A100" s="17" t="n">
        <v>0</v>
      </c>
      <c r="B100" s="20" t="n">
        <v>0.025</v>
      </c>
      <c r="E100" s="25" t="s">
        <v>425</v>
      </c>
    </row>
    <row r="101" customFormat="false" ht="15" hidden="false" customHeight="false" outlineLevel="0" collapsed="false">
      <c r="A101" s="17" t="n">
        <v>500000</v>
      </c>
      <c r="B101" s="20" t="n">
        <v>0.0225</v>
      </c>
      <c r="E101" s="25" t="s">
        <v>426</v>
      </c>
    </row>
    <row r="102" customFormat="false" ht="22.35" hidden="false" customHeight="false" outlineLevel="0" collapsed="false">
      <c r="A102" s="3" t="s">
        <v>427</v>
      </c>
      <c r="B102" s="29"/>
      <c r="E102" s="16" t="s">
        <v>428</v>
      </c>
    </row>
    <row r="103" customFormat="false" ht="30" hidden="false" customHeight="true" outlineLevel="0" collapsed="false">
      <c r="A103" s="4" t="s">
        <v>429</v>
      </c>
      <c r="B103" s="30" t="n">
        <f aca="false">IF($B$102="",B100,INDEX(B100:B101,MATCH($B$102,A100:A101,1)))</f>
        <v>0.025</v>
      </c>
      <c r="E103" s="16" t="s">
        <v>430</v>
      </c>
    </row>
    <row r="105" customFormat="false" ht="15" hidden="false" customHeight="false" outlineLevel="0" collapsed="false">
      <c r="A105" s="14" t="s">
        <v>374</v>
      </c>
    </row>
    <row r="106" customFormat="false" ht="31.5" hidden="false" customHeight="true" outlineLevel="0" collapsed="false">
      <c r="A106" s="13" t="s">
        <v>375</v>
      </c>
      <c r="B106" s="28" t="s">
        <v>431</v>
      </c>
      <c r="C106" s="28"/>
      <c r="D106" s="28"/>
      <c r="E106" s="28"/>
    </row>
    <row r="107" customFormat="false" ht="31.5" hidden="false" customHeight="true" outlineLevel="0" collapsed="false">
      <c r="A107" s="13" t="s">
        <v>375</v>
      </c>
      <c r="B107" s="28" t="s">
        <v>432</v>
      </c>
      <c r="C107" s="28"/>
      <c r="D107" s="28"/>
      <c r="E107" s="28"/>
    </row>
    <row r="108" customFormat="false" ht="31.5" hidden="false" customHeight="true" outlineLevel="0" collapsed="false">
      <c r="A108" s="13" t="s">
        <v>375</v>
      </c>
      <c r="B108" s="28" t="s">
        <v>433</v>
      </c>
      <c r="C108" s="28"/>
      <c r="D108" s="28"/>
      <c r="E108" s="28"/>
    </row>
  </sheetData>
  <mergeCells count="3">
    <mergeCell ref="B106:E106"/>
    <mergeCell ref="B107:E107"/>
    <mergeCell ref="B108:E10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434</v>
      </c>
    </row>
    <row r="2" customFormat="false" ht="15" hidden="false" customHeight="false" outlineLevel="0" collapsed="false">
      <c r="A2" s="12" t="s">
        <v>210</v>
      </c>
      <c r="B2" s="13" t="s">
        <v>435</v>
      </c>
    </row>
    <row r="4" customFormat="false" ht="15" hidden="false" customHeight="false" outlineLevel="0" collapsed="false">
      <c r="A4" s="14" t="s">
        <v>212</v>
      </c>
    </row>
    <row r="5" customFormat="false" ht="15" hidden="false" customHeight="false" outlineLevel="0" collapsed="false">
      <c r="A5" s="15" t="s">
        <v>213</v>
      </c>
      <c r="B5" s="15" t="s">
        <v>214</v>
      </c>
      <c r="C5" s="15" t="s">
        <v>215</v>
      </c>
      <c r="D5" s="15" t="s">
        <v>216</v>
      </c>
    </row>
    <row r="6" customFormat="false" ht="15.75" hidden="false" customHeight="true" outlineLevel="0" collapsed="false">
      <c r="A6" s="3" t="s">
        <v>217</v>
      </c>
      <c r="B6" s="9" t="s">
        <v>436</v>
      </c>
      <c r="C6" s="3" t="s">
        <v>218</v>
      </c>
      <c r="D6" s="16" t="s">
        <v>219</v>
      </c>
    </row>
    <row r="7" customFormat="false" ht="42" hidden="false" customHeight="true" outlineLevel="0" collapsed="false">
      <c r="A7" s="3" t="s">
        <v>51</v>
      </c>
      <c r="B7" s="10"/>
      <c r="C7" s="3" t="s">
        <v>220</v>
      </c>
      <c r="D7" s="16" t="s">
        <v>221</v>
      </c>
    </row>
    <row r="8" customFormat="false" ht="42" hidden="false" customHeight="true" outlineLevel="0" collapsed="false">
      <c r="A8" s="3" t="s">
        <v>52</v>
      </c>
      <c r="B8" s="10"/>
      <c r="C8" s="3" t="s">
        <v>220</v>
      </c>
      <c r="D8" s="16" t="s">
        <v>222</v>
      </c>
    </row>
    <row r="9" customFormat="false" ht="42" hidden="false" customHeight="true" outlineLevel="0" collapsed="false">
      <c r="A9" s="3" t="s">
        <v>223</v>
      </c>
      <c r="B9" s="10"/>
      <c r="C9" s="3" t="s">
        <v>220</v>
      </c>
      <c r="D9" s="16" t="s">
        <v>224</v>
      </c>
    </row>
    <row r="10" customFormat="false" ht="15.75" hidden="false" customHeight="true" outlineLevel="0" collapsed="false">
      <c r="A10" s="3" t="s">
        <v>225</v>
      </c>
      <c r="B10" s="9" t="s">
        <v>226</v>
      </c>
      <c r="C10" s="3" t="s">
        <v>218</v>
      </c>
      <c r="D10" s="16" t="s">
        <v>227</v>
      </c>
    </row>
    <row r="11" customFormat="false" ht="42" hidden="false" customHeight="true" outlineLevel="0" collapsed="false">
      <c r="A11" s="3" t="s">
        <v>228</v>
      </c>
      <c r="B11" s="9" t="s">
        <v>437</v>
      </c>
      <c r="C11" s="3" t="s">
        <v>218</v>
      </c>
      <c r="D11" s="16" t="s">
        <v>230</v>
      </c>
    </row>
    <row r="12" customFormat="false" ht="15.75" hidden="false" customHeight="true" outlineLevel="0" collapsed="false">
      <c r="A12" s="3" t="s">
        <v>56</v>
      </c>
      <c r="B12" s="9" t="s">
        <v>91</v>
      </c>
      <c r="C12" s="3" t="s">
        <v>218</v>
      </c>
      <c r="D12" s="16"/>
    </row>
    <row r="13" customFormat="false" ht="42" hidden="false" customHeight="true" outlineLevel="0" collapsed="false">
      <c r="A13" s="3" t="s">
        <v>231</v>
      </c>
      <c r="B13" s="9" t="s">
        <v>84</v>
      </c>
      <c r="C13" s="3" t="s">
        <v>218</v>
      </c>
      <c r="D13" s="16" t="s">
        <v>232</v>
      </c>
    </row>
    <row r="14" customFormat="false" ht="15.75" hidden="false" customHeight="true" outlineLevel="0" collapsed="false">
      <c r="A14" s="3" t="s">
        <v>233</v>
      </c>
      <c r="B14" s="9" t="s">
        <v>85</v>
      </c>
      <c r="C14" s="3" t="s">
        <v>218</v>
      </c>
      <c r="D14" s="16" t="s">
        <v>234</v>
      </c>
    </row>
    <row r="15" customFormat="false" ht="42" hidden="false" customHeight="true" outlineLevel="0" collapsed="false">
      <c r="A15" s="3" t="s">
        <v>235</v>
      </c>
      <c r="B15" s="9" t="s">
        <v>236</v>
      </c>
      <c r="C15" s="3" t="s">
        <v>218</v>
      </c>
      <c r="D15" s="16" t="s">
        <v>237</v>
      </c>
    </row>
    <row r="16" customFormat="false" ht="15.75" hidden="false" customHeight="true" outlineLevel="0" collapsed="false">
      <c r="A16" s="3" t="s">
        <v>238</v>
      </c>
      <c r="B16" s="9" t="s">
        <v>239</v>
      </c>
      <c r="C16" s="3" t="s">
        <v>218</v>
      </c>
      <c r="D16" s="16" t="s">
        <v>240</v>
      </c>
    </row>
    <row r="17" customFormat="false" ht="42" hidden="false" customHeight="true" outlineLevel="0" collapsed="false">
      <c r="A17" s="3" t="s">
        <v>241</v>
      </c>
      <c r="B17" s="9" t="s">
        <v>86</v>
      </c>
      <c r="C17" s="3" t="s">
        <v>218</v>
      </c>
      <c r="D17" s="16" t="s">
        <v>242</v>
      </c>
    </row>
    <row r="18" customFormat="false" ht="15.75" hidden="false" customHeight="true" outlineLevel="0" collapsed="false">
      <c r="A18" s="3" t="s">
        <v>62</v>
      </c>
      <c r="B18" s="11" t="n">
        <v>0.04</v>
      </c>
      <c r="C18" s="3" t="s">
        <v>218</v>
      </c>
      <c r="D18" s="16" t="s">
        <v>243</v>
      </c>
    </row>
    <row r="19" customFormat="false" ht="15.75" hidden="false" customHeight="true" outlineLevel="0" collapsed="false">
      <c r="A19" s="3" t="s">
        <v>63</v>
      </c>
      <c r="B19" s="11" t="n">
        <v>0.04</v>
      </c>
      <c r="C19" s="3" t="s">
        <v>218</v>
      </c>
      <c r="D19" s="16"/>
    </row>
    <row r="20" customFormat="false" ht="15.75" hidden="false" customHeight="true" outlineLevel="0" collapsed="false">
      <c r="A20" s="3" t="s">
        <v>64</v>
      </c>
      <c r="B20" s="11" t="n">
        <v>0</v>
      </c>
      <c r="C20" s="3" t="s">
        <v>218</v>
      </c>
      <c r="D20" s="16" t="s">
        <v>244</v>
      </c>
    </row>
    <row r="21" customFormat="false" ht="15.75" hidden="false" customHeight="true" outlineLevel="0" collapsed="false">
      <c r="A21" s="3" t="s">
        <v>65</v>
      </c>
      <c r="B21" s="10"/>
      <c r="C21" s="3" t="s">
        <v>220</v>
      </c>
      <c r="D21" s="16" t="s">
        <v>245</v>
      </c>
    </row>
    <row r="22" customFormat="false" ht="15.75" hidden="false" customHeight="true" outlineLevel="0" collapsed="false">
      <c r="A22" s="3" t="s">
        <v>66</v>
      </c>
      <c r="B22" s="10"/>
      <c r="C22" s="3" t="s">
        <v>220</v>
      </c>
      <c r="D22" s="16" t="s">
        <v>245</v>
      </c>
    </row>
    <row r="23" customFormat="false" ht="15.75" hidden="false" customHeight="true" outlineLevel="0" collapsed="false">
      <c r="A23" s="3" t="s">
        <v>67</v>
      </c>
      <c r="B23" s="10"/>
      <c r="C23" s="3" t="s">
        <v>220</v>
      </c>
      <c r="D23" s="16" t="s">
        <v>246</v>
      </c>
    </row>
    <row r="24" customFormat="false" ht="42" hidden="false" customHeight="true" outlineLevel="0" collapsed="false">
      <c r="A24" s="3" t="s">
        <v>247</v>
      </c>
      <c r="B24" s="10"/>
      <c r="C24" s="3" t="s">
        <v>248</v>
      </c>
      <c r="D24" s="16" t="s">
        <v>249</v>
      </c>
    </row>
    <row r="25" customFormat="false" ht="42" hidden="false" customHeight="true" outlineLevel="0" collapsed="false">
      <c r="A25" s="3" t="s">
        <v>250</v>
      </c>
      <c r="B25" s="9" t="s">
        <v>438</v>
      </c>
      <c r="C25" s="3" t="s">
        <v>252</v>
      </c>
      <c r="D25" s="16" t="s">
        <v>253</v>
      </c>
    </row>
    <row r="26" customFormat="false" ht="15.75" hidden="false" customHeight="true" outlineLevel="0" collapsed="false">
      <c r="A26" s="3" t="s">
        <v>72</v>
      </c>
      <c r="B26" s="10"/>
      <c r="C26" s="3" t="s">
        <v>248</v>
      </c>
      <c r="D26" s="16" t="s">
        <v>255</v>
      </c>
    </row>
    <row r="27" customFormat="false" ht="15.75" hidden="false" customHeight="true" outlineLevel="0" collapsed="false">
      <c r="A27" s="3" t="s">
        <v>256</v>
      </c>
      <c r="B27" s="9" t="s">
        <v>439</v>
      </c>
      <c r="C27" s="3" t="s">
        <v>218</v>
      </c>
      <c r="D27" s="16" t="s">
        <v>257</v>
      </c>
    </row>
    <row r="28" customFormat="false" ht="42" hidden="false" customHeight="true" outlineLevel="0" collapsed="false">
      <c r="A28" s="3" t="s">
        <v>258</v>
      </c>
      <c r="B28" s="9" t="s">
        <v>259</v>
      </c>
      <c r="C28" s="3" t="s">
        <v>218</v>
      </c>
      <c r="D28" s="16" t="s">
        <v>260</v>
      </c>
    </row>
    <row r="29" customFormat="false" ht="15.75" hidden="false" customHeight="true" outlineLevel="0" collapsed="false">
      <c r="A29" s="3" t="s">
        <v>75</v>
      </c>
      <c r="B29" s="10"/>
      <c r="C29" s="3" t="s">
        <v>220</v>
      </c>
      <c r="D29" s="16" t="s">
        <v>261</v>
      </c>
    </row>
    <row r="30" customFormat="false" ht="15.75" hidden="false" customHeight="true" outlineLevel="0" collapsed="false">
      <c r="A30" s="3" t="s">
        <v>76</v>
      </c>
      <c r="B30" s="10"/>
      <c r="C30" s="3" t="s">
        <v>220</v>
      </c>
      <c r="D30" s="16" t="s">
        <v>262</v>
      </c>
    </row>
    <row r="31" customFormat="false" ht="42" hidden="false" customHeight="true" outlineLevel="0" collapsed="false">
      <c r="A31" s="3" t="s">
        <v>263</v>
      </c>
      <c r="B31" s="10"/>
      <c r="C31" s="3" t="s">
        <v>220</v>
      </c>
      <c r="D31" s="16" t="s">
        <v>264</v>
      </c>
    </row>
    <row r="33" customFormat="false" ht="15" hidden="false" customHeight="false" outlineLevel="0" collapsed="false">
      <c r="A33" s="14" t="s">
        <v>265</v>
      </c>
    </row>
    <row r="34" customFormat="false" ht="15" hidden="false" customHeight="false" outlineLevel="0" collapsed="false">
      <c r="A34" s="15" t="s">
        <v>213</v>
      </c>
      <c r="B34" s="15"/>
      <c r="C34" s="15" t="s">
        <v>214</v>
      </c>
      <c r="D34" s="15"/>
      <c r="E34" s="15" t="s">
        <v>14</v>
      </c>
    </row>
    <row r="35" customFormat="false" ht="15" hidden="false" customHeight="false" outlineLevel="0" collapsed="false">
      <c r="A35" s="3" t="s">
        <v>266</v>
      </c>
      <c r="C35" s="17" t="n">
        <v>50000</v>
      </c>
      <c r="E35" s="16" t="s">
        <v>267</v>
      </c>
    </row>
    <row r="36" customFormat="false" ht="15" hidden="false" customHeight="false" outlineLevel="0" collapsed="false">
      <c r="A36" s="3" t="s">
        <v>268</v>
      </c>
      <c r="C36" s="7" t="s">
        <v>269</v>
      </c>
      <c r="E36" s="16"/>
    </row>
    <row r="37" customFormat="false" ht="15" hidden="false" customHeight="false" outlineLevel="0" collapsed="false">
      <c r="A37" s="3" t="s">
        <v>270</v>
      </c>
      <c r="C37" s="7" t="s">
        <v>271</v>
      </c>
      <c r="E37" s="16"/>
    </row>
    <row r="38" customFormat="false" ht="15" hidden="false" customHeight="false" outlineLevel="0" collapsed="false">
      <c r="A38" s="3" t="s">
        <v>272</v>
      </c>
      <c r="C38" s="7" t="s">
        <v>440</v>
      </c>
      <c r="E38" s="16" t="s">
        <v>274</v>
      </c>
    </row>
    <row r="39" customFormat="false" ht="15" hidden="false" customHeight="false" outlineLevel="0" collapsed="false">
      <c r="A39" s="3" t="s">
        <v>275</v>
      </c>
      <c r="C39" s="18" t="n">
        <v>0.8650036</v>
      </c>
      <c r="E39" s="16" t="s">
        <v>276</v>
      </c>
    </row>
    <row r="40" customFormat="false" ht="22.35" hidden="false" customHeight="false" outlineLevel="0" collapsed="false">
      <c r="A40" s="3" t="s">
        <v>277</v>
      </c>
      <c r="C40" s="19"/>
      <c r="E40" s="16" t="s">
        <v>278</v>
      </c>
    </row>
    <row r="41" customFormat="false" ht="15" hidden="false" customHeight="false" outlineLevel="0" collapsed="false">
      <c r="A41" s="3" t="s">
        <v>279</v>
      </c>
      <c r="C41" s="20" t="n">
        <v>0.008</v>
      </c>
      <c r="E41" s="16" t="s">
        <v>280</v>
      </c>
    </row>
    <row r="42" customFormat="false" ht="15" hidden="false" customHeight="false" outlineLevel="0" collapsed="false">
      <c r="A42" s="3" t="s">
        <v>281</v>
      </c>
      <c r="C42" s="20" t="n">
        <v>0.04</v>
      </c>
      <c r="E42" s="16"/>
    </row>
    <row r="43" customFormat="false" ht="15" hidden="false" customHeight="false" outlineLevel="0" collapsed="false">
      <c r="A43" s="3" t="s">
        <v>282</v>
      </c>
      <c r="C43" s="20" t="n">
        <v>0.04</v>
      </c>
      <c r="E43" s="16"/>
    </row>
    <row r="44" customFormat="false" ht="15" hidden="false" customHeight="false" outlineLevel="0" collapsed="false">
      <c r="A44" s="3" t="s">
        <v>283</v>
      </c>
      <c r="C44" s="20" t="n">
        <v>0</v>
      </c>
      <c r="E44" s="16"/>
    </row>
    <row r="45" customFormat="false" ht="15" hidden="false" customHeight="false" outlineLevel="0" collapsed="false">
      <c r="A45" s="3" t="s">
        <v>238</v>
      </c>
      <c r="C45" s="7" t="s">
        <v>239</v>
      </c>
      <c r="E45" s="16" t="s">
        <v>284</v>
      </c>
    </row>
    <row r="46" customFormat="false" ht="15" hidden="false" customHeight="false" outlineLevel="0" collapsed="false">
      <c r="A46" s="3" t="s">
        <v>231</v>
      </c>
      <c r="C46" s="7" t="s">
        <v>84</v>
      </c>
      <c r="E46" s="16" t="s">
        <v>285</v>
      </c>
    </row>
    <row r="47" customFormat="false" ht="15" hidden="false" customHeight="false" outlineLevel="0" collapsed="false">
      <c r="A47" s="3" t="s">
        <v>235</v>
      </c>
      <c r="C47" s="7" t="s">
        <v>236</v>
      </c>
      <c r="E47" s="16" t="s">
        <v>286</v>
      </c>
    </row>
    <row r="48" customFormat="false" ht="15" hidden="false" customHeight="false" outlineLevel="0" collapsed="false">
      <c r="A48" s="3" t="s">
        <v>258</v>
      </c>
      <c r="C48" s="7" t="s">
        <v>259</v>
      </c>
      <c r="E48" s="16" t="s">
        <v>287</v>
      </c>
    </row>
    <row r="49" customFormat="false" ht="15" hidden="false" customHeight="false" outlineLevel="0" collapsed="false">
      <c r="A49" s="3" t="s">
        <v>288</v>
      </c>
      <c r="C49" s="17" t="n">
        <v>1</v>
      </c>
      <c r="E49" s="16" t="s">
        <v>289</v>
      </c>
    </row>
    <row r="50" customFormat="false" ht="15" hidden="false" customHeight="false" outlineLevel="0" collapsed="false">
      <c r="A50" s="3" t="s">
        <v>290</v>
      </c>
      <c r="C50" s="20" t="n">
        <v>0.005</v>
      </c>
      <c r="E50" s="16"/>
    </row>
    <row r="51" customFormat="false" ht="15" hidden="false" customHeight="false" outlineLevel="0" collapsed="false">
      <c r="A51" s="3" t="s">
        <v>291</v>
      </c>
      <c r="C51" s="21"/>
      <c r="E51" s="16" t="s">
        <v>292</v>
      </c>
    </row>
    <row r="52" customFormat="false" ht="22.35" hidden="false" customHeight="false" outlineLevel="0" collapsed="false">
      <c r="A52" s="3" t="s">
        <v>250</v>
      </c>
      <c r="C52" s="7" t="s">
        <v>95</v>
      </c>
      <c r="E52" s="16" t="s">
        <v>294</v>
      </c>
    </row>
    <row r="53" customFormat="false" ht="15" hidden="false" customHeight="false" outlineLevel="0" collapsed="false">
      <c r="A53" s="3" t="s">
        <v>295</v>
      </c>
      <c r="C53" s="20" t="n">
        <v>0</v>
      </c>
      <c r="E53" s="16"/>
    </row>
    <row r="54" customFormat="false" ht="15" hidden="false" customHeight="false" outlineLevel="0" collapsed="false">
      <c r="A54" s="3" t="s">
        <v>296</v>
      </c>
      <c r="C54" s="20" t="n">
        <v>0.015</v>
      </c>
      <c r="E54" s="16" t="s">
        <v>297</v>
      </c>
    </row>
    <row r="56" customFormat="false" ht="15" hidden="false" customHeight="false" outlineLevel="0" collapsed="false">
      <c r="A56" s="14" t="s">
        <v>298</v>
      </c>
    </row>
    <row r="57" customFormat="false" ht="15" hidden="false" customHeight="false" outlineLevel="0" collapsed="false">
      <c r="A57" s="15" t="s">
        <v>299</v>
      </c>
      <c r="B57" s="15" t="s">
        <v>300</v>
      </c>
      <c r="C57" s="15" t="s">
        <v>214</v>
      </c>
      <c r="E57" s="15" t="s">
        <v>216</v>
      </c>
    </row>
    <row r="58" customFormat="false" ht="15" hidden="false" customHeight="false" outlineLevel="0" collapsed="false">
      <c r="A58" s="3" t="s">
        <v>301</v>
      </c>
      <c r="B58" s="16" t="s">
        <v>302</v>
      </c>
      <c r="C58" s="22" t="n">
        <f aca="false">IF($C$45="market rate",$C$39,$C$40)</f>
        <v>0.8650036</v>
      </c>
      <c r="E58" s="16"/>
    </row>
    <row r="59" customFormat="false" ht="22.35" hidden="false" customHeight="false" outlineLevel="0" collapsed="false">
      <c r="A59" s="3" t="s">
        <v>303</v>
      </c>
      <c r="B59" s="16" t="s">
        <v>304</v>
      </c>
      <c r="C59" s="22" t="n">
        <f aca="false">IF($C$47="added to what the sender pays",$C$58/(1+$C$43),$C$58*(1-$C$43))</f>
        <v>0.830403456</v>
      </c>
      <c r="E59" s="16"/>
    </row>
    <row r="60" customFormat="false" ht="15" hidden="false" customHeight="false" outlineLevel="0" collapsed="false">
      <c r="A60" s="3" t="s">
        <v>305</v>
      </c>
      <c r="B60" s="16" t="s">
        <v>306</v>
      </c>
      <c r="C60" s="23" t="n">
        <f aca="false">$C$35*$C$59</f>
        <v>41520.1728</v>
      </c>
      <c r="E60" s="16" t="s">
        <v>307</v>
      </c>
    </row>
    <row r="61" customFormat="false" ht="15" hidden="false" customHeight="false" outlineLevel="0" collapsed="false">
      <c r="A61" s="3" t="s">
        <v>308</v>
      </c>
      <c r="B61" s="16" t="s">
        <v>309</v>
      </c>
      <c r="C61" s="23" t="n">
        <f aca="false">$C$60*$C$44</f>
        <v>0</v>
      </c>
      <c r="E61" s="16" t="s">
        <v>310</v>
      </c>
    </row>
    <row r="62" customFormat="false" ht="15" hidden="false" customHeight="false" outlineLevel="0" collapsed="false">
      <c r="A62" s="3" t="s">
        <v>311</v>
      </c>
      <c r="B62" s="16" t="s">
        <v>312</v>
      </c>
      <c r="C62" s="23" t="n">
        <f aca="false">$C$60-$C$61</f>
        <v>41520.1728</v>
      </c>
      <c r="E62" s="16" t="s">
        <v>313</v>
      </c>
    </row>
    <row r="63" customFormat="false" ht="32.8" hidden="false" customHeight="false" outlineLevel="0" collapsed="false">
      <c r="A63" s="3" t="s">
        <v>314</v>
      </c>
      <c r="B63" s="16" t="s">
        <v>315</v>
      </c>
      <c r="C63" s="23" t="n">
        <f aca="false">IF($C$46="NPL's own wallet",$C$35*$C$39,IF($C$46="fee on top of market",$C$35*$C$39*(1-$C$41),$C$35*$C$40))</f>
        <v>42904.17856</v>
      </c>
      <c r="E63" s="16"/>
    </row>
    <row r="64" customFormat="false" ht="22.35" hidden="false" customHeight="false" outlineLevel="0" collapsed="false">
      <c r="A64" s="3" t="s">
        <v>316</v>
      </c>
      <c r="B64" s="16" t="s">
        <v>317</v>
      </c>
      <c r="C64" s="23" t="n">
        <f aca="false">$C$35*$C$39-$C$63</f>
        <v>346.00144</v>
      </c>
      <c r="E64" s="16"/>
    </row>
    <row r="65" customFormat="false" ht="15" hidden="false" customHeight="false" outlineLevel="0" collapsed="false">
      <c r="A65" s="3" t="s">
        <v>318</v>
      </c>
      <c r="B65" s="16" t="s">
        <v>319</v>
      </c>
      <c r="C65" s="23" t="n">
        <f aca="false">$C$63-$C$62</f>
        <v>1384.00576</v>
      </c>
      <c r="E65" s="16" t="s">
        <v>320</v>
      </c>
    </row>
    <row r="66" customFormat="false" ht="15" hidden="false" customHeight="false" outlineLevel="0" collapsed="false">
      <c r="A66" s="3" t="s">
        <v>321</v>
      </c>
      <c r="B66" s="16" t="s">
        <v>322</v>
      </c>
      <c r="C66" s="24" t="n">
        <f aca="false">IF($C$35*$C$39=0,0,$C$65/($C$35*$C$39))</f>
        <v>0.032</v>
      </c>
      <c r="E66" s="16"/>
    </row>
    <row r="67" customFormat="false" ht="15" hidden="false" customHeight="false" outlineLevel="0" collapsed="false">
      <c r="A67" s="3" t="s">
        <v>323</v>
      </c>
      <c r="B67" s="16" t="s">
        <v>324</v>
      </c>
      <c r="C67" s="6" t="str">
        <f aca="false">IF($C$66&lt;$C$50,"YES — Finance must approve","no")</f>
        <v>no</v>
      </c>
      <c r="E67" s="16"/>
    </row>
    <row r="68" customFormat="false" ht="22.35" hidden="false" customHeight="false" outlineLevel="0" collapsed="false">
      <c r="A68" s="3" t="s">
        <v>325</v>
      </c>
      <c r="B68" s="16" t="s">
        <v>326</v>
      </c>
      <c r="C68" s="23" t="n">
        <f aca="false">IF($C$48="round up",CEILING($C$62,$C$49),IF($C$48="nearest unit",MROUND($C$62,$C$49),IF($C$48="nearest 1,000",MROUND($C$62,$C$49),FLOOR($C$62,$C$49))))</f>
        <v>41520</v>
      </c>
      <c r="E68" s="16" t="s">
        <v>327</v>
      </c>
    </row>
    <row r="69" customFormat="false" ht="23.85" hidden="false" customHeight="false" outlineLevel="0" collapsed="false">
      <c r="A69" s="3" t="s">
        <v>328</v>
      </c>
      <c r="B69" s="16" t="s">
        <v>329</v>
      </c>
      <c r="C69" s="23" t="n">
        <f aca="false">$C$62-$C$68</f>
        <v>0.172800000000279</v>
      </c>
      <c r="E69" s="16"/>
    </row>
    <row r="70" customFormat="false" ht="22.35" hidden="false" customHeight="false" outlineLevel="0" collapsed="false">
      <c r="A70" s="3" t="s">
        <v>330</v>
      </c>
      <c r="B70" s="16" t="s">
        <v>331</v>
      </c>
      <c r="C70" s="22" t="n">
        <f aca="false">IF($C$51="",$C$58,$C$59/(1-$C$51))</f>
        <v>0.8650036</v>
      </c>
      <c r="E70" s="16" t="s">
        <v>332</v>
      </c>
    </row>
    <row r="71" customFormat="false" ht="22.35" hidden="false" customHeight="false" outlineLevel="0" collapsed="false">
      <c r="A71" s="3" t="s">
        <v>333</v>
      </c>
      <c r="B71" s="16" t="s">
        <v>334</v>
      </c>
      <c r="C71" s="23" t="n">
        <f aca="false">IF($C$52="paid back monthly",$C$64*$C$53,0)</f>
        <v>0</v>
      </c>
      <c r="E71" s="16"/>
    </row>
    <row r="72" customFormat="false" ht="15" hidden="false" customHeight="false" outlineLevel="0" collapsed="false">
      <c r="A72" s="3" t="s">
        <v>335</v>
      </c>
      <c r="B72" s="16" t="s">
        <v>336</v>
      </c>
      <c r="C72" s="23" t="n">
        <f aca="false">$C$35*$C$39*$C$54</f>
        <v>648.7527</v>
      </c>
      <c r="E72" s="16" t="s">
        <v>337</v>
      </c>
    </row>
    <row r="73" customFormat="false" ht="23.85" hidden="false" customHeight="false" outlineLevel="0" collapsed="false">
      <c r="A73" s="3" t="s">
        <v>338</v>
      </c>
      <c r="B73" s="16" t="s">
        <v>339</v>
      </c>
      <c r="C73" s="23" t="n">
        <f aca="false">ROUND($C$62+$C$64+$C$65-$C$35*$C$39,6)</f>
        <v>0</v>
      </c>
      <c r="E73" s="16" t="s">
        <v>340</v>
      </c>
    </row>
    <row r="75" customFormat="false" ht="15" hidden="false" customHeight="false" outlineLevel="0" collapsed="false">
      <c r="A75" s="14" t="s">
        <v>341</v>
      </c>
    </row>
    <row r="76" customFormat="false" ht="15" hidden="false" customHeight="false" outlineLevel="0" collapsed="false">
      <c r="A76" s="15" t="s">
        <v>342</v>
      </c>
      <c r="B76" s="15" t="s">
        <v>343</v>
      </c>
      <c r="C76" s="15" t="s">
        <v>344</v>
      </c>
      <c r="D76" s="15" t="s">
        <v>345</v>
      </c>
      <c r="E76" s="15" t="s">
        <v>346</v>
      </c>
    </row>
    <row r="77" customFormat="false" ht="15" hidden="false" customHeight="false" outlineLevel="0" collapsed="false">
      <c r="A77" s="6" t="str">
        <f aca="false">"Client money received at "&amp;$C$38&amp;" ("&amp;$C$36&amp;")"</f>
        <v>Client money received at AQUANOW (USDT)</v>
      </c>
      <c r="B77" s="6" t="s">
        <v>347</v>
      </c>
      <c r="C77" s="23" t="n">
        <f aca="false">$C$35</f>
        <v>50000</v>
      </c>
      <c r="D77" s="25" t="s">
        <v>348</v>
      </c>
      <c r="E77" s="25" t="s">
        <v>349</v>
      </c>
    </row>
    <row r="78" customFormat="false" ht="15" hidden="false" customHeight="false" outlineLevel="0" collapsed="false">
      <c r="A78" s="6" t="str">
        <f aca="false">"Owed to the client's receivers ("&amp;$C$36&amp;")"</f>
        <v>Owed to the client's receivers (USDT)</v>
      </c>
      <c r="B78" s="6" t="s">
        <v>350</v>
      </c>
      <c r="C78" s="23" t="n">
        <f aca="false">$C$35</f>
        <v>50000</v>
      </c>
      <c r="D78" s="25" t="s">
        <v>348</v>
      </c>
      <c r="E78" s="25" t="s">
        <v>349</v>
      </c>
    </row>
    <row r="79" customFormat="false" ht="15" hidden="false" customHeight="false" outlineLevel="0" collapsed="false">
      <c r="A79" s="6" t="str">
        <f aca="false">"Owed to the client's receivers ("&amp;$C$36&amp;")"</f>
        <v>Owed to the client's receivers (USDT)</v>
      </c>
      <c r="B79" s="6" t="s">
        <v>347</v>
      </c>
      <c r="C79" s="23" t="n">
        <f aca="false">$C$35</f>
        <v>50000</v>
      </c>
      <c r="D79" s="25" t="s">
        <v>348</v>
      </c>
      <c r="E79" s="25" t="s">
        <v>351</v>
      </c>
    </row>
    <row r="80" customFormat="false" ht="15" hidden="false" customHeight="false" outlineLevel="0" collapsed="false">
      <c r="A80" s="6" t="str">
        <f aca="false">"Client money received at "&amp;$C$38&amp;" ("&amp;$C$36&amp;")"</f>
        <v>Client money received at AQUANOW (USDT)</v>
      </c>
      <c r="B80" s="6" t="s">
        <v>350</v>
      </c>
      <c r="C80" s="23" t="n">
        <f aca="false">$C$35</f>
        <v>50000</v>
      </c>
      <c r="D80" s="25" t="s">
        <v>348</v>
      </c>
      <c r="E80" s="25" t="s">
        <v>351</v>
      </c>
    </row>
    <row r="81" customFormat="false" ht="15" hidden="false" customHeight="false" outlineLevel="0" collapsed="false">
      <c r="A81" s="6" t="str">
        <f aca="false">"Client money ready to pay out at "&amp;$C$38&amp;" ("&amp;$C$37&amp;")"</f>
        <v>Client money ready to pay out at AQUANOW (EUR)</v>
      </c>
      <c r="B81" s="6" t="s">
        <v>347</v>
      </c>
      <c r="C81" s="23" t="n">
        <f aca="false">$C$62</f>
        <v>41520.1728</v>
      </c>
      <c r="D81" s="25" t="s">
        <v>352</v>
      </c>
      <c r="E81" s="25" t="s">
        <v>353</v>
      </c>
    </row>
    <row r="82" customFormat="false" ht="15" hidden="false" customHeight="false" outlineLevel="0" collapsed="false">
      <c r="A82" s="6" t="str">
        <f aca="false">"NPL's earnings kept at "&amp;$C$38&amp;" ("&amp;$C$37&amp;")"</f>
        <v>NPL's earnings kept at AQUANOW (EUR)</v>
      </c>
      <c r="B82" s="6" t="s">
        <v>347</v>
      </c>
      <c r="C82" s="23" t="n">
        <f aca="false">IF($C$52="paid back monthly",0,$C$65)</f>
        <v>1384.00576</v>
      </c>
      <c r="D82" s="25" t="s">
        <v>354</v>
      </c>
      <c r="E82" s="25" t="s">
        <v>355</v>
      </c>
    </row>
    <row r="83" customFormat="false" ht="15" hidden="false" customHeight="false" outlineLevel="0" collapsed="false">
      <c r="A83" s="6" t="str">
        <f aca="false">"Owed back to NPL by "&amp;$C$38&amp;" ("&amp;$C$37&amp;")"</f>
        <v>Owed back to NPL by AQUANOW (EUR)</v>
      </c>
      <c r="B83" s="6" t="s">
        <v>347</v>
      </c>
      <c r="C83" s="23" t="n">
        <f aca="false">$C$71</f>
        <v>0</v>
      </c>
      <c r="D83" s="25" t="s">
        <v>354</v>
      </c>
      <c r="E83" s="25" t="s">
        <v>356</v>
      </c>
    </row>
    <row r="84" customFormat="false" ht="15" hidden="false" customHeight="false" outlineLevel="0" collapsed="false">
      <c r="A84" s="6" t="str">
        <f aca="false">"Owed to the client's receivers ("&amp;$C$37&amp;")"</f>
        <v>Owed to the client's receivers (EUR)</v>
      </c>
      <c r="B84" s="6" t="s">
        <v>350</v>
      </c>
      <c r="C84" s="23" t="n">
        <f aca="false">$C$62</f>
        <v>41520.1728</v>
      </c>
      <c r="D84" s="25" t="s">
        <v>348</v>
      </c>
      <c r="E84" s="25" t="s">
        <v>353</v>
      </c>
    </row>
    <row r="85" customFormat="false" ht="15" hidden="false" customHeight="false" outlineLevel="0" collapsed="false">
      <c r="A85" s="6" t="str">
        <f aca="false">"NPL's earnings ("&amp;$C$37&amp;")"</f>
        <v>NPL's earnings (EUR)</v>
      </c>
      <c r="B85" s="6" t="s">
        <v>350</v>
      </c>
      <c r="C85" s="23" t="n">
        <f aca="false">$C$65+$C$71</f>
        <v>1384.00576</v>
      </c>
      <c r="D85" s="25" t="s">
        <v>354</v>
      </c>
      <c r="E85" s="25" t="s">
        <v>357</v>
      </c>
    </row>
    <row r="86" customFormat="false" ht="15" hidden="false" customHeight="false" outlineLevel="0" collapsed="false">
      <c r="A86" s="6" t="str">
        <f aca="false">"Client money in transit from "&amp;$C$38&amp;" ("&amp;$C$37&amp;")"</f>
        <v>Client money in transit from AQUANOW (EUR)</v>
      </c>
      <c r="B86" s="6" t="s">
        <v>347</v>
      </c>
      <c r="C86" s="23" t="n">
        <f aca="false">$C$68</f>
        <v>41520</v>
      </c>
      <c r="D86" s="25" t="s">
        <v>348</v>
      </c>
      <c r="E86" s="25" t="s">
        <v>358</v>
      </c>
    </row>
    <row r="87" customFormat="false" ht="15" hidden="false" customHeight="false" outlineLevel="0" collapsed="false">
      <c r="A87" s="6" t="str">
        <f aca="false">"Client money ready to pay out at "&amp;$C$38&amp;" ("&amp;$C$37&amp;")"</f>
        <v>Client money ready to pay out at AQUANOW (EUR)</v>
      </c>
      <c r="B87" s="6" t="s">
        <v>350</v>
      </c>
      <c r="C87" s="23" t="n">
        <f aca="false">$C$68</f>
        <v>41520</v>
      </c>
      <c r="D87" s="25" t="s">
        <v>348</v>
      </c>
      <c r="E87" s="25" t="s">
        <v>359</v>
      </c>
    </row>
    <row r="88" customFormat="false" ht="15" hidden="false" customHeight="false" outlineLevel="0" collapsed="false">
      <c r="A88" s="6" t="str">
        <f aca="false">"Owed to the client's receivers ("&amp;$C$37&amp;")"</f>
        <v>Owed to the client's receivers (EUR)</v>
      </c>
      <c r="B88" s="6" t="s">
        <v>347</v>
      </c>
      <c r="C88" s="23" t="n">
        <f aca="false">$C$68</f>
        <v>41520</v>
      </c>
      <c r="D88" s="25" t="s">
        <v>348</v>
      </c>
      <c r="E88" s="25" t="s">
        <v>360</v>
      </c>
    </row>
    <row r="89" customFormat="false" ht="15" hidden="false" customHeight="false" outlineLevel="0" collapsed="false">
      <c r="A89" s="6" t="str">
        <f aca="false">"Client money in transit from "&amp;$C$38&amp;" ("&amp;$C$37&amp;")"</f>
        <v>Client money in transit from AQUANOW (EUR)</v>
      </c>
      <c r="B89" s="6" t="s">
        <v>350</v>
      </c>
      <c r="C89" s="23" t="n">
        <f aca="false">$C$68</f>
        <v>41520</v>
      </c>
      <c r="D89" s="25" t="s">
        <v>348</v>
      </c>
      <c r="E89" s="25" t="s">
        <v>360</v>
      </c>
    </row>
    <row r="90" customFormat="false" ht="15" hidden="false" customHeight="false" outlineLevel="0" collapsed="false">
      <c r="A90" s="6" t="str">
        <f aca="false">"NPL's earnings ("&amp;$C$37&amp;")"</f>
        <v>NPL's earnings (EUR)</v>
      </c>
      <c r="B90" s="6" t="s">
        <v>347</v>
      </c>
      <c r="C90" s="23" t="n">
        <f aca="false">$C$72</f>
        <v>648.7527</v>
      </c>
      <c r="D90" s="25" t="s">
        <v>361</v>
      </c>
      <c r="E90" s="25" t="s">
        <v>362</v>
      </c>
    </row>
    <row r="91" customFormat="false" ht="15" hidden="false" customHeight="false" outlineLevel="0" collapsed="false">
      <c r="A91" s="6" t="str">
        <f aca="false">"Owed to the other party ("&amp;$C$37&amp;")"</f>
        <v>Owed to the other party (EUR)</v>
      </c>
      <c r="B91" s="6" t="s">
        <v>350</v>
      </c>
      <c r="C91" s="23" t="n">
        <f aca="false">$C$72</f>
        <v>648.7527</v>
      </c>
      <c r="D91" s="25" t="s">
        <v>361</v>
      </c>
      <c r="E91" s="25" t="s">
        <v>363</v>
      </c>
    </row>
    <row r="92" customFormat="false" ht="30" hidden="false" customHeight="true" outlineLevel="0" collapsed="false">
      <c r="A92" s="26" t="s">
        <v>364</v>
      </c>
      <c r="C92" s="27" t="n">
        <f aca="false">ROUND(SUMIF($B$81:$B$91,"in",$C$81:$C$91)-SUMIF($B$81:$B$91,"out",$C$81:$C$91),6)</f>
        <v>0</v>
      </c>
      <c r="E92" s="16" t="s">
        <v>365</v>
      </c>
    </row>
    <row r="94" customFormat="false" ht="15" hidden="false" customHeight="false" outlineLevel="0" collapsed="false">
      <c r="A94" s="14" t="s">
        <v>366</v>
      </c>
    </row>
    <row r="95" customFormat="false" ht="15" hidden="false" customHeight="false" outlineLevel="0" collapsed="false">
      <c r="A95" s="15" t="s">
        <v>367</v>
      </c>
      <c r="B95" s="15" t="s">
        <v>368</v>
      </c>
      <c r="C95" s="15" t="s">
        <v>369</v>
      </c>
      <c r="D95" s="15" t="s">
        <v>370</v>
      </c>
      <c r="E95" s="15" t="s">
        <v>371</v>
      </c>
    </row>
    <row r="96" customFormat="false" ht="15.75" hidden="false" customHeight="true" outlineLevel="0" collapsed="false">
      <c r="A96" s="3" t="s">
        <v>441</v>
      </c>
      <c r="B96" s="17" t="n">
        <v>41520.17</v>
      </c>
      <c r="C96" s="23" t="n">
        <f aca="false">$C$60</f>
        <v>41520.1728</v>
      </c>
      <c r="D96" s="27" t="n">
        <f aca="false">ROUND(C96-B96,2)</f>
        <v>0</v>
      </c>
      <c r="E96" s="16" t="s">
        <v>442</v>
      </c>
    </row>
    <row r="98" customFormat="false" ht="15" hidden="false" customHeight="false" outlineLevel="0" collapsed="false">
      <c r="A98" s="14" t="s">
        <v>374</v>
      </c>
    </row>
    <row r="99" customFormat="false" ht="31.5" hidden="false" customHeight="true" outlineLevel="0" collapsed="false">
      <c r="A99" s="13" t="s">
        <v>375</v>
      </c>
      <c r="B99" s="28" t="s">
        <v>443</v>
      </c>
      <c r="C99" s="28"/>
      <c r="D99" s="28"/>
      <c r="E99" s="28"/>
    </row>
    <row r="100" customFormat="false" ht="31.5" hidden="false" customHeight="true" outlineLevel="0" collapsed="false">
      <c r="A100" s="13" t="s">
        <v>375</v>
      </c>
      <c r="B100" s="28" t="s">
        <v>444</v>
      </c>
      <c r="C100" s="28"/>
      <c r="D100" s="28"/>
      <c r="E100" s="28"/>
    </row>
    <row r="101" customFormat="false" ht="31.5" hidden="false" customHeight="true" outlineLevel="0" collapsed="false">
      <c r="A101" s="13" t="s">
        <v>375</v>
      </c>
      <c r="B101" s="28" t="s">
        <v>445</v>
      </c>
      <c r="C101" s="28"/>
      <c r="D101" s="28"/>
      <c r="E101" s="28"/>
    </row>
  </sheetData>
  <mergeCells count="3">
    <mergeCell ref="B99:E99"/>
    <mergeCell ref="B100:E100"/>
    <mergeCell ref="B101:E10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446</v>
      </c>
    </row>
    <row r="2" customFormat="false" ht="15" hidden="false" customHeight="false" outlineLevel="0" collapsed="false">
      <c r="A2" s="12" t="s">
        <v>210</v>
      </c>
      <c r="B2" s="13" t="s">
        <v>447</v>
      </c>
    </row>
    <row r="4" customFormat="false" ht="15" hidden="false" customHeight="false" outlineLevel="0" collapsed="false">
      <c r="A4" s="14" t="s">
        <v>212</v>
      </c>
    </row>
    <row r="5" customFormat="false" ht="15" hidden="false" customHeight="false" outlineLevel="0" collapsed="false">
      <c r="A5" s="15" t="s">
        <v>213</v>
      </c>
      <c r="B5" s="15" t="s">
        <v>214</v>
      </c>
      <c r="C5" s="15" t="s">
        <v>215</v>
      </c>
      <c r="D5" s="15" t="s">
        <v>216</v>
      </c>
    </row>
    <row r="6" customFormat="false" ht="15.75" hidden="false" customHeight="true" outlineLevel="0" collapsed="false">
      <c r="A6" s="3" t="s">
        <v>217</v>
      </c>
      <c r="B6" s="9" t="s">
        <v>179</v>
      </c>
      <c r="C6" s="3" t="s">
        <v>218</v>
      </c>
      <c r="D6" s="16" t="s">
        <v>219</v>
      </c>
    </row>
    <row r="7" customFormat="false" ht="42" hidden="false" customHeight="true" outlineLevel="0" collapsed="false">
      <c r="A7" s="3" t="s">
        <v>51</v>
      </c>
      <c r="B7" s="9" t="s">
        <v>448</v>
      </c>
      <c r="C7" s="3" t="s">
        <v>218</v>
      </c>
      <c r="D7" s="16" t="s">
        <v>221</v>
      </c>
    </row>
    <row r="8" customFormat="false" ht="42" hidden="false" customHeight="true" outlineLevel="0" collapsed="false">
      <c r="A8" s="3" t="s">
        <v>52</v>
      </c>
      <c r="B8" s="9" t="s">
        <v>449</v>
      </c>
      <c r="C8" s="3" t="s">
        <v>218</v>
      </c>
      <c r="D8" s="16" t="s">
        <v>222</v>
      </c>
    </row>
    <row r="9" customFormat="false" ht="42" hidden="false" customHeight="true" outlineLevel="0" collapsed="false">
      <c r="A9" s="3" t="s">
        <v>223</v>
      </c>
      <c r="B9" s="9" t="s">
        <v>450</v>
      </c>
      <c r="C9" s="3" t="s">
        <v>218</v>
      </c>
      <c r="D9" s="16" t="s">
        <v>224</v>
      </c>
    </row>
    <row r="10" customFormat="false" ht="15.75" hidden="false" customHeight="true" outlineLevel="0" collapsed="false">
      <c r="A10" s="3" t="s">
        <v>225</v>
      </c>
      <c r="B10" s="9" t="s">
        <v>226</v>
      </c>
      <c r="C10" s="3" t="s">
        <v>218</v>
      </c>
      <c r="D10" s="16" t="s">
        <v>227</v>
      </c>
    </row>
    <row r="11" customFormat="false" ht="42" hidden="false" customHeight="true" outlineLevel="0" collapsed="false">
      <c r="A11" s="3" t="s">
        <v>228</v>
      </c>
      <c r="B11" s="9" t="s">
        <v>451</v>
      </c>
      <c r="C11" s="3" t="s">
        <v>218</v>
      </c>
      <c r="D11" s="16" t="s">
        <v>230</v>
      </c>
    </row>
    <row r="12" customFormat="false" ht="15.75" hidden="false" customHeight="true" outlineLevel="0" collapsed="false">
      <c r="A12" s="3" t="s">
        <v>56</v>
      </c>
      <c r="B12" s="9" t="s">
        <v>452</v>
      </c>
      <c r="C12" s="3" t="s">
        <v>218</v>
      </c>
      <c r="D12" s="16"/>
    </row>
    <row r="13" customFormat="false" ht="42" hidden="false" customHeight="true" outlineLevel="0" collapsed="false">
      <c r="A13" s="3" t="s">
        <v>231</v>
      </c>
      <c r="B13" s="9" t="s">
        <v>182</v>
      </c>
      <c r="C13" s="3" t="s">
        <v>218</v>
      </c>
      <c r="D13" s="16" t="s">
        <v>232</v>
      </c>
    </row>
    <row r="14" customFormat="false" ht="15.75" hidden="false" customHeight="true" outlineLevel="0" collapsed="false">
      <c r="A14" s="3" t="s">
        <v>233</v>
      </c>
      <c r="B14" s="9" t="s">
        <v>453</v>
      </c>
      <c r="C14" s="3" t="s">
        <v>218</v>
      </c>
      <c r="D14" s="16" t="s">
        <v>234</v>
      </c>
    </row>
    <row r="15" customFormat="false" ht="42" hidden="false" customHeight="true" outlineLevel="0" collapsed="false">
      <c r="A15" s="3" t="s">
        <v>235</v>
      </c>
      <c r="B15" s="9" t="s">
        <v>407</v>
      </c>
      <c r="C15" s="3" t="s">
        <v>218</v>
      </c>
      <c r="D15" s="16" t="s">
        <v>237</v>
      </c>
    </row>
    <row r="16" customFormat="false" ht="15.75" hidden="false" customHeight="true" outlineLevel="0" collapsed="false">
      <c r="A16" s="3" t="s">
        <v>238</v>
      </c>
      <c r="B16" s="9" t="s">
        <v>239</v>
      </c>
      <c r="C16" s="3" t="s">
        <v>218</v>
      </c>
      <c r="D16" s="16" t="s">
        <v>240</v>
      </c>
    </row>
    <row r="17" customFormat="false" ht="42" hidden="false" customHeight="true" outlineLevel="0" collapsed="false">
      <c r="A17" s="3" t="s">
        <v>241</v>
      </c>
      <c r="B17" s="9" t="s">
        <v>86</v>
      </c>
      <c r="C17" s="3" t="s">
        <v>218</v>
      </c>
      <c r="D17" s="16" t="s">
        <v>242</v>
      </c>
    </row>
    <row r="18" customFormat="false" ht="15.75" hidden="false" customHeight="true" outlineLevel="0" collapsed="false">
      <c r="A18" s="3" t="s">
        <v>62</v>
      </c>
      <c r="B18" s="11" t="n">
        <v>0.02</v>
      </c>
      <c r="C18" s="3" t="s">
        <v>218</v>
      </c>
      <c r="D18" s="16" t="s">
        <v>243</v>
      </c>
    </row>
    <row r="19" customFormat="false" ht="15.75" hidden="false" customHeight="true" outlineLevel="0" collapsed="false">
      <c r="A19" s="3" t="s">
        <v>63</v>
      </c>
      <c r="B19" s="11" t="n">
        <v>0.02</v>
      </c>
      <c r="C19" s="3" t="s">
        <v>218</v>
      </c>
      <c r="D19" s="16"/>
    </row>
    <row r="20" customFormat="false" ht="15.75" hidden="false" customHeight="true" outlineLevel="0" collapsed="false">
      <c r="A20" s="3" t="s">
        <v>64</v>
      </c>
      <c r="B20" s="11" t="n">
        <v>0</v>
      </c>
      <c r="C20" s="3" t="s">
        <v>218</v>
      </c>
      <c r="D20" s="16" t="s">
        <v>244</v>
      </c>
    </row>
    <row r="21" customFormat="false" ht="15.75" hidden="false" customHeight="true" outlineLevel="0" collapsed="false">
      <c r="A21" s="3" t="s">
        <v>65</v>
      </c>
      <c r="B21" s="10"/>
      <c r="C21" s="3" t="s">
        <v>220</v>
      </c>
      <c r="D21" s="16" t="s">
        <v>245</v>
      </c>
    </row>
    <row r="22" customFormat="false" ht="15.75" hidden="false" customHeight="true" outlineLevel="0" collapsed="false">
      <c r="A22" s="3" t="s">
        <v>66</v>
      </c>
      <c r="B22" s="10"/>
      <c r="C22" s="3" t="s">
        <v>220</v>
      </c>
      <c r="D22" s="16" t="s">
        <v>245</v>
      </c>
    </row>
    <row r="23" customFormat="false" ht="15.75" hidden="false" customHeight="true" outlineLevel="0" collapsed="false">
      <c r="A23" s="3" t="s">
        <v>67</v>
      </c>
      <c r="B23" s="10"/>
      <c r="C23" s="3" t="s">
        <v>220</v>
      </c>
      <c r="D23" s="16" t="s">
        <v>246</v>
      </c>
    </row>
    <row r="24" customFormat="false" ht="42" hidden="false" customHeight="true" outlineLevel="0" collapsed="false">
      <c r="A24" s="3" t="s">
        <v>247</v>
      </c>
      <c r="B24" s="10"/>
      <c r="C24" s="3" t="s">
        <v>248</v>
      </c>
      <c r="D24" s="16" t="s">
        <v>249</v>
      </c>
    </row>
    <row r="25" customFormat="false" ht="42" hidden="false" customHeight="true" outlineLevel="0" collapsed="false">
      <c r="A25" s="3" t="s">
        <v>250</v>
      </c>
      <c r="B25" s="9" t="s">
        <v>183</v>
      </c>
      <c r="C25" s="3" t="s">
        <v>218</v>
      </c>
      <c r="D25" s="16" t="s">
        <v>253</v>
      </c>
    </row>
    <row r="26" customFormat="false" ht="15.75" hidden="false" customHeight="true" outlineLevel="0" collapsed="false">
      <c r="A26" s="3" t="s">
        <v>72</v>
      </c>
      <c r="B26" s="10"/>
      <c r="C26" s="3" t="s">
        <v>248</v>
      </c>
      <c r="D26" s="16" t="s">
        <v>255</v>
      </c>
    </row>
    <row r="27" customFormat="false" ht="15.75" hidden="false" customHeight="true" outlineLevel="0" collapsed="false">
      <c r="A27" s="3" t="s">
        <v>256</v>
      </c>
      <c r="B27" s="9"/>
      <c r="C27" s="3" t="s">
        <v>248</v>
      </c>
      <c r="D27" s="16" t="s">
        <v>257</v>
      </c>
    </row>
    <row r="28" customFormat="false" ht="42" hidden="false" customHeight="true" outlineLevel="0" collapsed="false">
      <c r="A28" s="3" t="s">
        <v>258</v>
      </c>
      <c r="B28" s="9" t="s">
        <v>454</v>
      </c>
      <c r="C28" s="3" t="s">
        <v>218</v>
      </c>
      <c r="D28" s="16" t="s">
        <v>260</v>
      </c>
    </row>
    <row r="29" customFormat="false" ht="15.75" hidden="false" customHeight="true" outlineLevel="0" collapsed="false">
      <c r="A29" s="3" t="s">
        <v>75</v>
      </c>
      <c r="B29" s="10"/>
      <c r="C29" s="3" t="s">
        <v>220</v>
      </c>
      <c r="D29" s="16" t="s">
        <v>261</v>
      </c>
    </row>
    <row r="30" customFormat="false" ht="15.75" hidden="false" customHeight="true" outlineLevel="0" collapsed="false">
      <c r="A30" s="3" t="s">
        <v>76</v>
      </c>
      <c r="B30" s="10"/>
      <c r="C30" s="3" t="s">
        <v>220</v>
      </c>
      <c r="D30" s="16" t="s">
        <v>262</v>
      </c>
    </row>
    <row r="31" customFormat="false" ht="42" hidden="false" customHeight="true" outlineLevel="0" collapsed="false">
      <c r="A31" s="3" t="s">
        <v>263</v>
      </c>
      <c r="B31" s="10"/>
      <c r="C31" s="3" t="s">
        <v>220</v>
      </c>
      <c r="D31" s="16" t="s">
        <v>264</v>
      </c>
    </row>
    <row r="33" customFormat="false" ht="15" hidden="false" customHeight="false" outlineLevel="0" collapsed="false">
      <c r="A33" s="14" t="s">
        <v>265</v>
      </c>
    </row>
    <row r="34" customFormat="false" ht="15" hidden="false" customHeight="false" outlineLevel="0" collapsed="false">
      <c r="A34" s="15" t="s">
        <v>213</v>
      </c>
      <c r="B34" s="15"/>
      <c r="C34" s="15" t="s">
        <v>214</v>
      </c>
      <c r="D34" s="15"/>
      <c r="E34" s="15" t="s">
        <v>14</v>
      </c>
    </row>
    <row r="35" customFormat="false" ht="15" hidden="false" customHeight="false" outlineLevel="0" collapsed="false">
      <c r="A35" s="3" t="s">
        <v>266</v>
      </c>
      <c r="C35" s="17" t="n">
        <v>2600</v>
      </c>
      <c r="E35" s="16" t="s">
        <v>267</v>
      </c>
    </row>
    <row r="36" customFormat="false" ht="15" hidden="false" customHeight="false" outlineLevel="0" collapsed="false">
      <c r="A36" s="3" t="s">
        <v>268</v>
      </c>
      <c r="C36" s="7" t="s">
        <v>269</v>
      </c>
      <c r="E36" s="16"/>
    </row>
    <row r="37" customFormat="false" ht="15" hidden="false" customHeight="false" outlineLevel="0" collapsed="false">
      <c r="A37" s="3" t="s">
        <v>270</v>
      </c>
      <c r="C37" s="7" t="s">
        <v>271</v>
      </c>
      <c r="E37" s="16"/>
    </row>
    <row r="38" customFormat="false" ht="15" hidden="false" customHeight="false" outlineLevel="0" collapsed="false">
      <c r="A38" s="3" t="s">
        <v>272</v>
      </c>
      <c r="C38" s="7" t="s">
        <v>455</v>
      </c>
      <c r="E38" s="16" t="s">
        <v>274</v>
      </c>
    </row>
    <row r="39" customFormat="false" ht="15" hidden="false" customHeight="false" outlineLevel="0" collapsed="false">
      <c r="A39" s="3" t="s">
        <v>275</v>
      </c>
      <c r="C39" s="18" t="n">
        <v>0.8716</v>
      </c>
      <c r="E39" s="16" t="s">
        <v>276</v>
      </c>
    </row>
    <row r="40" customFormat="false" ht="22.35" hidden="false" customHeight="false" outlineLevel="0" collapsed="false">
      <c r="A40" s="3" t="s">
        <v>277</v>
      </c>
      <c r="C40" s="19"/>
      <c r="E40" s="16" t="s">
        <v>278</v>
      </c>
    </row>
    <row r="41" customFormat="false" ht="15" hidden="false" customHeight="false" outlineLevel="0" collapsed="false">
      <c r="A41" s="3" t="s">
        <v>279</v>
      </c>
      <c r="C41" s="20" t="n">
        <v>0</v>
      </c>
      <c r="E41" s="16" t="s">
        <v>280</v>
      </c>
    </row>
    <row r="42" customFormat="false" ht="15" hidden="false" customHeight="false" outlineLevel="0" collapsed="false">
      <c r="A42" s="3" t="s">
        <v>281</v>
      </c>
      <c r="C42" s="20" t="n">
        <v>0.02</v>
      </c>
      <c r="E42" s="16"/>
    </row>
    <row r="43" customFormat="false" ht="15" hidden="false" customHeight="false" outlineLevel="0" collapsed="false">
      <c r="A43" s="3" t="s">
        <v>282</v>
      </c>
      <c r="C43" s="20" t="n">
        <v>0.02</v>
      </c>
      <c r="E43" s="16"/>
    </row>
    <row r="44" customFormat="false" ht="15" hidden="false" customHeight="false" outlineLevel="0" collapsed="false">
      <c r="A44" s="3" t="s">
        <v>283</v>
      </c>
      <c r="C44" s="20" t="n">
        <v>0</v>
      </c>
      <c r="E44" s="16"/>
    </row>
    <row r="45" customFormat="false" ht="15" hidden="false" customHeight="false" outlineLevel="0" collapsed="false">
      <c r="A45" s="3" t="s">
        <v>238</v>
      </c>
      <c r="C45" s="7" t="s">
        <v>239</v>
      </c>
      <c r="E45" s="16" t="s">
        <v>284</v>
      </c>
    </row>
    <row r="46" customFormat="false" ht="15" hidden="false" customHeight="false" outlineLevel="0" collapsed="false">
      <c r="A46" s="3" t="s">
        <v>231</v>
      </c>
      <c r="C46" s="7" t="s">
        <v>183</v>
      </c>
      <c r="E46" s="16" t="s">
        <v>285</v>
      </c>
    </row>
    <row r="47" customFormat="false" ht="15" hidden="false" customHeight="false" outlineLevel="0" collapsed="false">
      <c r="A47" s="3" t="s">
        <v>235</v>
      </c>
      <c r="C47" s="7" t="s">
        <v>407</v>
      </c>
      <c r="E47" s="16" t="s">
        <v>286</v>
      </c>
    </row>
    <row r="48" customFormat="false" ht="15" hidden="false" customHeight="false" outlineLevel="0" collapsed="false">
      <c r="A48" s="3" t="s">
        <v>258</v>
      </c>
      <c r="C48" s="7" t="s">
        <v>259</v>
      </c>
      <c r="E48" s="16" t="s">
        <v>287</v>
      </c>
    </row>
    <row r="49" customFormat="false" ht="15" hidden="false" customHeight="false" outlineLevel="0" collapsed="false">
      <c r="A49" s="3" t="s">
        <v>288</v>
      </c>
      <c r="C49" s="17" t="n">
        <v>1</v>
      </c>
      <c r="E49" s="16" t="s">
        <v>289</v>
      </c>
    </row>
    <row r="50" customFormat="false" ht="15" hidden="false" customHeight="false" outlineLevel="0" collapsed="false">
      <c r="A50" s="3" t="s">
        <v>290</v>
      </c>
      <c r="C50" s="20" t="n">
        <v>0</v>
      </c>
      <c r="E50" s="16"/>
    </row>
    <row r="51" customFormat="false" ht="15" hidden="false" customHeight="false" outlineLevel="0" collapsed="false">
      <c r="A51" s="3" t="s">
        <v>291</v>
      </c>
      <c r="C51" s="21"/>
      <c r="E51" s="16" t="s">
        <v>292</v>
      </c>
    </row>
    <row r="52" customFormat="false" ht="22.35" hidden="false" customHeight="false" outlineLevel="0" collapsed="false">
      <c r="A52" s="3" t="s">
        <v>250</v>
      </c>
      <c r="C52" s="7" t="s">
        <v>183</v>
      </c>
      <c r="E52" s="16" t="s">
        <v>294</v>
      </c>
    </row>
    <row r="53" customFormat="false" ht="15" hidden="false" customHeight="false" outlineLevel="0" collapsed="false">
      <c r="A53" s="3" t="s">
        <v>295</v>
      </c>
      <c r="C53" s="20" t="n">
        <v>0</v>
      </c>
      <c r="E53" s="16"/>
    </row>
    <row r="54" customFormat="false" ht="15" hidden="false" customHeight="false" outlineLevel="0" collapsed="false">
      <c r="A54" s="3" t="s">
        <v>296</v>
      </c>
      <c r="C54" s="20" t="n">
        <v>0</v>
      </c>
      <c r="E54" s="16" t="s">
        <v>297</v>
      </c>
    </row>
    <row r="56" customFormat="false" ht="15" hidden="false" customHeight="false" outlineLevel="0" collapsed="false">
      <c r="A56" s="14" t="s">
        <v>298</v>
      </c>
    </row>
    <row r="57" customFormat="false" ht="15" hidden="false" customHeight="false" outlineLevel="0" collapsed="false">
      <c r="A57" s="15" t="s">
        <v>299</v>
      </c>
      <c r="B57" s="15" t="s">
        <v>300</v>
      </c>
      <c r="C57" s="15" t="s">
        <v>214</v>
      </c>
      <c r="E57" s="15" t="s">
        <v>216</v>
      </c>
    </row>
    <row r="58" customFormat="false" ht="15" hidden="false" customHeight="false" outlineLevel="0" collapsed="false">
      <c r="A58" s="3" t="s">
        <v>301</v>
      </c>
      <c r="B58" s="16" t="s">
        <v>302</v>
      </c>
      <c r="C58" s="22" t="n">
        <f aca="false">IF($C$45="market rate",$C$39,$C$40)</f>
        <v>0.8716</v>
      </c>
      <c r="E58" s="16"/>
    </row>
    <row r="59" customFormat="false" ht="22.35" hidden="false" customHeight="false" outlineLevel="0" collapsed="false">
      <c r="A59" s="3" t="s">
        <v>303</v>
      </c>
      <c r="B59" s="16" t="s">
        <v>304</v>
      </c>
      <c r="C59" s="22" t="n">
        <f aca="false">IF($C$47="added to what the sender pays",$C$58/(1+$C$43),$C$58*(1-$C$43))</f>
        <v>0.854509803921569</v>
      </c>
      <c r="E59" s="16"/>
    </row>
    <row r="60" customFormat="false" ht="15" hidden="false" customHeight="false" outlineLevel="0" collapsed="false">
      <c r="A60" s="3" t="s">
        <v>305</v>
      </c>
      <c r="B60" s="16" t="s">
        <v>306</v>
      </c>
      <c r="C60" s="23" t="n">
        <f aca="false">$C$35*$C$59</f>
        <v>2221.72549019608</v>
      </c>
      <c r="E60" s="16" t="s">
        <v>307</v>
      </c>
    </row>
    <row r="61" customFormat="false" ht="15" hidden="false" customHeight="false" outlineLevel="0" collapsed="false">
      <c r="A61" s="3" t="s">
        <v>308</v>
      </c>
      <c r="B61" s="16" t="s">
        <v>309</v>
      </c>
      <c r="C61" s="23" t="n">
        <f aca="false">$C$60*$C$44</f>
        <v>0</v>
      </c>
      <c r="E61" s="16" t="s">
        <v>310</v>
      </c>
    </row>
    <row r="62" customFormat="false" ht="15" hidden="false" customHeight="false" outlineLevel="0" collapsed="false">
      <c r="A62" s="3" t="s">
        <v>311</v>
      </c>
      <c r="B62" s="16" t="s">
        <v>312</v>
      </c>
      <c r="C62" s="23" t="n">
        <f aca="false">$C$60-$C$61</f>
        <v>2221.72549019608</v>
      </c>
      <c r="E62" s="16" t="s">
        <v>313</v>
      </c>
    </row>
    <row r="63" customFormat="false" ht="32.8" hidden="false" customHeight="false" outlineLevel="0" collapsed="false">
      <c r="A63" s="3" t="s">
        <v>314</v>
      </c>
      <c r="B63" s="16" t="s">
        <v>315</v>
      </c>
      <c r="C63" s="23" t="n">
        <f aca="false">IF($C$46="NPL's own wallet",$C$35*$C$39,IF($C$46="fee on top of market",$C$35*$C$39*(1-$C$41),$C$35*$C$40))</f>
        <v>2266.16</v>
      </c>
      <c r="E63" s="16"/>
    </row>
    <row r="64" customFormat="false" ht="22.35" hidden="false" customHeight="false" outlineLevel="0" collapsed="false">
      <c r="A64" s="3" t="s">
        <v>316</v>
      </c>
      <c r="B64" s="16" t="s">
        <v>317</v>
      </c>
      <c r="C64" s="23" t="n">
        <f aca="false">$C$35*$C$39-$C$63</f>
        <v>0</v>
      </c>
      <c r="E64" s="16"/>
    </row>
    <row r="65" customFormat="false" ht="15" hidden="false" customHeight="false" outlineLevel="0" collapsed="false">
      <c r="A65" s="3" t="s">
        <v>318</v>
      </c>
      <c r="B65" s="16" t="s">
        <v>319</v>
      </c>
      <c r="C65" s="23" t="n">
        <f aca="false">$C$63-$C$62</f>
        <v>44.4345098039221</v>
      </c>
      <c r="E65" s="16" t="s">
        <v>320</v>
      </c>
    </row>
    <row r="66" customFormat="false" ht="15" hidden="false" customHeight="false" outlineLevel="0" collapsed="false">
      <c r="A66" s="3" t="s">
        <v>321</v>
      </c>
      <c r="B66" s="16" t="s">
        <v>322</v>
      </c>
      <c r="C66" s="24" t="n">
        <f aca="false">IF($C$35*$C$39=0,0,$C$65/($C$35*$C$39))</f>
        <v>0.0196078431372551</v>
      </c>
      <c r="E66" s="16"/>
    </row>
    <row r="67" customFormat="false" ht="15" hidden="false" customHeight="false" outlineLevel="0" collapsed="false">
      <c r="A67" s="3" t="s">
        <v>323</v>
      </c>
      <c r="B67" s="16" t="s">
        <v>324</v>
      </c>
      <c r="C67" s="6" t="str">
        <f aca="false">IF($C$66&lt;$C$50,"YES — Finance must approve","no")</f>
        <v>no</v>
      </c>
      <c r="E67" s="16"/>
    </row>
    <row r="68" customFormat="false" ht="22.35" hidden="false" customHeight="false" outlineLevel="0" collapsed="false">
      <c r="A68" s="3" t="s">
        <v>325</v>
      </c>
      <c r="B68" s="16" t="s">
        <v>326</v>
      </c>
      <c r="C68" s="23" t="n">
        <f aca="false">IF($C$48="round up",CEILING($C$62,$C$49),IF($C$48="nearest unit",MROUND($C$62,$C$49),IF($C$48="nearest 1,000",MROUND($C$62,$C$49),FLOOR($C$62,$C$49))))</f>
        <v>2221</v>
      </c>
      <c r="E68" s="16" t="s">
        <v>327</v>
      </c>
    </row>
    <row r="69" customFormat="false" ht="23.85" hidden="false" customHeight="false" outlineLevel="0" collapsed="false">
      <c r="A69" s="3" t="s">
        <v>328</v>
      </c>
      <c r="B69" s="16" t="s">
        <v>329</v>
      </c>
      <c r="C69" s="23" t="n">
        <f aca="false">$C$62-$C$68</f>
        <v>0.725490196078226</v>
      </c>
      <c r="E69" s="16"/>
    </row>
    <row r="70" customFormat="false" ht="22.35" hidden="false" customHeight="false" outlineLevel="0" collapsed="false">
      <c r="A70" s="3" t="s">
        <v>330</v>
      </c>
      <c r="B70" s="16" t="s">
        <v>331</v>
      </c>
      <c r="C70" s="22" t="n">
        <f aca="false">IF($C$51="",$C$58,$C$59/(1-$C$51))</f>
        <v>0.8716</v>
      </c>
      <c r="E70" s="16" t="s">
        <v>332</v>
      </c>
    </row>
    <row r="71" customFormat="false" ht="22.35" hidden="false" customHeight="false" outlineLevel="0" collapsed="false">
      <c r="A71" s="3" t="s">
        <v>333</v>
      </c>
      <c r="B71" s="16" t="s">
        <v>334</v>
      </c>
      <c r="C71" s="23" t="n">
        <f aca="false">IF($C$52="paid back monthly",$C$64*$C$53,0)</f>
        <v>0</v>
      </c>
      <c r="E71" s="16"/>
    </row>
    <row r="72" customFormat="false" ht="15" hidden="false" customHeight="false" outlineLevel="0" collapsed="false">
      <c r="A72" s="3" t="s">
        <v>335</v>
      </c>
      <c r="B72" s="16" t="s">
        <v>336</v>
      </c>
      <c r="C72" s="23" t="n">
        <f aca="false">$C$35*$C$39*$C$54</f>
        <v>0</v>
      </c>
      <c r="E72" s="16" t="s">
        <v>337</v>
      </c>
    </row>
    <row r="73" customFormat="false" ht="23.85" hidden="false" customHeight="false" outlineLevel="0" collapsed="false">
      <c r="A73" s="3" t="s">
        <v>338</v>
      </c>
      <c r="B73" s="16" t="s">
        <v>339</v>
      </c>
      <c r="C73" s="23" t="n">
        <f aca="false">ROUND($C$62+$C$64+$C$65-$C$35*$C$39,6)</f>
        <v>0</v>
      </c>
      <c r="E73" s="16" t="s">
        <v>340</v>
      </c>
    </row>
    <row r="75" customFormat="false" ht="15" hidden="false" customHeight="false" outlineLevel="0" collapsed="false">
      <c r="A75" s="14" t="s">
        <v>341</v>
      </c>
    </row>
    <row r="76" customFormat="false" ht="15" hidden="false" customHeight="false" outlineLevel="0" collapsed="false">
      <c r="A76" s="15" t="s">
        <v>342</v>
      </c>
      <c r="B76" s="15" t="s">
        <v>343</v>
      </c>
      <c r="C76" s="15" t="s">
        <v>344</v>
      </c>
      <c r="D76" s="15" t="s">
        <v>345</v>
      </c>
      <c r="E76" s="15" t="s">
        <v>346</v>
      </c>
    </row>
    <row r="77" customFormat="false" ht="15" hidden="false" customHeight="false" outlineLevel="0" collapsed="false">
      <c r="A77" s="6" t="str">
        <f aca="false">"Client money received at "&amp;$C$38&amp;" ("&amp;$C$36&amp;")"</f>
        <v>Client money received at NPL (USDT)</v>
      </c>
      <c r="B77" s="6" t="s">
        <v>347</v>
      </c>
      <c r="C77" s="23" t="n">
        <f aca="false">$C$35</f>
        <v>2600</v>
      </c>
      <c r="D77" s="25" t="s">
        <v>348</v>
      </c>
      <c r="E77" s="25" t="s">
        <v>349</v>
      </c>
    </row>
    <row r="78" customFormat="false" ht="15" hidden="false" customHeight="false" outlineLevel="0" collapsed="false">
      <c r="A78" s="6" t="str">
        <f aca="false">"Owed to the client's receivers ("&amp;$C$36&amp;")"</f>
        <v>Owed to the client's receivers (USDT)</v>
      </c>
      <c r="B78" s="6" t="s">
        <v>350</v>
      </c>
      <c r="C78" s="23" t="n">
        <f aca="false">$C$35</f>
        <v>2600</v>
      </c>
      <c r="D78" s="25" t="s">
        <v>348</v>
      </c>
      <c r="E78" s="25" t="s">
        <v>349</v>
      </c>
    </row>
    <row r="79" customFormat="false" ht="15" hidden="false" customHeight="false" outlineLevel="0" collapsed="false">
      <c r="A79" s="6" t="str">
        <f aca="false">"Owed to the client's receivers ("&amp;$C$36&amp;")"</f>
        <v>Owed to the client's receivers (USDT)</v>
      </c>
      <c r="B79" s="6" t="s">
        <v>347</v>
      </c>
      <c r="C79" s="23" t="n">
        <f aca="false">$C$35</f>
        <v>2600</v>
      </c>
      <c r="D79" s="25" t="s">
        <v>348</v>
      </c>
      <c r="E79" s="25" t="s">
        <v>351</v>
      </c>
    </row>
    <row r="80" customFormat="false" ht="15" hidden="false" customHeight="false" outlineLevel="0" collapsed="false">
      <c r="A80" s="6" t="str">
        <f aca="false">"Client money received at "&amp;$C$38&amp;" ("&amp;$C$36&amp;")"</f>
        <v>Client money received at NPL (USDT)</v>
      </c>
      <c r="B80" s="6" t="s">
        <v>350</v>
      </c>
      <c r="C80" s="23" t="n">
        <f aca="false">$C$35</f>
        <v>2600</v>
      </c>
      <c r="D80" s="25" t="s">
        <v>348</v>
      </c>
      <c r="E80" s="25" t="s">
        <v>351</v>
      </c>
    </row>
    <row r="81" customFormat="false" ht="15" hidden="false" customHeight="false" outlineLevel="0" collapsed="false">
      <c r="A81" s="6" t="str">
        <f aca="false">"Client money ready to pay out at "&amp;$C$38&amp;" ("&amp;$C$37&amp;")"</f>
        <v>Client money ready to pay out at NPL (EUR)</v>
      </c>
      <c r="B81" s="6" t="s">
        <v>347</v>
      </c>
      <c r="C81" s="23" t="n">
        <f aca="false">$C$62</f>
        <v>2221.72549019608</v>
      </c>
      <c r="D81" s="25" t="s">
        <v>352</v>
      </c>
      <c r="E81" s="25" t="s">
        <v>353</v>
      </c>
    </row>
    <row r="82" customFormat="false" ht="15" hidden="false" customHeight="false" outlineLevel="0" collapsed="false">
      <c r="A82" s="6" t="str">
        <f aca="false">"NPL's earnings kept at "&amp;$C$38&amp;" ("&amp;$C$37&amp;")"</f>
        <v>NPL's earnings kept at NPL (EUR)</v>
      </c>
      <c r="B82" s="6" t="s">
        <v>347</v>
      </c>
      <c r="C82" s="23" t="n">
        <f aca="false">IF($C$52="paid back monthly",0,$C$65)</f>
        <v>44.4345098039221</v>
      </c>
      <c r="D82" s="25" t="s">
        <v>354</v>
      </c>
      <c r="E82" s="25" t="s">
        <v>355</v>
      </c>
    </row>
    <row r="83" customFormat="false" ht="15" hidden="false" customHeight="false" outlineLevel="0" collapsed="false">
      <c r="A83" s="6" t="str">
        <f aca="false">"Owed back to NPL by "&amp;$C$38&amp;" ("&amp;$C$37&amp;")"</f>
        <v>Owed back to NPL by NPL (EUR)</v>
      </c>
      <c r="B83" s="6" t="s">
        <v>347</v>
      </c>
      <c r="C83" s="23" t="n">
        <f aca="false">$C$71</f>
        <v>0</v>
      </c>
      <c r="D83" s="25" t="s">
        <v>354</v>
      </c>
      <c r="E83" s="25" t="s">
        <v>356</v>
      </c>
    </row>
    <row r="84" customFormat="false" ht="15" hidden="false" customHeight="false" outlineLevel="0" collapsed="false">
      <c r="A84" s="6" t="str">
        <f aca="false">"Owed to the client's receivers ("&amp;$C$37&amp;")"</f>
        <v>Owed to the client's receivers (EUR)</v>
      </c>
      <c r="B84" s="6" t="s">
        <v>350</v>
      </c>
      <c r="C84" s="23" t="n">
        <f aca="false">$C$62</f>
        <v>2221.72549019608</v>
      </c>
      <c r="D84" s="25" t="s">
        <v>348</v>
      </c>
      <c r="E84" s="25" t="s">
        <v>353</v>
      </c>
    </row>
    <row r="85" customFormat="false" ht="15" hidden="false" customHeight="false" outlineLevel="0" collapsed="false">
      <c r="A85" s="6" t="str">
        <f aca="false">"NPL's earnings ("&amp;$C$37&amp;")"</f>
        <v>NPL's earnings (EUR)</v>
      </c>
      <c r="B85" s="6" t="s">
        <v>350</v>
      </c>
      <c r="C85" s="23" t="n">
        <f aca="false">$C$65+$C$71</f>
        <v>44.4345098039221</v>
      </c>
      <c r="D85" s="25" t="s">
        <v>354</v>
      </c>
      <c r="E85" s="25" t="s">
        <v>357</v>
      </c>
    </row>
    <row r="86" customFormat="false" ht="15" hidden="false" customHeight="false" outlineLevel="0" collapsed="false">
      <c r="A86" s="6" t="str">
        <f aca="false">"Client money in transit from "&amp;$C$38&amp;" ("&amp;$C$37&amp;")"</f>
        <v>Client money in transit from NPL (EUR)</v>
      </c>
      <c r="B86" s="6" t="s">
        <v>347</v>
      </c>
      <c r="C86" s="23" t="n">
        <f aca="false">$C$68</f>
        <v>2221</v>
      </c>
      <c r="D86" s="25" t="s">
        <v>348</v>
      </c>
      <c r="E86" s="25" t="s">
        <v>358</v>
      </c>
    </row>
    <row r="87" customFormat="false" ht="15" hidden="false" customHeight="false" outlineLevel="0" collapsed="false">
      <c r="A87" s="6" t="str">
        <f aca="false">"Client money ready to pay out at "&amp;$C$38&amp;" ("&amp;$C$37&amp;")"</f>
        <v>Client money ready to pay out at NPL (EUR)</v>
      </c>
      <c r="B87" s="6" t="s">
        <v>350</v>
      </c>
      <c r="C87" s="23" t="n">
        <f aca="false">$C$68</f>
        <v>2221</v>
      </c>
      <c r="D87" s="25" t="s">
        <v>348</v>
      </c>
      <c r="E87" s="25" t="s">
        <v>359</v>
      </c>
    </row>
    <row r="88" customFormat="false" ht="15" hidden="false" customHeight="false" outlineLevel="0" collapsed="false">
      <c r="A88" s="6" t="str">
        <f aca="false">"Owed to the client's receivers ("&amp;$C$37&amp;")"</f>
        <v>Owed to the client's receivers (EUR)</v>
      </c>
      <c r="B88" s="6" t="s">
        <v>347</v>
      </c>
      <c r="C88" s="23" t="n">
        <f aca="false">$C$68</f>
        <v>2221</v>
      </c>
      <c r="D88" s="25" t="s">
        <v>348</v>
      </c>
      <c r="E88" s="25" t="s">
        <v>360</v>
      </c>
    </row>
    <row r="89" customFormat="false" ht="15" hidden="false" customHeight="false" outlineLevel="0" collapsed="false">
      <c r="A89" s="6" t="str">
        <f aca="false">"Client money in transit from "&amp;$C$38&amp;" ("&amp;$C$37&amp;")"</f>
        <v>Client money in transit from NPL (EUR)</v>
      </c>
      <c r="B89" s="6" t="s">
        <v>350</v>
      </c>
      <c r="C89" s="23" t="n">
        <f aca="false">$C$68</f>
        <v>2221</v>
      </c>
      <c r="D89" s="25" t="s">
        <v>348</v>
      </c>
      <c r="E89" s="25" t="s">
        <v>360</v>
      </c>
    </row>
    <row r="90" customFormat="false" ht="15" hidden="false" customHeight="false" outlineLevel="0" collapsed="false">
      <c r="A90" s="6" t="str">
        <f aca="false">"NPL's earnings ("&amp;$C$37&amp;")"</f>
        <v>NPL's earnings (EUR)</v>
      </c>
      <c r="B90" s="6" t="s">
        <v>347</v>
      </c>
      <c r="C90" s="23" t="n">
        <f aca="false">$C$72</f>
        <v>0</v>
      </c>
      <c r="D90" s="25" t="s">
        <v>361</v>
      </c>
      <c r="E90" s="25" t="s">
        <v>362</v>
      </c>
    </row>
    <row r="91" customFormat="false" ht="15" hidden="false" customHeight="false" outlineLevel="0" collapsed="false">
      <c r="A91" s="6" t="str">
        <f aca="false">"Owed to the other party ("&amp;$C$37&amp;")"</f>
        <v>Owed to the other party (EUR)</v>
      </c>
      <c r="B91" s="6" t="s">
        <v>350</v>
      </c>
      <c r="C91" s="23" t="n">
        <f aca="false">$C$72</f>
        <v>0</v>
      </c>
      <c r="D91" s="25" t="s">
        <v>361</v>
      </c>
      <c r="E91" s="25" t="s">
        <v>363</v>
      </c>
    </row>
    <row r="92" customFormat="false" ht="30" hidden="false" customHeight="true" outlineLevel="0" collapsed="false">
      <c r="A92" s="26" t="s">
        <v>364</v>
      </c>
      <c r="C92" s="27" t="n">
        <f aca="false">ROUND(SUMIF($B$81:$B$91,"in",$C$81:$C$91)-SUMIF($B$81:$B$91,"out",$C$81:$C$91),6)</f>
        <v>0</v>
      </c>
      <c r="E92" s="16" t="s">
        <v>365</v>
      </c>
    </row>
    <row r="94" customFormat="false" ht="15" hidden="false" customHeight="false" outlineLevel="0" collapsed="false">
      <c r="A94" s="14" t="s">
        <v>366</v>
      </c>
    </row>
    <row r="95" customFormat="false" ht="15" hidden="false" customHeight="false" outlineLevel="0" collapsed="false">
      <c r="A95" s="15" t="s">
        <v>367</v>
      </c>
      <c r="B95" s="15" t="s">
        <v>368</v>
      </c>
      <c r="C95" s="15" t="s">
        <v>369</v>
      </c>
      <c r="D95" s="15" t="s">
        <v>370</v>
      </c>
      <c r="E95" s="15" t="s">
        <v>371</v>
      </c>
    </row>
    <row r="96" customFormat="false" ht="30" hidden="false" customHeight="true" outlineLevel="0" collapsed="false">
      <c r="A96" s="3" t="s">
        <v>456</v>
      </c>
      <c r="B96" s="17" t="n">
        <v>2220</v>
      </c>
      <c r="C96" s="23" t="n">
        <f aca="false">$C$60</f>
        <v>2221.72549019608</v>
      </c>
      <c r="D96" s="27" t="n">
        <f aca="false">ROUND(C96-B96,2)</f>
        <v>1.73</v>
      </c>
      <c r="E96" s="16" t="s">
        <v>457</v>
      </c>
    </row>
    <row r="98" customFormat="false" ht="15" hidden="false" customHeight="false" outlineLevel="0" collapsed="false">
      <c r="A98" s="14" t="s">
        <v>458</v>
      </c>
    </row>
    <row r="99" customFormat="false" ht="15" hidden="false" customHeight="false" outlineLevel="0" collapsed="false">
      <c r="A99" s="15" t="s">
        <v>299</v>
      </c>
      <c r="B99" s="15"/>
      <c r="C99" s="15" t="s">
        <v>214</v>
      </c>
      <c r="D99" s="15"/>
      <c r="E99" s="15" t="s">
        <v>459</v>
      </c>
    </row>
    <row r="100" customFormat="false" ht="15" hidden="false" customHeight="false" outlineLevel="0" collapsed="false">
      <c r="A100" s="6" t="s">
        <v>460</v>
      </c>
      <c r="C100" s="17" t="n">
        <v>1358.98</v>
      </c>
      <c r="E100" s="25" t="s">
        <v>461</v>
      </c>
    </row>
    <row r="101" customFormat="false" ht="15" hidden="false" customHeight="false" outlineLevel="0" collapsed="false">
      <c r="A101" s="6" t="s">
        <v>462</v>
      </c>
      <c r="C101" s="18" t="n">
        <v>1.14096508276625</v>
      </c>
      <c r="E101" s="25" t="s">
        <v>463</v>
      </c>
    </row>
    <row r="102" customFormat="false" ht="15" hidden="false" customHeight="false" outlineLevel="0" collapsed="false">
      <c r="A102" s="6" t="s">
        <v>464</v>
      </c>
      <c r="C102" s="23" t="n">
        <f aca="false">ROUND($C$100*$C$101,2)</f>
        <v>1550.55</v>
      </c>
      <c r="E102" s="25" t="s">
        <v>465</v>
      </c>
    </row>
    <row r="103" customFormat="false" ht="15" hidden="false" customHeight="false" outlineLevel="0" collapsed="false">
      <c r="A103" s="6" t="s">
        <v>466</v>
      </c>
      <c r="C103" s="23" t="n">
        <f aca="false">$C$100</f>
        <v>1358.98</v>
      </c>
      <c r="E103" s="25" t="s">
        <v>467</v>
      </c>
    </row>
    <row r="104" customFormat="false" ht="30" hidden="false" customHeight="true" outlineLevel="0" collapsed="false">
      <c r="A104" s="4" t="s">
        <v>468</v>
      </c>
      <c r="C104" s="27" t="n">
        <f aca="false">ROUND($C$62-$C$100,2)</f>
        <v>862.75</v>
      </c>
      <c r="E104" s="16" t="s">
        <v>469</v>
      </c>
    </row>
    <row r="106" customFormat="false" ht="15" hidden="false" customHeight="false" outlineLevel="0" collapsed="false">
      <c r="A106" s="14" t="s">
        <v>374</v>
      </c>
    </row>
    <row r="107" customFormat="false" ht="31.5" hidden="false" customHeight="true" outlineLevel="0" collapsed="false">
      <c r="A107" s="13" t="s">
        <v>375</v>
      </c>
      <c r="B107" s="28" t="s">
        <v>470</v>
      </c>
      <c r="C107" s="28"/>
      <c r="D107" s="28"/>
      <c r="E107" s="28"/>
    </row>
    <row r="108" customFormat="false" ht="31.5" hidden="false" customHeight="true" outlineLevel="0" collapsed="false">
      <c r="A108" s="13" t="s">
        <v>375</v>
      </c>
      <c r="B108" s="28" t="s">
        <v>471</v>
      </c>
      <c r="C108" s="28"/>
      <c r="D108" s="28"/>
      <c r="E108" s="28"/>
    </row>
    <row r="109" customFormat="false" ht="31.5" hidden="false" customHeight="true" outlineLevel="0" collapsed="false">
      <c r="A109" s="13" t="s">
        <v>375</v>
      </c>
      <c r="B109" s="28" t="s">
        <v>472</v>
      </c>
      <c r="C109" s="28"/>
      <c r="D109" s="28"/>
      <c r="E109" s="28"/>
    </row>
    <row r="110" customFormat="false" ht="31.5" hidden="false" customHeight="true" outlineLevel="0" collapsed="false">
      <c r="A110" s="13" t="s">
        <v>375</v>
      </c>
      <c r="B110" s="28" t="s">
        <v>473</v>
      </c>
      <c r="C110" s="28"/>
      <c r="D110" s="28"/>
      <c r="E110" s="28"/>
    </row>
  </sheetData>
  <mergeCells count="4">
    <mergeCell ref="B107:E107"/>
    <mergeCell ref="B108:E108"/>
    <mergeCell ref="B109:E109"/>
    <mergeCell ref="B110:E11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474</v>
      </c>
    </row>
    <row r="2" customFormat="false" ht="15" hidden="false" customHeight="false" outlineLevel="0" collapsed="false">
      <c r="A2" s="12" t="s">
        <v>210</v>
      </c>
      <c r="B2" s="13" t="s">
        <v>475</v>
      </c>
    </row>
    <row r="4" customFormat="false" ht="15" hidden="false" customHeight="false" outlineLevel="0" collapsed="false">
      <c r="A4" s="14" t="s">
        <v>212</v>
      </c>
    </row>
    <row r="5" customFormat="false" ht="15" hidden="false" customHeight="false" outlineLevel="0" collapsed="false">
      <c r="A5" s="15" t="s">
        <v>213</v>
      </c>
      <c r="B5" s="15" t="s">
        <v>214</v>
      </c>
      <c r="C5" s="15" t="s">
        <v>215</v>
      </c>
      <c r="D5" s="15" t="s">
        <v>216</v>
      </c>
    </row>
    <row r="6" customFormat="false" ht="15.75" hidden="false" customHeight="true" outlineLevel="0" collapsed="false">
      <c r="A6" s="3" t="s">
        <v>217</v>
      </c>
      <c r="B6" s="9" t="s">
        <v>175</v>
      </c>
      <c r="C6" s="3" t="s">
        <v>218</v>
      </c>
      <c r="D6" s="16" t="s">
        <v>219</v>
      </c>
    </row>
    <row r="7" customFormat="false" ht="42" hidden="false" customHeight="true" outlineLevel="0" collapsed="false">
      <c r="A7" s="3" t="s">
        <v>51</v>
      </c>
      <c r="B7" s="9" t="s">
        <v>476</v>
      </c>
      <c r="C7" s="3" t="s">
        <v>218</v>
      </c>
      <c r="D7" s="16" t="s">
        <v>221</v>
      </c>
    </row>
    <row r="8" customFormat="false" ht="42" hidden="false" customHeight="true" outlineLevel="0" collapsed="false">
      <c r="A8" s="3" t="s">
        <v>52</v>
      </c>
      <c r="B8" s="9" t="s">
        <v>477</v>
      </c>
      <c r="C8" s="3" t="s">
        <v>218</v>
      </c>
      <c r="D8" s="16" t="s">
        <v>222</v>
      </c>
    </row>
    <row r="9" customFormat="false" ht="42" hidden="false" customHeight="true" outlineLevel="0" collapsed="false">
      <c r="A9" s="3" t="s">
        <v>223</v>
      </c>
      <c r="B9" s="9" t="s">
        <v>478</v>
      </c>
      <c r="C9" s="3" t="s">
        <v>218</v>
      </c>
      <c r="D9" s="16" t="s">
        <v>224</v>
      </c>
    </row>
    <row r="10" customFormat="false" ht="15.75" hidden="false" customHeight="true" outlineLevel="0" collapsed="false">
      <c r="A10" s="3" t="s">
        <v>225</v>
      </c>
      <c r="B10" s="9" t="s">
        <v>479</v>
      </c>
      <c r="C10" s="3" t="s">
        <v>218</v>
      </c>
      <c r="D10" s="16" t="s">
        <v>227</v>
      </c>
    </row>
    <row r="11" customFormat="false" ht="42" hidden="false" customHeight="true" outlineLevel="0" collapsed="false">
      <c r="A11" s="3" t="s">
        <v>228</v>
      </c>
      <c r="B11" s="9" t="s">
        <v>480</v>
      </c>
      <c r="C11" s="3" t="s">
        <v>218</v>
      </c>
      <c r="D11" s="16" t="s">
        <v>230</v>
      </c>
    </row>
    <row r="12" customFormat="false" ht="15.75" hidden="false" customHeight="true" outlineLevel="0" collapsed="false">
      <c r="A12" s="3" t="s">
        <v>56</v>
      </c>
      <c r="B12" s="9" t="s">
        <v>93</v>
      </c>
      <c r="C12" s="3" t="s">
        <v>218</v>
      </c>
      <c r="D12" s="16"/>
    </row>
    <row r="13" customFormat="false" ht="42" hidden="false" customHeight="true" outlineLevel="0" collapsed="false">
      <c r="A13" s="3" t="s">
        <v>231</v>
      </c>
      <c r="B13" s="9" t="s">
        <v>94</v>
      </c>
      <c r="C13" s="3" t="s">
        <v>218</v>
      </c>
      <c r="D13" s="16" t="s">
        <v>232</v>
      </c>
    </row>
    <row r="14" customFormat="false" ht="15.75" hidden="false" customHeight="true" outlineLevel="0" collapsed="false">
      <c r="A14" s="3" t="s">
        <v>233</v>
      </c>
      <c r="B14" s="9" t="s">
        <v>481</v>
      </c>
      <c r="C14" s="3" t="s">
        <v>218</v>
      </c>
      <c r="D14" s="16" t="s">
        <v>234</v>
      </c>
    </row>
    <row r="15" customFormat="false" ht="42" hidden="false" customHeight="true" outlineLevel="0" collapsed="false">
      <c r="A15" s="3" t="s">
        <v>235</v>
      </c>
      <c r="B15" s="9" t="s">
        <v>407</v>
      </c>
      <c r="C15" s="3" t="s">
        <v>218</v>
      </c>
      <c r="D15" s="16" t="s">
        <v>237</v>
      </c>
    </row>
    <row r="16" customFormat="false" ht="15.75" hidden="false" customHeight="true" outlineLevel="0" collapsed="false">
      <c r="A16" s="3" t="s">
        <v>238</v>
      </c>
      <c r="B16" s="9" t="s">
        <v>239</v>
      </c>
      <c r="C16" s="3" t="s">
        <v>218</v>
      </c>
      <c r="D16" s="16" t="s">
        <v>240</v>
      </c>
    </row>
    <row r="17" customFormat="false" ht="42" hidden="false" customHeight="true" outlineLevel="0" collapsed="false">
      <c r="A17" s="3" t="s">
        <v>241</v>
      </c>
      <c r="B17" s="9" t="s">
        <v>86</v>
      </c>
      <c r="C17" s="3" t="s">
        <v>218</v>
      </c>
      <c r="D17" s="16" t="s">
        <v>242</v>
      </c>
    </row>
    <row r="18" customFormat="false" ht="15.75" hidden="false" customHeight="true" outlineLevel="0" collapsed="false">
      <c r="A18" s="3" t="s">
        <v>62</v>
      </c>
      <c r="B18" s="11" t="n">
        <v>0.02</v>
      </c>
      <c r="C18" s="3" t="s">
        <v>218</v>
      </c>
      <c r="D18" s="16" t="s">
        <v>243</v>
      </c>
    </row>
    <row r="19" customFormat="false" ht="15.75" hidden="false" customHeight="true" outlineLevel="0" collapsed="false">
      <c r="A19" s="3" t="s">
        <v>63</v>
      </c>
      <c r="B19" s="11" t="n">
        <v>0.02</v>
      </c>
      <c r="C19" s="3" t="s">
        <v>218</v>
      </c>
      <c r="D19" s="16"/>
    </row>
    <row r="20" customFormat="false" ht="15.75" hidden="false" customHeight="true" outlineLevel="0" collapsed="false">
      <c r="A20" s="3" t="s">
        <v>64</v>
      </c>
      <c r="B20" s="11" t="n">
        <v>0</v>
      </c>
      <c r="C20" s="3" t="s">
        <v>218</v>
      </c>
      <c r="D20" s="16" t="s">
        <v>244</v>
      </c>
    </row>
    <row r="21" customFormat="false" ht="15.75" hidden="false" customHeight="true" outlineLevel="0" collapsed="false">
      <c r="A21" s="3" t="s">
        <v>65</v>
      </c>
      <c r="B21" s="10"/>
      <c r="C21" s="3" t="s">
        <v>220</v>
      </c>
      <c r="D21" s="16" t="s">
        <v>245</v>
      </c>
    </row>
    <row r="22" customFormat="false" ht="15.75" hidden="false" customHeight="true" outlineLevel="0" collapsed="false">
      <c r="A22" s="3" t="s">
        <v>66</v>
      </c>
      <c r="B22" s="10"/>
      <c r="C22" s="3" t="s">
        <v>220</v>
      </c>
      <c r="D22" s="16" t="s">
        <v>245</v>
      </c>
    </row>
    <row r="23" customFormat="false" ht="15.75" hidden="false" customHeight="true" outlineLevel="0" collapsed="false">
      <c r="A23" s="3" t="s">
        <v>67</v>
      </c>
      <c r="B23" s="11" t="n">
        <v>0.005</v>
      </c>
      <c r="C23" s="3" t="s">
        <v>218</v>
      </c>
      <c r="D23" s="16" t="s">
        <v>246</v>
      </c>
    </row>
    <row r="24" customFormat="false" ht="42" hidden="false" customHeight="true" outlineLevel="0" collapsed="false">
      <c r="A24" s="3" t="s">
        <v>247</v>
      </c>
      <c r="B24" s="10"/>
      <c r="C24" s="3" t="s">
        <v>248</v>
      </c>
      <c r="D24" s="16" t="s">
        <v>249</v>
      </c>
    </row>
    <row r="25" customFormat="false" ht="42" hidden="false" customHeight="true" outlineLevel="0" collapsed="false">
      <c r="A25" s="3" t="s">
        <v>250</v>
      </c>
      <c r="B25" s="9" t="s">
        <v>95</v>
      </c>
      <c r="C25" s="3" t="s">
        <v>218</v>
      </c>
      <c r="D25" s="16" t="s">
        <v>253</v>
      </c>
    </row>
    <row r="26" customFormat="false" ht="15.75" hidden="false" customHeight="true" outlineLevel="0" collapsed="false">
      <c r="A26" s="3" t="s">
        <v>72</v>
      </c>
      <c r="B26" s="10"/>
      <c r="C26" s="3" t="s">
        <v>248</v>
      </c>
      <c r="D26" s="16" t="s">
        <v>255</v>
      </c>
    </row>
    <row r="27" customFormat="false" ht="15.75" hidden="false" customHeight="true" outlineLevel="0" collapsed="false">
      <c r="A27" s="3" t="s">
        <v>256</v>
      </c>
      <c r="B27" s="9"/>
      <c r="C27" s="3" t="s">
        <v>248</v>
      </c>
      <c r="D27" s="16" t="s">
        <v>257</v>
      </c>
    </row>
    <row r="28" customFormat="false" ht="42" hidden="false" customHeight="true" outlineLevel="0" collapsed="false">
      <c r="A28" s="3" t="s">
        <v>258</v>
      </c>
      <c r="B28" s="9" t="s">
        <v>482</v>
      </c>
      <c r="C28" s="3" t="s">
        <v>218</v>
      </c>
      <c r="D28" s="16" t="s">
        <v>260</v>
      </c>
    </row>
    <row r="29" customFormat="false" ht="15.75" hidden="false" customHeight="true" outlineLevel="0" collapsed="false">
      <c r="A29" s="3" t="s">
        <v>75</v>
      </c>
      <c r="B29" s="10"/>
      <c r="C29" s="3" t="s">
        <v>220</v>
      </c>
      <c r="D29" s="16" t="s">
        <v>261</v>
      </c>
    </row>
    <row r="30" customFormat="false" ht="15.75" hidden="false" customHeight="true" outlineLevel="0" collapsed="false">
      <c r="A30" s="3" t="s">
        <v>76</v>
      </c>
      <c r="B30" s="10"/>
      <c r="C30" s="3" t="s">
        <v>220</v>
      </c>
      <c r="D30" s="16" t="s">
        <v>262</v>
      </c>
    </row>
    <row r="31" customFormat="false" ht="42" hidden="false" customHeight="true" outlineLevel="0" collapsed="false">
      <c r="A31" s="3" t="s">
        <v>263</v>
      </c>
      <c r="B31" s="10"/>
      <c r="C31" s="3" t="s">
        <v>220</v>
      </c>
      <c r="D31" s="16" t="s">
        <v>264</v>
      </c>
    </row>
    <row r="33" customFormat="false" ht="15" hidden="false" customHeight="false" outlineLevel="0" collapsed="false">
      <c r="A33" s="14" t="s">
        <v>265</v>
      </c>
    </row>
    <row r="34" customFormat="false" ht="15" hidden="false" customHeight="false" outlineLevel="0" collapsed="false">
      <c r="A34" s="15" t="s">
        <v>213</v>
      </c>
      <c r="B34" s="15"/>
      <c r="C34" s="15" t="s">
        <v>214</v>
      </c>
      <c r="D34" s="15"/>
      <c r="E34" s="15" t="s">
        <v>14</v>
      </c>
    </row>
    <row r="35" customFormat="false" ht="15" hidden="false" customHeight="false" outlineLevel="0" collapsed="false">
      <c r="A35" s="3" t="s">
        <v>266</v>
      </c>
      <c r="C35" s="17" t="n">
        <v>17000000</v>
      </c>
      <c r="E35" s="16" t="s">
        <v>267</v>
      </c>
    </row>
    <row r="36" customFormat="false" ht="15" hidden="false" customHeight="false" outlineLevel="0" collapsed="false">
      <c r="A36" s="3" t="s">
        <v>268</v>
      </c>
      <c r="C36" s="7" t="s">
        <v>483</v>
      </c>
      <c r="E36" s="16"/>
    </row>
    <row r="37" customFormat="false" ht="15" hidden="false" customHeight="false" outlineLevel="0" collapsed="false">
      <c r="A37" s="3" t="s">
        <v>270</v>
      </c>
      <c r="C37" s="7" t="s">
        <v>271</v>
      </c>
      <c r="E37" s="16"/>
    </row>
    <row r="38" customFormat="false" ht="15" hidden="false" customHeight="false" outlineLevel="0" collapsed="false">
      <c r="A38" s="3" t="s">
        <v>272</v>
      </c>
      <c r="C38" s="7" t="s">
        <v>383</v>
      </c>
      <c r="E38" s="16" t="s">
        <v>274</v>
      </c>
    </row>
    <row r="39" customFormat="false" ht="15" hidden="false" customHeight="false" outlineLevel="0" collapsed="false">
      <c r="A39" s="3" t="s">
        <v>275</v>
      </c>
      <c r="C39" s="18" t="n">
        <v>0.0259463782412186</v>
      </c>
      <c r="E39" s="16" t="s">
        <v>276</v>
      </c>
    </row>
    <row r="40" customFormat="false" ht="22.35" hidden="false" customHeight="false" outlineLevel="0" collapsed="false">
      <c r="A40" s="3" t="s">
        <v>277</v>
      </c>
      <c r="C40" s="19"/>
      <c r="E40" s="16" t="s">
        <v>278</v>
      </c>
    </row>
    <row r="41" customFormat="false" ht="15" hidden="false" customHeight="false" outlineLevel="0" collapsed="false">
      <c r="A41" s="3" t="s">
        <v>279</v>
      </c>
      <c r="C41" s="20" t="n">
        <v>0</v>
      </c>
      <c r="E41" s="16" t="s">
        <v>280</v>
      </c>
    </row>
    <row r="42" customFormat="false" ht="15" hidden="false" customHeight="false" outlineLevel="0" collapsed="false">
      <c r="A42" s="3" t="s">
        <v>281</v>
      </c>
      <c r="C42" s="20" t="n">
        <v>0.02</v>
      </c>
      <c r="E42" s="16"/>
    </row>
    <row r="43" customFormat="false" ht="15" hidden="false" customHeight="false" outlineLevel="0" collapsed="false">
      <c r="A43" s="3" t="s">
        <v>282</v>
      </c>
      <c r="C43" s="20" t="n">
        <v>0.02</v>
      </c>
      <c r="E43" s="16"/>
    </row>
    <row r="44" customFormat="false" ht="15" hidden="false" customHeight="false" outlineLevel="0" collapsed="false">
      <c r="A44" s="3" t="s">
        <v>283</v>
      </c>
      <c r="C44" s="20" t="n">
        <v>0</v>
      </c>
      <c r="E44" s="16"/>
    </row>
    <row r="45" customFormat="false" ht="15" hidden="false" customHeight="false" outlineLevel="0" collapsed="false">
      <c r="A45" s="3" t="s">
        <v>238</v>
      </c>
      <c r="C45" s="7" t="s">
        <v>239</v>
      </c>
      <c r="E45" s="16" t="s">
        <v>284</v>
      </c>
    </row>
    <row r="46" customFormat="false" ht="15" hidden="false" customHeight="false" outlineLevel="0" collapsed="false">
      <c r="A46" s="3" t="s">
        <v>231</v>
      </c>
      <c r="C46" s="7" t="s">
        <v>94</v>
      </c>
      <c r="E46" s="16" t="s">
        <v>285</v>
      </c>
    </row>
    <row r="47" customFormat="false" ht="15" hidden="false" customHeight="false" outlineLevel="0" collapsed="false">
      <c r="A47" s="3" t="s">
        <v>235</v>
      </c>
      <c r="C47" s="7" t="s">
        <v>236</v>
      </c>
      <c r="E47" s="16" t="s">
        <v>286</v>
      </c>
    </row>
    <row r="48" customFormat="false" ht="15" hidden="false" customHeight="false" outlineLevel="0" collapsed="false">
      <c r="A48" s="3" t="s">
        <v>258</v>
      </c>
      <c r="C48" s="7" t="s">
        <v>259</v>
      </c>
      <c r="E48" s="16" t="s">
        <v>287</v>
      </c>
    </row>
    <row r="49" customFormat="false" ht="15" hidden="false" customHeight="false" outlineLevel="0" collapsed="false">
      <c r="A49" s="3" t="s">
        <v>288</v>
      </c>
      <c r="C49" s="17" t="n">
        <v>1</v>
      </c>
      <c r="E49" s="16" t="s">
        <v>289</v>
      </c>
    </row>
    <row r="50" customFormat="false" ht="15" hidden="false" customHeight="false" outlineLevel="0" collapsed="false">
      <c r="A50" s="3" t="s">
        <v>290</v>
      </c>
      <c r="C50" s="20" t="n">
        <v>0.005</v>
      </c>
      <c r="E50" s="16"/>
    </row>
    <row r="51" customFormat="false" ht="15" hidden="false" customHeight="false" outlineLevel="0" collapsed="false">
      <c r="A51" s="3" t="s">
        <v>291</v>
      </c>
      <c r="C51" s="21"/>
      <c r="E51" s="16" t="s">
        <v>292</v>
      </c>
    </row>
    <row r="52" customFormat="false" ht="22.35" hidden="false" customHeight="false" outlineLevel="0" collapsed="false">
      <c r="A52" s="3" t="s">
        <v>250</v>
      </c>
      <c r="C52" s="7" t="s">
        <v>95</v>
      </c>
      <c r="E52" s="16" t="s">
        <v>294</v>
      </c>
    </row>
    <row r="53" customFormat="false" ht="15" hidden="false" customHeight="false" outlineLevel="0" collapsed="false">
      <c r="A53" s="3" t="s">
        <v>295</v>
      </c>
      <c r="C53" s="20" t="n">
        <v>0</v>
      </c>
      <c r="E53" s="16"/>
    </row>
    <row r="54" customFormat="false" ht="15" hidden="false" customHeight="false" outlineLevel="0" collapsed="false">
      <c r="A54" s="3" t="s">
        <v>296</v>
      </c>
      <c r="C54" s="20" t="n">
        <v>0</v>
      </c>
      <c r="E54" s="16" t="s">
        <v>297</v>
      </c>
    </row>
    <row r="56" customFormat="false" ht="15" hidden="false" customHeight="false" outlineLevel="0" collapsed="false">
      <c r="A56" s="14" t="s">
        <v>298</v>
      </c>
    </row>
    <row r="57" customFormat="false" ht="15" hidden="false" customHeight="false" outlineLevel="0" collapsed="false">
      <c r="A57" s="15" t="s">
        <v>299</v>
      </c>
      <c r="B57" s="15" t="s">
        <v>300</v>
      </c>
      <c r="C57" s="15" t="s">
        <v>214</v>
      </c>
      <c r="E57" s="15" t="s">
        <v>216</v>
      </c>
    </row>
    <row r="58" customFormat="false" ht="15" hidden="false" customHeight="false" outlineLevel="0" collapsed="false">
      <c r="A58" s="3" t="s">
        <v>301</v>
      </c>
      <c r="B58" s="16" t="s">
        <v>302</v>
      </c>
      <c r="C58" s="22" t="n">
        <f aca="false">IF($C$45="market rate",$C$39,$C$40)</f>
        <v>0.0259463782412186</v>
      </c>
      <c r="E58" s="16"/>
    </row>
    <row r="59" customFormat="false" ht="22.35" hidden="false" customHeight="false" outlineLevel="0" collapsed="false">
      <c r="A59" s="3" t="s">
        <v>303</v>
      </c>
      <c r="B59" s="16" t="s">
        <v>304</v>
      </c>
      <c r="C59" s="22" t="n">
        <f aca="false">IF($C$47="added to what the sender pays",$C$58/(1+$C$43),$C$58*(1-$C$43))</f>
        <v>0.0254274506763942</v>
      </c>
      <c r="E59" s="16"/>
    </row>
    <row r="60" customFormat="false" ht="15" hidden="false" customHeight="false" outlineLevel="0" collapsed="false">
      <c r="A60" s="3" t="s">
        <v>305</v>
      </c>
      <c r="B60" s="16" t="s">
        <v>306</v>
      </c>
      <c r="C60" s="23" t="n">
        <f aca="false">$C$35*$C$59</f>
        <v>432266.661498702</v>
      </c>
      <c r="E60" s="16" t="s">
        <v>307</v>
      </c>
    </row>
    <row r="61" customFormat="false" ht="15" hidden="false" customHeight="false" outlineLevel="0" collapsed="false">
      <c r="A61" s="3" t="s">
        <v>308</v>
      </c>
      <c r="B61" s="16" t="s">
        <v>309</v>
      </c>
      <c r="C61" s="23" t="n">
        <f aca="false">$C$60*$C$44</f>
        <v>0</v>
      </c>
      <c r="E61" s="16" t="s">
        <v>310</v>
      </c>
    </row>
    <row r="62" customFormat="false" ht="15" hidden="false" customHeight="false" outlineLevel="0" collapsed="false">
      <c r="A62" s="3" t="s">
        <v>311</v>
      </c>
      <c r="B62" s="16" t="s">
        <v>312</v>
      </c>
      <c r="C62" s="23" t="n">
        <f aca="false">$C$60-$C$61</f>
        <v>432266.661498702</v>
      </c>
      <c r="E62" s="16" t="s">
        <v>313</v>
      </c>
    </row>
    <row r="63" customFormat="false" ht="32.8" hidden="false" customHeight="false" outlineLevel="0" collapsed="false">
      <c r="A63" s="3" t="s">
        <v>314</v>
      </c>
      <c r="B63" s="16" t="s">
        <v>315</v>
      </c>
      <c r="C63" s="23" t="n">
        <f aca="false">IF($C$46="NPL's own wallet",$C$35*$C$39,IF($C$46="fee on top of market",$C$35*$C$39*(1-$C$41),$C$35*$C$40))</f>
        <v>0</v>
      </c>
      <c r="E63" s="16"/>
    </row>
    <row r="64" customFormat="false" ht="22.35" hidden="false" customHeight="false" outlineLevel="0" collapsed="false">
      <c r="A64" s="3" t="s">
        <v>316</v>
      </c>
      <c r="B64" s="16" t="s">
        <v>317</v>
      </c>
      <c r="C64" s="23" t="n">
        <f aca="false">$C$35*$C$39-$C$63</f>
        <v>441088.430100716</v>
      </c>
      <c r="E64" s="16"/>
    </row>
    <row r="65" customFormat="false" ht="15" hidden="false" customHeight="false" outlineLevel="0" collapsed="false">
      <c r="A65" s="3" t="s">
        <v>318</v>
      </c>
      <c r="B65" s="16" t="s">
        <v>319</v>
      </c>
      <c r="C65" s="23" t="n">
        <f aca="false">$C$63-$C$62</f>
        <v>-432266.661498702</v>
      </c>
      <c r="E65" s="16" t="s">
        <v>320</v>
      </c>
    </row>
    <row r="66" customFormat="false" ht="15" hidden="false" customHeight="false" outlineLevel="0" collapsed="false">
      <c r="A66" s="3" t="s">
        <v>321</v>
      </c>
      <c r="B66" s="16" t="s">
        <v>322</v>
      </c>
      <c r="C66" s="24" t="n">
        <f aca="false">IF($C$35*$C$39=0,0,$C$65/($C$35*$C$39))</f>
        <v>-0.98</v>
      </c>
      <c r="E66" s="16"/>
    </row>
    <row r="67" customFormat="false" ht="15" hidden="false" customHeight="false" outlineLevel="0" collapsed="false">
      <c r="A67" s="3" t="s">
        <v>323</v>
      </c>
      <c r="B67" s="16" t="s">
        <v>324</v>
      </c>
      <c r="C67" s="6" t="str">
        <f aca="false">IF($C$66&lt;$C$50,"YES — Finance must approve","no")</f>
        <v>YES — Finance must approve</v>
      </c>
      <c r="E67" s="16"/>
    </row>
    <row r="68" customFormat="false" ht="22.35" hidden="false" customHeight="false" outlineLevel="0" collapsed="false">
      <c r="A68" s="3" t="s">
        <v>325</v>
      </c>
      <c r="B68" s="16" t="s">
        <v>326</v>
      </c>
      <c r="C68" s="23" t="n">
        <f aca="false">IF($C$48="round up",CEILING($C$62,$C$49),IF($C$48="nearest unit",MROUND($C$62,$C$49),IF($C$48="nearest 1,000",MROUND($C$62,$C$49),FLOOR($C$62,$C$49))))</f>
        <v>432266</v>
      </c>
      <c r="E68" s="16" t="s">
        <v>327</v>
      </c>
    </row>
    <row r="69" customFormat="false" ht="23.85" hidden="false" customHeight="false" outlineLevel="0" collapsed="false">
      <c r="A69" s="3" t="s">
        <v>328</v>
      </c>
      <c r="B69" s="16" t="s">
        <v>329</v>
      </c>
      <c r="C69" s="23" t="n">
        <f aca="false">$C$62-$C$68</f>
        <v>0.661498701840174</v>
      </c>
      <c r="E69" s="16"/>
    </row>
    <row r="70" customFormat="false" ht="22.35" hidden="false" customHeight="false" outlineLevel="0" collapsed="false">
      <c r="A70" s="3" t="s">
        <v>330</v>
      </c>
      <c r="B70" s="16" t="s">
        <v>331</v>
      </c>
      <c r="C70" s="22" t="n">
        <f aca="false">IF($C$51="",$C$58,$C$59/(1-$C$51))</f>
        <v>0.0259463782412186</v>
      </c>
      <c r="E70" s="16" t="s">
        <v>332</v>
      </c>
    </row>
    <row r="71" customFormat="false" ht="22.35" hidden="false" customHeight="false" outlineLevel="0" collapsed="false">
      <c r="A71" s="3" t="s">
        <v>333</v>
      </c>
      <c r="B71" s="16" t="s">
        <v>334</v>
      </c>
      <c r="C71" s="23" t="n">
        <f aca="false">IF($C$52="paid back monthly",$C$64*$C$53,0)</f>
        <v>0</v>
      </c>
      <c r="E71" s="16"/>
    </row>
    <row r="72" customFormat="false" ht="15" hidden="false" customHeight="false" outlineLevel="0" collapsed="false">
      <c r="A72" s="3" t="s">
        <v>335</v>
      </c>
      <c r="B72" s="16" t="s">
        <v>336</v>
      </c>
      <c r="C72" s="23" t="n">
        <f aca="false">$C$35*$C$39*$C$54</f>
        <v>0</v>
      </c>
      <c r="E72" s="16" t="s">
        <v>337</v>
      </c>
    </row>
    <row r="73" customFormat="false" ht="23.85" hidden="false" customHeight="false" outlineLevel="0" collapsed="false">
      <c r="A73" s="3" t="s">
        <v>338</v>
      </c>
      <c r="B73" s="16" t="s">
        <v>339</v>
      </c>
      <c r="C73" s="23" t="n">
        <f aca="false">ROUND($C$62+$C$64+$C$65-$C$35*$C$39,6)</f>
        <v>0</v>
      </c>
      <c r="E73" s="16" t="s">
        <v>340</v>
      </c>
    </row>
    <row r="75" customFormat="false" ht="15" hidden="false" customHeight="false" outlineLevel="0" collapsed="false">
      <c r="A75" s="14" t="s">
        <v>341</v>
      </c>
    </row>
    <row r="76" customFormat="false" ht="15" hidden="false" customHeight="false" outlineLevel="0" collapsed="false">
      <c r="A76" s="15" t="s">
        <v>342</v>
      </c>
      <c r="B76" s="15" t="s">
        <v>343</v>
      </c>
      <c r="C76" s="15" t="s">
        <v>344</v>
      </c>
      <c r="D76" s="15" t="s">
        <v>345</v>
      </c>
      <c r="E76" s="15" t="s">
        <v>346</v>
      </c>
    </row>
    <row r="77" customFormat="false" ht="15" hidden="false" customHeight="false" outlineLevel="0" collapsed="false">
      <c r="A77" s="6" t="str">
        <f aca="false">"Client money received at "&amp;$C$38&amp;" ("&amp;$C$36&amp;")"</f>
        <v>Client money received at ALI (THB)</v>
      </c>
      <c r="B77" s="6" t="s">
        <v>347</v>
      </c>
      <c r="C77" s="23" t="n">
        <f aca="false">$C$35</f>
        <v>17000000</v>
      </c>
      <c r="D77" s="25" t="s">
        <v>348</v>
      </c>
      <c r="E77" s="25" t="s">
        <v>349</v>
      </c>
    </row>
    <row r="78" customFormat="false" ht="15" hidden="false" customHeight="false" outlineLevel="0" collapsed="false">
      <c r="A78" s="6" t="str">
        <f aca="false">"Owed to the client's receivers ("&amp;$C$36&amp;")"</f>
        <v>Owed to the client's receivers (THB)</v>
      </c>
      <c r="B78" s="6" t="s">
        <v>350</v>
      </c>
      <c r="C78" s="23" t="n">
        <f aca="false">$C$35</f>
        <v>17000000</v>
      </c>
      <c r="D78" s="25" t="s">
        <v>348</v>
      </c>
      <c r="E78" s="25" t="s">
        <v>349</v>
      </c>
    </row>
    <row r="79" customFormat="false" ht="15" hidden="false" customHeight="false" outlineLevel="0" collapsed="false">
      <c r="A79" s="6" t="str">
        <f aca="false">"Owed to the client's receivers ("&amp;$C$36&amp;")"</f>
        <v>Owed to the client's receivers (THB)</v>
      </c>
      <c r="B79" s="6" t="s">
        <v>347</v>
      </c>
      <c r="C79" s="23" t="n">
        <f aca="false">$C$35</f>
        <v>17000000</v>
      </c>
      <c r="D79" s="25" t="s">
        <v>348</v>
      </c>
      <c r="E79" s="25" t="s">
        <v>351</v>
      </c>
    </row>
    <row r="80" customFormat="false" ht="15" hidden="false" customHeight="false" outlineLevel="0" collapsed="false">
      <c r="A80" s="6" t="str">
        <f aca="false">"Client money received at "&amp;$C$38&amp;" ("&amp;$C$36&amp;")"</f>
        <v>Client money received at ALI (THB)</v>
      </c>
      <c r="B80" s="6" t="s">
        <v>350</v>
      </c>
      <c r="C80" s="23" t="n">
        <f aca="false">$C$35</f>
        <v>17000000</v>
      </c>
      <c r="D80" s="25" t="s">
        <v>348</v>
      </c>
      <c r="E80" s="25" t="s">
        <v>351</v>
      </c>
    </row>
    <row r="81" customFormat="false" ht="15" hidden="false" customHeight="false" outlineLevel="0" collapsed="false">
      <c r="A81" s="6" t="str">
        <f aca="false">"Client money ready to pay out at "&amp;$C$38&amp;" ("&amp;$C$37&amp;")"</f>
        <v>Client money ready to pay out at ALI (EUR)</v>
      </c>
      <c r="B81" s="6" t="s">
        <v>347</v>
      </c>
      <c r="C81" s="23" t="n">
        <f aca="false">$C$62</f>
        <v>432266.661498702</v>
      </c>
      <c r="D81" s="25" t="s">
        <v>352</v>
      </c>
      <c r="E81" s="25" t="s">
        <v>353</v>
      </c>
    </row>
    <row r="82" customFormat="false" ht="15" hidden="false" customHeight="false" outlineLevel="0" collapsed="false">
      <c r="A82" s="6" t="str">
        <f aca="false">"NPL's earnings kept at "&amp;$C$38&amp;" ("&amp;$C$37&amp;")"</f>
        <v>NPL's earnings kept at ALI (EUR)</v>
      </c>
      <c r="B82" s="6" t="s">
        <v>347</v>
      </c>
      <c r="C82" s="23" t="n">
        <f aca="false">IF($C$52="paid back monthly",0,$C$65)</f>
        <v>-432266.661498702</v>
      </c>
      <c r="D82" s="25" t="s">
        <v>354</v>
      </c>
      <c r="E82" s="25" t="s">
        <v>355</v>
      </c>
    </row>
    <row r="83" customFormat="false" ht="15" hidden="false" customHeight="false" outlineLevel="0" collapsed="false">
      <c r="A83" s="6" t="str">
        <f aca="false">"Owed back to NPL by "&amp;$C$38&amp;" ("&amp;$C$37&amp;")"</f>
        <v>Owed back to NPL by ALI (EUR)</v>
      </c>
      <c r="B83" s="6" t="s">
        <v>347</v>
      </c>
      <c r="C83" s="23" t="n">
        <f aca="false">$C$71</f>
        <v>0</v>
      </c>
      <c r="D83" s="25" t="s">
        <v>354</v>
      </c>
      <c r="E83" s="25" t="s">
        <v>356</v>
      </c>
    </row>
    <row r="84" customFormat="false" ht="15" hidden="false" customHeight="false" outlineLevel="0" collapsed="false">
      <c r="A84" s="6" t="str">
        <f aca="false">"Owed to the client's receivers ("&amp;$C$37&amp;")"</f>
        <v>Owed to the client's receivers (EUR)</v>
      </c>
      <c r="B84" s="6" t="s">
        <v>350</v>
      </c>
      <c r="C84" s="23" t="n">
        <f aca="false">$C$62</f>
        <v>432266.661498702</v>
      </c>
      <c r="D84" s="25" t="s">
        <v>348</v>
      </c>
      <c r="E84" s="25" t="s">
        <v>353</v>
      </c>
    </row>
    <row r="85" customFormat="false" ht="15" hidden="false" customHeight="false" outlineLevel="0" collapsed="false">
      <c r="A85" s="6" t="str">
        <f aca="false">"NPL's earnings ("&amp;$C$37&amp;")"</f>
        <v>NPL's earnings (EUR)</v>
      </c>
      <c r="B85" s="6" t="s">
        <v>350</v>
      </c>
      <c r="C85" s="23" t="n">
        <f aca="false">$C$65+$C$71</f>
        <v>-432266.661498702</v>
      </c>
      <c r="D85" s="25" t="s">
        <v>354</v>
      </c>
      <c r="E85" s="25" t="s">
        <v>357</v>
      </c>
    </row>
    <row r="86" customFormat="false" ht="15" hidden="false" customHeight="false" outlineLevel="0" collapsed="false">
      <c r="A86" s="6" t="str">
        <f aca="false">"Client money in transit from "&amp;$C$38&amp;" ("&amp;$C$37&amp;")"</f>
        <v>Client money in transit from ALI (EUR)</v>
      </c>
      <c r="B86" s="6" t="s">
        <v>347</v>
      </c>
      <c r="C86" s="23" t="n">
        <f aca="false">$C$68</f>
        <v>432266</v>
      </c>
      <c r="D86" s="25" t="s">
        <v>348</v>
      </c>
      <c r="E86" s="25" t="s">
        <v>358</v>
      </c>
    </row>
    <row r="87" customFormat="false" ht="15" hidden="false" customHeight="false" outlineLevel="0" collapsed="false">
      <c r="A87" s="6" t="str">
        <f aca="false">"Client money ready to pay out at "&amp;$C$38&amp;" ("&amp;$C$37&amp;")"</f>
        <v>Client money ready to pay out at ALI (EUR)</v>
      </c>
      <c r="B87" s="6" t="s">
        <v>350</v>
      </c>
      <c r="C87" s="23" t="n">
        <f aca="false">$C$68</f>
        <v>432266</v>
      </c>
      <c r="D87" s="25" t="s">
        <v>348</v>
      </c>
      <c r="E87" s="25" t="s">
        <v>359</v>
      </c>
    </row>
    <row r="88" customFormat="false" ht="15" hidden="false" customHeight="false" outlineLevel="0" collapsed="false">
      <c r="A88" s="6" t="str">
        <f aca="false">"Owed to the client's receivers ("&amp;$C$37&amp;")"</f>
        <v>Owed to the client's receivers (EUR)</v>
      </c>
      <c r="B88" s="6" t="s">
        <v>347</v>
      </c>
      <c r="C88" s="23" t="n">
        <f aca="false">$C$68</f>
        <v>432266</v>
      </c>
      <c r="D88" s="25" t="s">
        <v>348</v>
      </c>
      <c r="E88" s="25" t="s">
        <v>360</v>
      </c>
    </row>
    <row r="89" customFormat="false" ht="15" hidden="false" customHeight="false" outlineLevel="0" collapsed="false">
      <c r="A89" s="6" t="str">
        <f aca="false">"Client money in transit from "&amp;$C$38&amp;" ("&amp;$C$37&amp;")"</f>
        <v>Client money in transit from ALI (EUR)</v>
      </c>
      <c r="B89" s="6" t="s">
        <v>350</v>
      </c>
      <c r="C89" s="23" t="n">
        <f aca="false">$C$68</f>
        <v>432266</v>
      </c>
      <c r="D89" s="25" t="s">
        <v>348</v>
      </c>
      <c r="E89" s="25" t="s">
        <v>360</v>
      </c>
    </row>
    <row r="90" customFormat="false" ht="15" hidden="false" customHeight="false" outlineLevel="0" collapsed="false">
      <c r="A90" s="6" t="str">
        <f aca="false">"NPL's earnings ("&amp;$C$37&amp;")"</f>
        <v>NPL's earnings (EUR)</v>
      </c>
      <c r="B90" s="6" t="s">
        <v>347</v>
      </c>
      <c r="C90" s="23" t="n">
        <f aca="false">$C$72</f>
        <v>0</v>
      </c>
      <c r="D90" s="25" t="s">
        <v>361</v>
      </c>
      <c r="E90" s="25" t="s">
        <v>362</v>
      </c>
    </row>
    <row r="91" customFormat="false" ht="15" hidden="false" customHeight="false" outlineLevel="0" collapsed="false">
      <c r="A91" s="6" t="str">
        <f aca="false">"Owed to the other party ("&amp;$C$37&amp;")"</f>
        <v>Owed to the other party (EUR)</v>
      </c>
      <c r="B91" s="6" t="s">
        <v>350</v>
      </c>
      <c r="C91" s="23" t="n">
        <f aca="false">$C$72</f>
        <v>0</v>
      </c>
      <c r="D91" s="25" t="s">
        <v>361</v>
      </c>
      <c r="E91" s="25" t="s">
        <v>363</v>
      </c>
    </row>
    <row r="92" customFormat="false" ht="30" hidden="false" customHeight="true" outlineLevel="0" collapsed="false">
      <c r="A92" s="26" t="s">
        <v>364</v>
      </c>
      <c r="C92" s="27" t="n">
        <f aca="false">ROUND(SUMIF($B$81:$B$91,"in",$C$81:$C$91)-SUMIF($B$81:$B$91,"out",$C$81:$C$91),6)</f>
        <v>0</v>
      </c>
      <c r="E92" s="16" t="s">
        <v>365</v>
      </c>
    </row>
    <row r="94" customFormat="false" ht="15" hidden="false" customHeight="false" outlineLevel="0" collapsed="false">
      <c r="A94" s="14" t="s">
        <v>366</v>
      </c>
    </row>
    <row r="95" customFormat="false" ht="15" hidden="false" customHeight="false" outlineLevel="0" collapsed="false">
      <c r="A95" s="15" t="s">
        <v>367</v>
      </c>
      <c r="B95" s="15" t="s">
        <v>368</v>
      </c>
      <c r="C95" s="15" t="s">
        <v>369</v>
      </c>
      <c r="D95" s="15" t="s">
        <v>370</v>
      </c>
      <c r="E95" s="15" t="s">
        <v>371</v>
      </c>
    </row>
    <row r="96" customFormat="false" ht="30" hidden="false" customHeight="true" outlineLevel="0" collapsed="false">
      <c r="A96" s="3" t="s">
        <v>484</v>
      </c>
      <c r="B96" s="17" t="n">
        <v>432267</v>
      </c>
      <c r="C96" s="23" t="n">
        <f aca="false">$C$60</f>
        <v>432266.661498702</v>
      </c>
      <c r="D96" s="27" t="n">
        <f aca="false">ROUND(C96-B96,2)</f>
        <v>-0.34</v>
      </c>
      <c r="E96" s="16" t="s">
        <v>485</v>
      </c>
    </row>
    <row r="98" customFormat="false" ht="15" hidden="false" customHeight="false" outlineLevel="0" collapsed="false">
      <c r="A98" s="14" t="s">
        <v>486</v>
      </c>
    </row>
    <row r="99" customFormat="false" ht="15" hidden="false" customHeight="false" outlineLevel="0" collapsed="false">
      <c r="A99" s="15" t="s">
        <v>299</v>
      </c>
      <c r="B99" s="15"/>
      <c r="C99" s="15" t="s">
        <v>214</v>
      </c>
      <c r="D99" s="15"/>
      <c r="E99" s="15" t="s">
        <v>459</v>
      </c>
    </row>
    <row r="100" customFormat="false" ht="15" hidden="false" customHeight="false" outlineLevel="0" collapsed="false">
      <c r="A100" s="6" t="s">
        <v>487</v>
      </c>
      <c r="C100" s="18" t="n">
        <v>33.613</v>
      </c>
      <c r="E100" s="25" t="s">
        <v>488</v>
      </c>
    </row>
    <row r="101" customFormat="false" ht="15" hidden="false" customHeight="false" outlineLevel="0" collapsed="false">
      <c r="A101" s="6" t="s">
        <v>489</v>
      </c>
      <c r="C101" s="18" t="n">
        <v>33.83</v>
      </c>
      <c r="E101" s="25" t="s">
        <v>490</v>
      </c>
    </row>
    <row r="102" customFormat="false" ht="15" hidden="false" customHeight="false" outlineLevel="0" collapsed="false">
      <c r="A102" s="6" t="s">
        <v>491</v>
      </c>
      <c r="C102" s="23" t="n">
        <f aca="false">ROUND($C$35/$C$101,2)</f>
        <v>502512.56</v>
      </c>
      <c r="E102" s="25" t="s">
        <v>492</v>
      </c>
    </row>
    <row r="103" customFormat="false" ht="15" hidden="false" customHeight="false" outlineLevel="0" collapsed="false">
      <c r="A103" s="6" t="s">
        <v>493</v>
      </c>
      <c r="C103" s="24" t="n">
        <f aca="false">1-$C$100/$C$101</f>
        <v>0.00641442506650902</v>
      </c>
      <c r="E103" s="25" t="s">
        <v>494</v>
      </c>
    </row>
    <row r="104" customFormat="false" ht="30" hidden="false" customHeight="true" outlineLevel="0" collapsed="false">
      <c r="A104" s="6" t="s">
        <v>495</v>
      </c>
      <c r="C104" s="29"/>
      <c r="E104" s="16" t="s">
        <v>496</v>
      </c>
    </row>
    <row r="105" customFormat="false" ht="22.35" hidden="false" customHeight="false" outlineLevel="0" collapsed="false">
      <c r="A105" s="4" t="s">
        <v>497</v>
      </c>
      <c r="C105" s="27" t="str">
        <f aca="false">IF($C$104="","",ROUND($C$104-$C$60,2))</f>
        <v/>
      </c>
      <c r="E105" s="16" t="s">
        <v>498</v>
      </c>
    </row>
    <row r="107" customFormat="false" ht="15" hidden="false" customHeight="false" outlineLevel="0" collapsed="false">
      <c r="A107" s="14" t="s">
        <v>374</v>
      </c>
    </row>
    <row r="108" customFormat="false" ht="31.5" hidden="false" customHeight="true" outlineLevel="0" collapsed="false">
      <c r="A108" s="13" t="s">
        <v>375</v>
      </c>
      <c r="B108" s="28" t="s">
        <v>499</v>
      </c>
      <c r="C108" s="28"/>
      <c r="D108" s="28"/>
      <c r="E108" s="28"/>
    </row>
    <row r="109" customFormat="false" ht="31.5" hidden="false" customHeight="true" outlineLevel="0" collapsed="false">
      <c r="A109" s="13" t="s">
        <v>375</v>
      </c>
      <c r="B109" s="28" t="s">
        <v>500</v>
      </c>
      <c r="C109" s="28"/>
      <c r="D109" s="28"/>
      <c r="E109" s="28"/>
    </row>
    <row r="110" customFormat="false" ht="31.5" hidden="false" customHeight="true" outlineLevel="0" collapsed="false">
      <c r="A110" s="13" t="s">
        <v>375</v>
      </c>
      <c r="B110" s="28" t="s">
        <v>501</v>
      </c>
      <c r="C110" s="28"/>
      <c r="D110" s="28"/>
      <c r="E110" s="28"/>
    </row>
  </sheetData>
  <mergeCells count="3">
    <mergeCell ref="B108:E108"/>
    <mergeCell ref="B109:E109"/>
    <mergeCell ref="B110:E11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502</v>
      </c>
    </row>
    <row r="2" customFormat="false" ht="15" hidden="false" customHeight="false" outlineLevel="0" collapsed="false">
      <c r="A2" s="12" t="s">
        <v>210</v>
      </c>
      <c r="B2" s="13" t="s">
        <v>503</v>
      </c>
    </row>
    <row r="4" customFormat="false" ht="15" hidden="false" customHeight="false" outlineLevel="0" collapsed="false">
      <c r="A4" s="14" t="s">
        <v>212</v>
      </c>
    </row>
    <row r="5" customFormat="false" ht="15" hidden="false" customHeight="false" outlineLevel="0" collapsed="false">
      <c r="A5" s="15" t="s">
        <v>213</v>
      </c>
      <c r="B5" s="15" t="s">
        <v>214</v>
      </c>
      <c r="C5" s="15" t="s">
        <v>215</v>
      </c>
      <c r="D5" s="15" t="s">
        <v>216</v>
      </c>
    </row>
    <row r="6" customFormat="false" ht="15.75" hidden="false" customHeight="true" outlineLevel="0" collapsed="false">
      <c r="A6" s="3" t="s">
        <v>217</v>
      </c>
      <c r="B6" s="9" t="s">
        <v>504</v>
      </c>
      <c r="C6" s="3" t="s">
        <v>218</v>
      </c>
      <c r="D6" s="16" t="s">
        <v>219</v>
      </c>
    </row>
    <row r="7" customFormat="false" ht="42" hidden="false" customHeight="true" outlineLevel="0" collapsed="false">
      <c r="A7" s="3" t="s">
        <v>51</v>
      </c>
      <c r="B7" s="10"/>
      <c r="C7" s="3" t="s">
        <v>220</v>
      </c>
      <c r="D7" s="16" t="s">
        <v>221</v>
      </c>
    </row>
    <row r="8" customFormat="false" ht="42" hidden="false" customHeight="true" outlineLevel="0" collapsed="false">
      <c r="A8" s="3" t="s">
        <v>52</v>
      </c>
      <c r="B8" s="9" t="s">
        <v>505</v>
      </c>
      <c r="C8" s="3" t="s">
        <v>218</v>
      </c>
      <c r="D8" s="16" t="s">
        <v>222</v>
      </c>
    </row>
    <row r="9" customFormat="false" ht="42" hidden="false" customHeight="true" outlineLevel="0" collapsed="false">
      <c r="A9" s="3" t="s">
        <v>223</v>
      </c>
      <c r="B9" s="9" t="s">
        <v>506</v>
      </c>
      <c r="C9" s="3" t="s">
        <v>218</v>
      </c>
      <c r="D9" s="16" t="s">
        <v>224</v>
      </c>
    </row>
    <row r="10" customFormat="false" ht="15.75" hidden="false" customHeight="true" outlineLevel="0" collapsed="false">
      <c r="A10" s="3" t="s">
        <v>225</v>
      </c>
      <c r="B10" s="9" t="s">
        <v>405</v>
      </c>
      <c r="C10" s="3" t="s">
        <v>218</v>
      </c>
      <c r="D10" s="16" t="s">
        <v>227</v>
      </c>
    </row>
    <row r="11" customFormat="false" ht="42" hidden="false" customHeight="true" outlineLevel="0" collapsed="false">
      <c r="A11" s="3" t="s">
        <v>228</v>
      </c>
      <c r="B11" s="9" t="s">
        <v>507</v>
      </c>
      <c r="C11" s="3" t="s">
        <v>218</v>
      </c>
      <c r="D11" s="16" t="s">
        <v>230</v>
      </c>
    </row>
    <row r="12" customFormat="false" ht="15.75" hidden="false" customHeight="true" outlineLevel="0" collapsed="false">
      <c r="A12" s="3" t="s">
        <v>56</v>
      </c>
      <c r="B12" s="9" t="s">
        <v>83</v>
      </c>
      <c r="C12" s="3" t="s">
        <v>218</v>
      </c>
      <c r="D12" s="16"/>
    </row>
    <row r="13" customFormat="false" ht="42" hidden="false" customHeight="true" outlineLevel="0" collapsed="false">
      <c r="A13" s="3" t="s">
        <v>231</v>
      </c>
      <c r="B13" s="9" t="s">
        <v>84</v>
      </c>
      <c r="C13" s="3" t="s">
        <v>218</v>
      </c>
      <c r="D13" s="16" t="s">
        <v>232</v>
      </c>
    </row>
    <row r="14" customFormat="false" ht="15.75" hidden="false" customHeight="true" outlineLevel="0" collapsed="false">
      <c r="A14" s="3" t="s">
        <v>233</v>
      </c>
      <c r="B14" s="9" t="s">
        <v>508</v>
      </c>
      <c r="C14" s="3" t="s">
        <v>218</v>
      </c>
      <c r="D14" s="16" t="s">
        <v>234</v>
      </c>
    </row>
    <row r="15" customFormat="false" ht="42" hidden="false" customHeight="true" outlineLevel="0" collapsed="false">
      <c r="A15" s="3" t="s">
        <v>235</v>
      </c>
      <c r="B15" s="9" t="s">
        <v>236</v>
      </c>
      <c r="C15" s="3" t="s">
        <v>218</v>
      </c>
      <c r="D15" s="16" t="s">
        <v>237</v>
      </c>
    </row>
    <row r="16" customFormat="false" ht="15.75" hidden="false" customHeight="true" outlineLevel="0" collapsed="false">
      <c r="A16" s="3" t="s">
        <v>238</v>
      </c>
      <c r="B16" s="9" t="s">
        <v>239</v>
      </c>
      <c r="C16" s="3" t="s">
        <v>218</v>
      </c>
      <c r="D16" s="16" t="s">
        <v>240</v>
      </c>
    </row>
    <row r="17" customFormat="false" ht="42" hidden="false" customHeight="true" outlineLevel="0" collapsed="false">
      <c r="A17" s="3" t="s">
        <v>241</v>
      </c>
      <c r="B17" s="9" t="s">
        <v>86</v>
      </c>
      <c r="C17" s="3" t="s">
        <v>218</v>
      </c>
      <c r="D17" s="16" t="s">
        <v>242</v>
      </c>
    </row>
    <row r="18" customFormat="false" ht="15.75" hidden="false" customHeight="true" outlineLevel="0" collapsed="false">
      <c r="A18" s="3" t="s">
        <v>62</v>
      </c>
      <c r="B18" s="11" t="n">
        <v>0.01</v>
      </c>
      <c r="C18" s="3" t="s">
        <v>218</v>
      </c>
      <c r="D18" s="16" t="s">
        <v>243</v>
      </c>
    </row>
    <row r="19" customFormat="false" ht="15.75" hidden="false" customHeight="true" outlineLevel="0" collapsed="false">
      <c r="A19" s="3" t="s">
        <v>63</v>
      </c>
      <c r="B19" s="11" t="n">
        <v>0.01</v>
      </c>
      <c r="C19" s="3" t="s">
        <v>218</v>
      </c>
      <c r="D19" s="16"/>
    </row>
    <row r="20" customFormat="false" ht="15.75" hidden="false" customHeight="true" outlineLevel="0" collapsed="false">
      <c r="A20" s="3" t="s">
        <v>64</v>
      </c>
      <c r="B20" s="11" t="n">
        <v>0</v>
      </c>
      <c r="C20" s="3" t="s">
        <v>218</v>
      </c>
      <c r="D20" s="16" t="s">
        <v>244</v>
      </c>
    </row>
    <row r="21" customFormat="false" ht="15.75" hidden="false" customHeight="true" outlineLevel="0" collapsed="false">
      <c r="A21" s="3" t="s">
        <v>65</v>
      </c>
      <c r="B21" s="10"/>
      <c r="C21" s="3" t="s">
        <v>220</v>
      </c>
      <c r="D21" s="16" t="s">
        <v>245</v>
      </c>
    </row>
    <row r="22" customFormat="false" ht="15.75" hidden="false" customHeight="true" outlineLevel="0" collapsed="false">
      <c r="A22" s="3" t="s">
        <v>66</v>
      </c>
      <c r="B22" s="10"/>
      <c r="C22" s="3" t="s">
        <v>220</v>
      </c>
      <c r="D22" s="16" t="s">
        <v>245</v>
      </c>
    </row>
    <row r="23" customFormat="false" ht="15.75" hidden="false" customHeight="true" outlineLevel="0" collapsed="false">
      <c r="A23" s="3" t="s">
        <v>67</v>
      </c>
      <c r="B23" s="10"/>
      <c r="C23" s="3" t="s">
        <v>220</v>
      </c>
      <c r="D23" s="16" t="s">
        <v>246</v>
      </c>
    </row>
    <row r="24" customFormat="false" ht="42" hidden="false" customHeight="true" outlineLevel="0" collapsed="false">
      <c r="A24" s="3" t="s">
        <v>247</v>
      </c>
      <c r="B24" s="10"/>
      <c r="C24" s="3" t="s">
        <v>248</v>
      </c>
      <c r="D24" s="16" t="s">
        <v>249</v>
      </c>
    </row>
    <row r="25" customFormat="false" ht="42" hidden="false" customHeight="true" outlineLevel="0" collapsed="false">
      <c r="A25" s="3" t="s">
        <v>250</v>
      </c>
      <c r="B25" s="9" t="s">
        <v>438</v>
      </c>
      <c r="C25" s="3" t="s">
        <v>252</v>
      </c>
      <c r="D25" s="16" t="s">
        <v>253</v>
      </c>
    </row>
    <row r="26" customFormat="false" ht="15.75" hidden="false" customHeight="true" outlineLevel="0" collapsed="false">
      <c r="A26" s="3" t="s">
        <v>72</v>
      </c>
      <c r="B26" s="11" t="n">
        <v>0.4</v>
      </c>
      <c r="C26" s="3" t="s">
        <v>254</v>
      </c>
      <c r="D26" s="16" t="s">
        <v>255</v>
      </c>
    </row>
    <row r="27" customFormat="false" ht="15.75" hidden="false" customHeight="true" outlineLevel="0" collapsed="false">
      <c r="A27" s="3" t="s">
        <v>256</v>
      </c>
      <c r="B27" s="9"/>
      <c r="C27" s="3" t="s">
        <v>248</v>
      </c>
      <c r="D27" s="16" t="s">
        <v>257</v>
      </c>
    </row>
    <row r="28" customFormat="false" ht="42" hidden="false" customHeight="true" outlineLevel="0" collapsed="false">
      <c r="A28" s="3" t="s">
        <v>258</v>
      </c>
      <c r="B28" s="9" t="s">
        <v>259</v>
      </c>
      <c r="C28" s="3" t="s">
        <v>218</v>
      </c>
      <c r="D28" s="16" t="s">
        <v>260</v>
      </c>
    </row>
    <row r="29" customFormat="false" ht="15.75" hidden="false" customHeight="true" outlineLevel="0" collapsed="false">
      <c r="A29" s="3" t="s">
        <v>75</v>
      </c>
      <c r="B29" s="10"/>
      <c r="C29" s="3" t="s">
        <v>220</v>
      </c>
      <c r="D29" s="16" t="s">
        <v>261</v>
      </c>
    </row>
    <row r="30" customFormat="false" ht="15.75" hidden="false" customHeight="true" outlineLevel="0" collapsed="false">
      <c r="A30" s="3" t="s">
        <v>76</v>
      </c>
      <c r="B30" s="10"/>
      <c r="C30" s="3" t="s">
        <v>220</v>
      </c>
      <c r="D30" s="16" t="s">
        <v>262</v>
      </c>
    </row>
    <row r="31" customFormat="false" ht="42" hidden="false" customHeight="true" outlineLevel="0" collapsed="false">
      <c r="A31" s="3" t="s">
        <v>263</v>
      </c>
      <c r="B31" s="10"/>
      <c r="C31" s="3" t="s">
        <v>220</v>
      </c>
      <c r="D31" s="16" t="s">
        <v>264</v>
      </c>
    </row>
    <row r="33" customFormat="false" ht="15" hidden="false" customHeight="false" outlineLevel="0" collapsed="false">
      <c r="A33" s="14" t="s">
        <v>265</v>
      </c>
    </row>
    <row r="34" customFormat="false" ht="15" hidden="false" customHeight="false" outlineLevel="0" collapsed="false">
      <c r="A34" s="15" t="s">
        <v>213</v>
      </c>
      <c r="B34" s="15"/>
      <c r="C34" s="15" t="s">
        <v>214</v>
      </c>
      <c r="D34" s="15"/>
      <c r="E34" s="15" t="s">
        <v>14</v>
      </c>
    </row>
    <row r="35" customFormat="false" ht="15" hidden="false" customHeight="false" outlineLevel="0" collapsed="false">
      <c r="A35" s="3" t="s">
        <v>266</v>
      </c>
      <c r="C35" s="17" t="n">
        <v>51000</v>
      </c>
      <c r="E35" s="16" t="s">
        <v>267</v>
      </c>
    </row>
    <row r="36" customFormat="false" ht="15" hidden="false" customHeight="false" outlineLevel="0" collapsed="false">
      <c r="A36" s="3" t="s">
        <v>268</v>
      </c>
      <c r="C36" s="7" t="s">
        <v>509</v>
      </c>
      <c r="E36" s="16"/>
    </row>
    <row r="37" customFormat="false" ht="15" hidden="false" customHeight="false" outlineLevel="0" collapsed="false">
      <c r="A37" s="3" t="s">
        <v>270</v>
      </c>
      <c r="C37" s="7" t="s">
        <v>269</v>
      </c>
      <c r="E37" s="16"/>
    </row>
    <row r="38" customFormat="false" ht="15" hidden="false" customHeight="false" outlineLevel="0" collapsed="false">
      <c r="A38" s="3" t="s">
        <v>272</v>
      </c>
      <c r="C38" s="7" t="s">
        <v>273</v>
      </c>
      <c r="E38" s="16" t="s">
        <v>274</v>
      </c>
    </row>
    <row r="39" customFormat="false" ht="15" hidden="false" customHeight="false" outlineLevel="0" collapsed="false">
      <c r="A39" s="3" t="s">
        <v>275</v>
      </c>
      <c r="C39" s="18" t="n">
        <v>1.37476780859097</v>
      </c>
      <c r="E39" s="16" t="s">
        <v>276</v>
      </c>
    </row>
    <row r="40" customFormat="false" ht="22.35" hidden="false" customHeight="false" outlineLevel="0" collapsed="false">
      <c r="A40" s="3" t="s">
        <v>277</v>
      </c>
      <c r="C40" s="19"/>
      <c r="E40" s="16" t="s">
        <v>278</v>
      </c>
    </row>
    <row r="41" customFormat="false" ht="15" hidden="false" customHeight="false" outlineLevel="0" collapsed="false">
      <c r="A41" s="3" t="s">
        <v>279</v>
      </c>
      <c r="C41" s="20" t="n">
        <v>0.01</v>
      </c>
      <c r="E41" s="16" t="s">
        <v>280</v>
      </c>
    </row>
    <row r="42" customFormat="false" ht="15" hidden="false" customHeight="false" outlineLevel="0" collapsed="false">
      <c r="A42" s="3" t="s">
        <v>281</v>
      </c>
      <c r="C42" s="20" t="n">
        <v>0.01</v>
      </c>
      <c r="E42" s="16"/>
    </row>
    <row r="43" customFormat="false" ht="15" hidden="false" customHeight="false" outlineLevel="0" collapsed="false">
      <c r="A43" s="3" t="s">
        <v>282</v>
      </c>
      <c r="C43" s="20" t="n">
        <v>0.01</v>
      </c>
      <c r="E43" s="16"/>
    </row>
    <row r="44" customFormat="false" ht="15" hidden="false" customHeight="false" outlineLevel="0" collapsed="false">
      <c r="A44" s="3" t="s">
        <v>283</v>
      </c>
      <c r="C44" s="20" t="n">
        <v>0</v>
      </c>
      <c r="E44" s="16"/>
    </row>
    <row r="45" customFormat="false" ht="15" hidden="false" customHeight="false" outlineLevel="0" collapsed="false">
      <c r="A45" s="3" t="s">
        <v>238</v>
      </c>
      <c r="C45" s="7" t="s">
        <v>239</v>
      </c>
      <c r="E45" s="16" t="s">
        <v>284</v>
      </c>
    </row>
    <row r="46" customFormat="false" ht="15" hidden="false" customHeight="false" outlineLevel="0" collapsed="false">
      <c r="A46" s="3" t="s">
        <v>231</v>
      </c>
      <c r="C46" s="7" t="s">
        <v>84</v>
      </c>
      <c r="E46" s="16" t="s">
        <v>285</v>
      </c>
    </row>
    <row r="47" customFormat="false" ht="15" hidden="false" customHeight="false" outlineLevel="0" collapsed="false">
      <c r="A47" s="3" t="s">
        <v>235</v>
      </c>
      <c r="C47" s="7" t="s">
        <v>236</v>
      </c>
      <c r="E47" s="16" t="s">
        <v>286</v>
      </c>
    </row>
    <row r="48" customFormat="false" ht="15" hidden="false" customHeight="false" outlineLevel="0" collapsed="false">
      <c r="A48" s="3" t="s">
        <v>258</v>
      </c>
      <c r="C48" s="7" t="s">
        <v>259</v>
      </c>
      <c r="E48" s="16" t="s">
        <v>287</v>
      </c>
    </row>
    <row r="49" customFormat="false" ht="15" hidden="false" customHeight="false" outlineLevel="0" collapsed="false">
      <c r="A49" s="3" t="s">
        <v>288</v>
      </c>
      <c r="C49" s="17" t="n">
        <v>1</v>
      </c>
      <c r="E49" s="16" t="s">
        <v>289</v>
      </c>
    </row>
    <row r="50" customFormat="false" ht="15" hidden="false" customHeight="false" outlineLevel="0" collapsed="false">
      <c r="A50" s="3" t="s">
        <v>290</v>
      </c>
      <c r="C50" s="20" t="n">
        <v>0.003</v>
      </c>
      <c r="E50" s="16"/>
    </row>
    <row r="51" customFormat="false" ht="15" hidden="false" customHeight="false" outlineLevel="0" collapsed="false">
      <c r="A51" s="3" t="s">
        <v>291</v>
      </c>
      <c r="C51" s="21"/>
      <c r="E51" s="16" t="s">
        <v>292</v>
      </c>
    </row>
    <row r="52" customFormat="false" ht="22.35" hidden="false" customHeight="false" outlineLevel="0" collapsed="false">
      <c r="A52" s="3" t="s">
        <v>250</v>
      </c>
      <c r="C52" s="7" t="s">
        <v>293</v>
      </c>
      <c r="E52" s="16" t="s">
        <v>294</v>
      </c>
    </row>
    <row r="53" customFormat="false" ht="15" hidden="false" customHeight="false" outlineLevel="0" collapsed="false">
      <c r="A53" s="3" t="s">
        <v>295</v>
      </c>
      <c r="C53" s="20" t="n">
        <v>0.4</v>
      </c>
      <c r="E53" s="16"/>
    </row>
    <row r="54" customFormat="false" ht="15" hidden="false" customHeight="false" outlineLevel="0" collapsed="false">
      <c r="A54" s="3" t="s">
        <v>296</v>
      </c>
      <c r="C54" s="20" t="n">
        <v>0</v>
      </c>
      <c r="E54" s="16" t="s">
        <v>297</v>
      </c>
    </row>
    <row r="56" customFormat="false" ht="15" hidden="false" customHeight="false" outlineLevel="0" collapsed="false">
      <c r="A56" s="14" t="s">
        <v>298</v>
      </c>
    </row>
    <row r="57" customFormat="false" ht="15" hidden="false" customHeight="false" outlineLevel="0" collapsed="false">
      <c r="A57" s="15" t="s">
        <v>299</v>
      </c>
      <c r="B57" s="15" t="s">
        <v>300</v>
      </c>
      <c r="C57" s="15" t="s">
        <v>214</v>
      </c>
      <c r="E57" s="15" t="s">
        <v>216</v>
      </c>
    </row>
    <row r="58" customFormat="false" ht="15" hidden="false" customHeight="false" outlineLevel="0" collapsed="false">
      <c r="A58" s="3" t="s">
        <v>301</v>
      </c>
      <c r="B58" s="16" t="s">
        <v>302</v>
      </c>
      <c r="C58" s="22" t="n">
        <f aca="false">IF($C$45="market rate",$C$39,$C$40)</f>
        <v>1.37476780859097</v>
      </c>
      <c r="E58" s="16"/>
    </row>
    <row r="59" customFormat="false" ht="22.35" hidden="false" customHeight="false" outlineLevel="0" collapsed="false">
      <c r="A59" s="3" t="s">
        <v>303</v>
      </c>
      <c r="B59" s="16" t="s">
        <v>304</v>
      </c>
      <c r="C59" s="22" t="n">
        <f aca="false">IF($C$47="added to what the sender pays",$C$58/(1+$C$43),$C$58*(1-$C$43))</f>
        <v>1.36102013050506</v>
      </c>
      <c r="E59" s="16"/>
    </row>
    <row r="60" customFormat="false" ht="15" hidden="false" customHeight="false" outlineLevel="0" collapsed="false">
      <c r="A60" s="3" t="s">
        <v>305</v>
      </c>
      <c r="B60" s="16" t="s">
        <v>306</v>
      </c>
      <c r="C60" s="23" t="n">
        <f aca="false">$C$35*$C$59</f>
        <v>69412.026655758</v>
      </c>
      <c r="E60" s="16" t="s">
        <v>307</v>
      </c>
    </row>
    <row r="61" customFormat="false" ht="15" hidden="false" customHeight="false" outlineLevel="0" collapsed="false">
      <c r="A61" s="3" t="s">
        <v>308</v>
      </c>
      <c r="B61" s="16" t="s">
        <v>309</v>
      </c>
      <c r="C61" s="23" t="n">
        <f aca="false">$C$60*$C$44</f>
        <v>0</v>
      </c>
      <c r="E61" s="16" t="s">
        <v>310</v>
      </c>
    </row>
    <row r="62" customFormat="false" ht="15" hidden="false" customHeight="false" outlineLevel="0" collapsed="false">
      <c r="A62" s="3" t="s">
        <v>311</v>
      </c>
      <c r="B62" s="16" t="s">
        <v>312</v>
      </c>
      <c r="C62" s="23" t="n">
        <f aca="false">$C$60-$C$61</f>
        <v>69412.026655758</v>
      </c>
      <c r="E62" s="16" t="s">
        <v>313</v>
      </c>
    </row>
    <row r="63" customFormat="false" ht="32.8" hidden="false" customHeight="false" outlineLevel="0" collapsed="false">
      <c r="A63" s="3" t="s">
        <v>314</v>
      </c>
      <c r="B63" s="16" t="s">
        <v>315</v>
      </c>
      <c r="C63" s="23" t="n">
        <f aca="false">IF($C$46="NPL's own wallet",$C$35*$C$39,IF($C$46="fee on top of market",$C$35*$C$39*(1-$C$41),$C$35*$C$40))</f>
        <v>69412.026655758</v>
      </c>
      <c r="E63" s="16"/>
    </row>
    <row r="64" customFormat="false" ht="22.35" hidden="false" customHeight="false" outlineLevel="0" collapsed="false">
      <c r="A64" s="3" t="s">
        <v>316</v>
      </c>
      <c r="B64" s="16" t="s">
        <v>317</v>
      </c>
      <c r="C64" s="23" t="n">
        <f aca="false">$C$35*$C$39-$C$63</f>
        <v>701.131582381393</v>
      </c>
      <c r="E64" s="16"/>
    </row>
    <row r="65" customFormat="false" ht="15" hidden="false" customHeight="false" outlineLevel="0" collapsed="false">
      <c r="A65" s="3" t="s">
        <v>318</v>
      </c>
      <c r="B65" s="16" t="s">
        <v>319</v>
      </c>
      <c r="C65" s="23" t="n">
        <f aca="false">$C$63-$C$62</f>
        <v>0</v>
      </c>
      <c r="E65" s="16" t="s">
        <v>320</v>
      </c>
    </row>
    <row r="66" customFormat="false" ht="15" hidden="false" customHeight="false" outlineLevel="0" collapsed="false">
      <c r="A66" s="3" t="s">
        <v>321</v>
      </c>
      <c r="B66" s="16" t="s">
        <v>322</v>
      </c>
      <c r="C66" s="24" t="n">
        <f aca="false">IF($C$35*$C$39=0,0,$C$65/($C$35*$C$39))</f>
        <v>0</v>
      </c>
      <c r="E66" s="16"/>
    </row>
    <row r="67" customFormat="false" ht="15" hidden="false" customHeight="false" outlineLevel="0" collapsed="false">
      <c r="A67" s="3" t="s">
        <v>323</v>
      </c>
      <c r="B67" s="16" t="s">
        <v>324</v>
      </c>
      <c r="C67" s="6" t="str">
        <f aca="false">IF($C$66&lt;$C$50,"YES — Finance must approve","no")</f>
        <v>YES — Finance must approve</v>
      </c>
      <c r="E67" s="16"/>
    </row>
    <row r="68" customFormat="false" ht="22.35" hidden="false" customHeight="false" outlineLevel="0" collapsed="false">
      <c r="A68" s="3" t="s">
        <v>325</v>
      </c>
      <c r="B68" s="16" t="s">
        <v>326</v>
      </c>
      <c r="C68" s="23" t="n">
        <f aca="false">IF($C$48="round up",CEILING($C$62,$C$49),IF($C$48="nearest unit",MROUND($C$62,$C$49),IF($C$48="nearest 1,000",MROUND($C$62,$C$49),FLOOR($C$62,$C$49))))</f>
        <v>69412</v>
      </c>
      <c r="E68" s="16" t="s">
        <v>327</v>
      </c>
    </row>
    <row r="69" customFormat="false" ht="23.85" hidden="false" customHeight="false" outlineLevel="0" collapsed="false">
      <c r="A69" s="3" t="s">
        <v>328</v>
      </c>
      <c r="B69" s="16" t="s">
        <v>329</v>
      </c>
      <c r="C69" s="23" t="n">
        <f aca="false">$C$62-$C$68</f>
        <v>0.0266557579743676</v>
      </c>
      <c r="E69" s="16"/>
    </row>
    <row r="70" customFormat="false" ht="22.35" hidden="false" customHeight="false" outlineLevel="0" collapsed="false">
      <c r="A70" s="3" t="s">
        <v>330</v>
      </c>
      <c r="B70" s="16" t="s">
        <v>331</v>
      </c>
      <c r="C70" s="22" t="n">
        <f aca="false">IF($C$51="",$C$58,$C$59/(1-$C$51))</f>
        <v>1.37476780859097</v>
      </c>
      <c r="E70" s="16" t="s">
        <v>332</v>
      </c>
    </row>
    <row r="71" customFormat="false" ht="22.35" hidden="false" customHeight="false" outlineLevel="0" collapsed="false">
      <c r="A71" s="3" t="s">
        <v>333</v>
      </c>
      <c r="B71" s="16" t="s">
        <v>334</v>
      </c>
      <c r="C71" s="23" t="n">
        <f aca="false">IF($C$52="paid back monthly",$C$64*$C$53,0)</f>
        <v>280.452632952557</v>
      </c>
      <c r="E71" s="16"/>
    </row>
    <row r="72" customFormat="false" ht="15" hidden="false" customHeight="false" outlineLevel="0" collapsed="false">
      <c r="A72" s="3" t="s">
        <v>335</v>
      </c>
      <c r="B72" s="16" t="s">
        <v>336</v>
      </c>
      <c r="C72" s="23" t="n">
        <f aca="false">$C$35*$C$39*$C$54</f>
        <v>0</v>
      </c>
      <c r="E72" s="16" t="s">
        <v>337</v>
      </c>
    </row>
    <row r="73" customFormat="false" ht="23.85" hidden="false" customHeight="false" outlineLevel="0" collapsed="false">
      <c r="A73" s="3" t="s">
        <v>338</v>
      </c>
      <c r="B73" s="16" t="s">
        <v>339</v>
      </c>
      <c r="C73" s="23" t="n">
        <f aca="false">ROUND($C$62+$C$64+$C$65-$C$35*$C$39,6)</f>
        <v>0</v>
      </c>
      <c r="E73" s="16" t="s">
        <v>340</v>
      </c>
    </row>
    <row r="75" customFormat="false" ht="15" hidden="false" customHeight="false" outlineLevel="0" collapsed="false">
      <c r="A75" s="14" t="s">
        <v>341</v>
      </c>
    </row>
    <row r="76" customFormat="false" ht="15" hidden="false" customHeight="false" outlineLevel="0" collapsed="false">
      <c r="A76" s="15" t="s">
        <v>342</v>
      </c>
      <c r="B76" s="15" t="s">
        <v>343</v>
      </c>
      <c r="C76" s="15" t="s">
        <v>344</v>
      </c>
      <c r="D76" s="15" t="s">
        <v>345</v>
      </c>
      <c r="E76" s="15" t="s">
        <v>346</v>
      </c>
    </row>
    <row r="77" customFormat="false" ht="15" hidden="false" customHeight="false" outlineLevel="0" collapsed="false">
      <c r="A77" s="6" t="str">
        <f aca="false">"Client money received at "&amp;$C$38&amp;" ("&amp;$C$36&amp;")"</f>
        <v>Client money received at JETON (GBP)</v>
      </c>
      <c r="B77" s="6" t="s">
        <v>347</v>
      </c>
      <c r="C77" s="23" t="n">
        <f aca="false">$C$35</f>
        <v>51000</v>
      </c>
      <c r="D77" s="25" t="s">
        <v>348</v>
      </c>
      <c r="E77" s="25" t="s">
        <v>349</v>
      </c>
    </row>
    <row r="78" customFormat="false" ht="15" hidden="false" customHeight="false" outlineLevel="0" collapsed="false">
      <c r="A78" s="6" t="str">
        <f aca="false">"Owed to the client's receivers ("&amp;$C$36&amp;")"</f>
        <v>Owed to the client's receivers (GBP)</v>
      </c>
      <c r="B78" s="6" t="s">
        <v>350</v>
      </c>
      <c r="C78" s="23" t="n">
        <f aca="false">$C$35</f>
        <v>51000</v>
      </c>
      <c r="D78" s="25" t="s">
        <v>348</v>
      </c>
      <c r="E78" s="25" t="s">
        <v>349</v>
      </c>
    </row>
    <row r="79" customFormat="false" ht="15" hidden="false" customHeight="false" outlineLevel="0" collapsed="false">
      <c r="A79" s="6" t="str">
        <f aca="false">"Owed to the client's receivers ("&amp;$C$36&amp;")"</f>
        <v>Owed to the client's receivers (GBP)</v>
      </c>
      <c r="B79" s="6" t="s">
        <v>347</v>
      </c>
      <c r="C79" s="23" t="n">
        <f aca="false">$C$35</f>
        <v>51000</v>
      </c>
      <c r="D79" s="25" t="s">
        <v>348</v>
      </c>
      <c r="E79" s="25" t="s">
        <v>351</v>
      </c>
    </row>
    <row r="80" customFormat="false" ht="15" hidden="false" customHeight="false" outlineLevel="0" collapsed="false">
      <c r="A80" s="6" t="str">
        <f aca="false">"Client money received at "&amp;$C$38&amp;" ("&amp;$C$36&amp;")"</f>
        <v>Client money received at JETON (GBP)</v>
      </c>
      <c r="B80" s="6" t="s">
        <v>350</v>
      </c>
      <c r="C80" s="23" t="n">
        <f aca="false">$C$35</f>
        <v>51000</v>
      </c>
      <c r="D80" s="25" t="s">
        <v>348</v>
      </c>
      <c r="E80" s="25" t="s">
        <v>351</v>
      </c>
    </row>
    <row r="81" customFormat="false" ht="15" hidden="false" customHeight="false" outlineLevel="0" collapsed="false">
      <c r="A81" s="6" t="str">
        <f aca="false">"Client money ready to pay out at "&amp;$C$38&amp;" ("&amp;$C$37&amp;")"</f>
        <v>Client money ready to pay out at JETON (USDT)</v>
      </c>
      <c r="B81" s="6" t="s">
        <v>347</v>
      </c>
      <c r="C81" s="23" t="n">
        <f aca="false">$C$62</f>
        <v>69412.026655758</v>
      </c>
      <c r="D81" s="25" t="s">
        <v>352</v>
      </c>
      <c r="E81" s="25" t="s">
        <v>353</v>
      </c>
    </row>
    <row r="82" customFormat="false" ht="15" hidden="false" customHeight="false" outlineLevel="0" collapsed="false">
      <c r="A82" s="6" t="str">
        <f aca="false">"NPL's earnings kept at "&amp;$C$38&amp;" ("&amp;$C$37&amp;")"</f>
        <v>NPL's earnings kept at JETON (USDT)</v>
      </c>
      <c r="B82" s="6" t="s">
        <v>347</v>
      </c>
      <c r="C82" s="23" t="n">
        <f aca="false">IF($C$52="paid back monthly",0,$C$65)</f>
        <v>0</v>
      </c>
      <c r="D82" s="25" t="s">
        <v>354</v>
      </c>
      <c r="E82" s="25" t="s">
        <v>355</v>
      </c>
    </row>
    <row r="83" customFormat="false" ht="15" hidden="false" customHeight="false" outlineLevel="0" collapsed="false">
      <c r="A83" s="6" t="str">
        <f aca="false">"Owed back to NPL by "&amp;$C$38&amp;" ("&amp;$C$37&amp;")"</f>
        <v>Owed back to NPL by JETON (USDT)</v>
      </c>
      <c r="B83" s="6" t="s">
        <v>347</v>
      </c>
      <c r="C83" s="23" t="n">
        <f aca="false">$C$71</f>
        <v>280.452632952557</v>
      </c>
      <c r="D83" s="25" t="s">
        <v>354</v>
      </c>
      <c r="E83" s="25" t="s">
        <v>356</v>
      </c>
    </row>
    <row r="84" customFormat="false" ht="15" hidden="false" customHeight="false" outlineLevel="0" collapsed="false">
      <c r="A84" s="6" t="str">
        <f aca="false">"Owed to the client's receivers ("&amp;$C$37&amp;")"</f>
        <v>Owed to the client's receivers (USDT)</v>
      </c>
      <c r="B84" s="6" t="s">
        <v>350</v>
      </c>
      <c r="C84" s="23" t="n">
        <f aca="false">$C$62</f>
        <v>69412.026655758</v>
      </c>
      <c r="D84" s="25" t="s">
        <v>348</v>
      </c>
      <c r="E84" s="25" t="s">
        <v>353</v>
      </c>
    </row>
    <row r="85" customFormat="false" ht="15" hidden="false" customHeight="false" outlineLevel="0" collapsed="false">
      <c r="A85" s="6" t="str">
        <f aca="false">"NPL's earnings ("&amp;$C$37&amp;")"</f>
        <v>NPL's earnings (USDT)</v>
      </c>
      <c r="B85" s="6" t="s">
        <v>350</v>
      </c>
      <c r="C85" s="23" t="n">
        <f aca="false">$C$65+$C$71</f>
        <v>280.452632952557</v>
      </c>
      <c r="D85" s="25" t="s">
        <v>354</v>
      </c>
      <c r="E85" s="25" t="s">
        <v>357</v>
      </c>
    </row>
    <row r="86" customFormat="false" ht="15" hidden="false" customHeight="false" outlineLevel="0" collapsed="false">
      <c r="A86" s="6" t="str">
        <f aca="false">"Client money in transit from "&amp;$C$38&amp;" ("&amp;$C$37&amp;")"</f>
        <v>Client money in transit from JETON (USDT)</v>
      </c>
      <c r="B86" s="6" t="s">
        <v>347</v>
      </c>
      <c r="C86" s="23" t="n">
        <f aca="false">$C$68</f>
        <v>69412</v>
      </c>
      <c r="D86" s="25" t="s">
        <v>348</v>
      </c>
      <c r="E86" s="25" t="s">
        <v>358</v>
      </c>
    </row>
    <row r="87" customFormat="false" ht="15" hidden="false" customHeight="false" outlineLevel="0" collapsed="false">
      <c r="A87" s="6" t="str">
        <f aca="false">"Client money ready to pay out at "&amp;$C$38&amp;" ("&amp;$C$37&amp;")"</f>
        <v>Client money ready to pay out at JETON (USDT)</v>
      </c>
      <c r="B87" s="6" t="s">
        <v>350</v>
      </c>
      <c r="C87" s="23" t="n">
        <f aca="false">$C$68</f>
        <v>69412</v>
      </c>
      <c r="D87" s="25" t="s">
        <v>348</v>
      </c>
      <c r="E87" s="25" t="s">
        <v>359</v>
      </c>
    </row>
    <row r="88" customFormat="false" ht="15" hidden="false" customHeight="false" outlineLevel="0" collapsed="false">
      <c r="A88" s="6" t="str">
        <f aca="false">"Owed to the client's receivers ("&amp;$C$37&amp;")"</f>
        <v>Owed to the client's receivers (USDT)</v>
      </c>
      <c r="B88" s="6" t="s">
        <v>347</v>
      </c>
      <c r="C88" s="23" t="n">
        <f aca="false">$C$68</f>
        <v>69412</v>
      </c>
      <c r="D88" s="25" t="s">
        <v>348</v>
      </c>
      <c r="E88" s="25" t="s">
        <v>360</v>
      </c>
    </row>
    <row r="89" customFormat="false" ht="15" hidden="false" customHeight="false" outlineLevel="0" collapsed="false">
      <c r="A89" s="6" t="str">
        <f aca="false">"Client money in transit from "&amp;$C$38&amp;" ("&amp;$C$37&amp;")"</f>
        <v>Client money in transit from JETON (USDT)</v>
      </c>
      <c r="B89" s="6" t="s">
        <v>350</v>
      </c>
      <c r="C89" s="23" t="n">
        <f aca="false">$C$68</f>
        <v>69412</v>
      </c>
      <c r="D89" s="25" t="s">
        <v>348</v>
      </c>
      <c r="E89" s="25" t="s">
        <v>360</v>
      </c>
    </row>
    <row r="90" customFormat="false" ht="15" hidden="false" customHeight="false" outlineLevel="0" collapsed="false">
      <c r="A90" s="6" t="str">
        <f aca="false">"NPL's earnings ("&amp;$C$37&amp;")"</f>
        <v>NPL's earnings (USDT)</v>
      </c>
      <c r="B90" s="6" t="s">
        <v>347</v>
      </c>
      <c r="C90" s="23" t="n">
        <f aca="false">$C$72</f>
        <v>0</v>
      </c>
      <c r="D90" s="25" t="s">
        <v>361</v>
      </c>
      <c r="E90" s="25" t="s">
        <v>362</v>
      </c>
    </row>
    <row r="91" customFormat="false" ht="15" hidden="false" customHeight="false" outlineLevel="0" collapsed="false">
      <c r="A91" s="6" t="str">
        <f aca="false">"Owed to the other party ("&amp;$C$37&amp;")"</f>
        <v>Owed to the other party (USDT)</v>
      </c>
      <c r="B91" s="6" t="s">
        <v>350</v>
      </c>
      <c r="C91" s="23" t="n">
        <f aca="false">$C$72</f>
        <v>0</v>
      </c>
      <c r="D91" s="25" t="s">
        <v>361</v>
      </c>
      <c r="E91" s="25" t="s">
        <v>363</v>
      </c>
    </row>
    <row r="92" customFormat="false" ht="30" hidden="false" customHeight="true" outlineLevel="0" collapsed="false">
      <c r="A92" s="26" t="s">
        <v>364</v>
      </c>
      <c r="C92" s="27" t="n">
        <f aca="false">ROUND(SUMIF($B$81:$B$91,"in",$C$81:$C$91)-SUMIF($B$81:$B$91,"out",$C$81:$C$91),6)</f>
        <v>0</v>
      </c>
      <c r="E92" s="16" t="s">
        <v>365</v>
      </c>
    </row>
    <row r="94" customFormat="false" ht="15" hidden="false" customHeight="false" outlineLevel="0" collapsed="false">
      <c r="A94" s="14" t="s">
        <v>366</v>
      </c>
    </row>
    <row r="95" customFormat="false" ht="15" hidden="false" customHeight="false" outlineLevel="0" collapsed="false">
      <c r="A95" s="15" t="s">
        <v>367</v>
      </c>
      <c r="B95" s="15" t="s">
        <v>368</v>
      </c>
      <c r="C95" s="15" t="s">
        <v>369</v>
      </c>
      <c r="D95" s="15" t="s">
        <v>370</v>
      </c>
      <c r="E95" s="15" t="s">
        <v>371</v>
      </c>
    </row>
    <row r="96" customFormat="false" ht="15.75" hidden="false" customHeight="true" outlineLevel="0" collapsed="false">
      <c r="A96" s="3" t="s">
        <v>510</v>
      </c>
      <c r="B96" s="17" t="n">
        <v>69412</v>
      </c>
      <c r="C96" s="23" t="n">
        <f aca="false">$C$60</f>
        <v>69412.026655758</v>
      </c>
      <c r="D96" s="27" t="n">
        <f aca="false">ROUND(C96-B96,2)</f>
        <v>0.03</v>
      </c>
      <c r="E96" s="16" t="s">
        <v>511</v>
      </c>
    </row>
    <row r="98" customFormat="false" ht="15" hidden="false" customHeight="false" outlineLevel="0" collapsed="false">
      <c r="A98" s="14" t="s">
        <v>374</v>
      </c>
    </row>
    <row r="99" customFormat="false" ht="31.5" hidden="false" customHeight="true" outlineLevel="0" collapsed="false">
      <c r="A99" s="13" t="s">
        <v>375</v>
      </c>
      <c r="B99" s="28" t="s">
        <v>512</v>
      </c>
      <c r="C99" s="28"/>
      <c r="D99" s="28"/>
      <c r="E99" s="28"/>
    </row>
    <row r="100" customFormat="false" ht="31.5" hidden="false" customHeight="true" outlineLevel="0" collapsed="false">
      <c r="A100" s="13" t="s">
        <v>375</v>
      </c>
      <c r="B100" s="28" t="s">
        <v>513</v>
      </c>
      <c r="C100" s="28"/>
      <c r="D100" s="28"/>
      <c r="E100" s="28"/>
    </row>
    <row r="101" customFormat="false" ht="31.5" hidden="false" customHeight="true" outlineLevel="0" collapsed="false">
      <c r="A101" s="13" t="s">
        <v>375</v>
      </c>
      <c r="B101" s="28" t="s">
        <v>514</v>
      </c>
      <c r="C101" s="28"/>
      <c r="D101" s="28"/>
      <c r="E101" s="28"/>
    </row>
  </sheetData>
  <mergeCells count="3">
    <mergeCell ref="B99:E99"/>
    <mergeCell ref="B100:E100"/>
    <mergeCell ref="B101:E10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515</v>
      </c>
    </row>
    <row r="2" customFormat="false" ht="15" hidden="false" customHeight="false" outlineLevel="0" collapsed="false">
      <c r="A2" s="12" t="s">
        <v>210</v>
      </c>
      <c r="B2" s="13" t="s">
        <v>516</v>
      </c>
    </row>
    <row r="4" customFormat="false" ht="15" hidden="false" customHeight="false" outlineLevel="0" collapsed="false">
      <c r="A4" s="14" t="s">
        <v>212</v>
      </c>
    </row>
    <row r="5" customFormat="false" ht="15" hidden="false" customHeight="false" outlineLevel="0" collapsed="false">
      <c r="A5" s="15" t="s">
        <v>213</v>
      </c>
      <c r="B5" s="15" t="s">
        <v>214</v>
      </c>
      <c r="C5" s="15" t="s">
        <v>215</v>
      </c>
      <c r="D5" s="15" t="s">
        <v>216</v>
      </c>
    </row>
    <row r="6" customFormat="false" ht="15.75" hidden="false" customHeight="true" outlineLevel="0" collapsed="false">
      <c r="A6" s="3" t="s">
        <v>217</v>
      </c>
      <c r="B6" s="9" t="s">
        <v>200</v>
      </c>
      <c r="C6" s="3" t="s">
        <v>218</v>
      </c>
      <c r="D6" s="16" t="s">
        <v>219</v>
      </c>
    </row>
    <row r="7" customFormat="false" ht="42" hidden="false" customHeight="true" outlineLevel="0" collapsed="false">
      <c r="A7" s="3" t="s">
        <v>51</v>
      </c>
      <c r="B7" s="10"/>
      <c r="C7" s="3" t="s">
        <v>220</v>
      </c>
      <c r="D7" s="16" t="s">
        <v>221</v>
      </c>
    </row>
    <row r="8" customFormat="false" ht="42" hidden="false" customHeight="true" outlineLevel="0" collapsed="false">
      <c r="A8" s="3" t="s">
        <v>52</v>
      </c>
      <c r="B8" s="10"/>
      <c r="C8" s="3" t="s">
        <v>220</v>
      </c>
      <c r="D8" s="16" t="s">
        <v>222</v>
      </c>
    </row>
    <row r="9" customFormat="false" ht="42" hidden="false" customHeight="true" outlineLevel="0" collapsed="false">
      <c r="A9" s="3" t="s">
        <v>223</v>
      </c>
      <c r="B9" s="10"/>
      <c r="C9" s="3" t="s">
        <v>220</v>
      </c>
      <c r="D9" s="16" t="s">
        <v>224</v>
      </c>
    </row>
    <row r="10" customFormat="false" ht="15.75" hidden="false" customHeight="true" outlineLevel="0" collapsed="false">
      <c r="A10" s="3" t="s">
        <v>225</v>
      </c>
      <c r="B10" s="9" t="s">
        <v>479</v>
      </c>
      <c r="C10" s="3" t="s">
        <v>218</v>
      </c>
      <c r="D10" s="16" t="s">
        <v>227</v>
      </c>
    </row>
    <row r="11" customFormat="false" ht="42" hidden="false" customHeight="true" outlineLevel="0" collapsed="false">
      <c r="A11" s="3" t="s">
        <v>228</v>
      </c>
      <c r="B11" s="9" t="s">
        <v>480</v>
      </c>
      <c r="C11" s="3" t="s">
        <v>218</v>
      </c>
      <c r="D11" s="16" t="s">
        <v>230</v>
      </c>
    </row>
    <row r="12" customFormat="false" ht="15.75" hidden="false" customHeight="true" outlineLevel="0" collapsed="false">
      <c r="A12" s="3" t="s">
        <v>56</v>
      </c>
      <c r="B12" s="9" t="s">
        <v>93</v>
      </c>
      <c r="C12" s="3" t="s">
        <v>218</v>
      </c>
      <c r="D12" s="16"/>
    </row>
    <row r="13" customFormat="false" ht="42" hidden="false" customHeight="true" outlineLevel="0" collapsed="false">
      <c r="A13" s="3" t="s">
        <v>231</v>
      </c>
      <c r="B13" s="9" t="s">
        <v>94</v>
      </c>
      <c r="C13" s="3" t="s">
        <v>218</v>
      </c>
      <c r="D13" s="16" t="s">
        <v>232</v>
      </c>
    </row>
    <row r="14" customFormat="false" ht="15.75" hidden="false" customHeight="true" outlineLevel="0" collapsed="false">
      <c r="A14" s="3" t="s">
        <v>233</v>
      </c>
      <c r="B14" s="9" t="s">
        <v>517</v>
      </c>
      <c r="C14" s="3" t="s">
        <v>218</v>
      </c>
      <c r="D14" s="16" t="s">
        <v>234</v>
      </c>
    </row>
    <row r="15" customFormat="false" ht="42" hidden="false" customHeight="true" outlineLevel="0" collapsed="false">
      <c r="A15" s="3" t="s">
        <v>235</v>
      </c>
      <c r="B15" s="9" t="s">
        <v>407</v>
      </c>
      <c r="C15" s="3" t="s">
        <v>218</v>
      </c>
      <c r="D15" s="16" t="s">
        <v>237</v>
      </c>
    </row>
    <row r="16" customFormat="false" ht="15.75" hidden="false" customHeight="true" outlineLevel="0" collapsed="false">
      <c r="A16" s="3" t="s">
        <v>238</v>
      </c>
      <c r="B16" s="9" t="s">
        <v>382</v>
      </c>
      <c r="C16" s="3" t="s">
        <v>218</v>
      </c>
      <c r="D16" s="16" t="s">
        <v>240</v>
      </c>
    </row>
    <row r="17" customFormat="false" ht="42" hidden="false" customHeight="true" outlineLevel="0" collapsed="false">
      <c r="A17" s="3" t="s">
        <v>241</v>
      </c>
      <c r="B17" s="9" t="s">
        <v>86</v>
      </c>
      <c r="C17" s="3" t="s">
        <v>218</v>
      </c>
      <c r="D17" s="16" t="s">
        <v>242</v>
      </c>
    </row>
    <row r="18" customFormat="false" ht="15.75" hidden="false" customHeight="true" outlineLevel="0" collapsed="false">
      <c r="A18" s="3" t="s">
        <v>62</v>
      </c>
      <c r="B18" s="11" t="n">
        <v>0.005</v>
      </c>
      <c r="C18" s="3" t="s">
        <v>218</v>
      </c>
      <c r="D18" s="16" t="s">
        <v>243</v>
      </c>
    </row>
    <row r="19" customFormat="false" ht="15.75" hidden="false" customHeight="true" outlineLevel="0" collapsed="false">
      <c r="A19" s="3" t="s">
        <v>63</v>
      </c>
      <c r="B19" s="11" t="n">
        <v>0.005</v>
      </c>
      <c r="C19" s="3" t="s">
        <v>218</v>
      </c>
      <c r="D19" s="16"/>
    </row>
    <row r="20" customFormat="false" ht="15.75" hidden="false" customHeight="true" outlineLevel="0" collapsed="false">
      <c r="A20" s="3" t="s">
        <v>64</v>
      </c>
      <c r="B20" s="11" t="n">
        <v>0</v>
      </c>
      <c r="C20" s="3" t="s">
        <v>218</v>
      </c>
      <c r="D20" s="16" t="s">
        <v>244</v>
      </c>
    </row>
    <row r="21" customFormat="false" ht="15.75" hidden="false" customHeight="true" outlineLevel="0" collapsed="false">
      <c r="A21" s="3" t="s">
        <v>65</v>
      </c>
      <c r="B21" s="10"/>
      <c r="C21" s="3" t="s">
        <v>220</v>
      </c>
      <c r="D21" s="16" t="s">
        <v>245</v>
      </c>
    </row>
    <row r="22" customFormat="false" ht="15.75" hidden="false" customHeight="true" outlineLevel="0" collapsed="false">
      <c r="A22" s="3" t="s">
        <v>66</v>
      </c>
      <c r="B22" s="10"/>
      <c r="C22" s="3" t="s">
        <v>220</v>
      </c>
      <c r="D22" s="16" t="s">
        <v>245</v>
      </c>
    </row>
    <row r="23" customFormat="false" ht="15.75" hidden="false" customHeight="true" outlineLevel="0" collapsed="false">
      <c r="A23" s="3" t="s">
        <v>67</v>
      </c>
      <c r="B23" s="10"/>
      <c r="C23" s="3" t="s">
        <v>220</v>
      </c>
      <c r="D23" s="16" t="s">
        <v>246</v>
      </c>
    </row>
    <row r="24" customFormat="false" ht="42" hidden="false" customHeight="true" outlineLevel="0" collapsed="false">
      <c r="A24" s="3" t="s">
        <v>247</v>
      </c>
      <c r="B24" s="10"/>
      <c r="C24" s="3" t="s">
        <v>248</v>
      </c>
      <c r="D24" s="16" t="s">
        <v>249</v>
      </c>
    </row>
    <row r="25" customFormat="false" ht="42" hidden="false" customHeight="true" outlineLevel="0" collapsed="false">
      <c r="A25" s="3" t="s">
        <v>250</v>
      </c>
      <c r="B25" s="9" t="s">
        <v>95</v>
      </c>
      <c r="C25" s="3" t="s">
        <v>218</v>
      </c>
      <c r="D25" s="16" t="s">
        <v>253</v>
      </c>
    </row>
    <row r="26" customFormat="false" ht="15.75" hidden="false" customHeight="true" outlineLevel="0" collapsed="false">
      <c r="A26" s="3" t="s">
        <v>72</v>
      </c>
      <c r="B26" s="10"/>
      <c r="C26" s="3" t="s">
        <v>248</v>
      </c>
      <c r="D26" s="16" t="s">
        <v>255</v>
      </c>
    </row>
    <row r="27" customFormat="false" ht="15.75" hidden="false" customHeight="true" outlineLevel="0" collapsed="false">
      <c r="A27" s="3" t="s">
        <v>256</v>
      </c>
      <c r="B27" s="9"/>
      <c r="C27" s="3" t="s">
        <v>248</v>
      </c>
      <c r="D27" s="16" t="s">
        <v>257</v>
      </c>
    </row>
    <row r="28" customFormat="false" ht="42" hidden="false" customHeight="true" outlineLevel="0" collapsed="false">
      <c r="A28" s="3" t="s">
        <v>258</v>
      </c>
      <c r="B28" s="9" t="s">
        <v>518</v>
      </c>
      <c r="C28" s="3" t="s">
        <v>218</v>
      </c>
      <c r="D28" s="16" t="s">
        <v>260</v>
      </c>
    </row>
    <row r="29" customFormat="false" ht="15.75" hidden="false" customHeight="true" outlineLevel="0" collapsed="false">
      <c r="A29" s="3" t="s">
        <v>75</v>
      </c>
      <c r="B29" s="10"/>
      <c r="C29" s="3" t="s">
        <v>220</v>
      </c>
      <c r="D29" s="16" t="s">
        <v>261</v>
      </c>
    </row>
    <row r="30" customFormat="false" ht="15.75" hidden="false" customHeight="true" outlineLevel="0" collapsed="false">
      <c r="A30" s="3" t="s">
        <v>76</v>
      </c>
      <c r="B30" s="10"/>
      <c r="C30" s="3" t="s">
        <v>220</v>
      </c>
      <c r="D30" s="16" t="s">
        <v>262</v>
      </c>
    </row>
    <row r="31" customFormat="false" ht="42" hidden="false" customHeight="true" outlineLevel="0" collapsed="false">
      <c r="A31" s="3" t="s">
        <v>263</v>
      </c>
      <c r="B31" s="10"/>
      <c r="C31" s="3" t="s">
        <v>220</v>
      </c>
      <c r="D31" s="16" t="s">
        <v>264</v>
      </c>
    </row>
    <row r="33" customFormat="false" ht="15" hidden="false" customHeight="false" outlineLevel="0" collapsed="false">
      <c r="A33" s="14" t="s">
        <v>265</v>
      </c>
    </row>
    <row r="34" customFormat="false" ht="15" hidden="false" customHeight="false" outlineLevel="0" collapsed="false">
      <c r="A34" s="15" t="s">
        <v>213</v>
      </c>
      <c r="B34" s="15"/>
      <c r="C34" s="15" t="s">
        <v>214</v>
      </c>
      <c r="D34" s="15"/>
      <c r="E34" s="15" t="s">
        <v>14</v>
      </c>
    </row>
    <row r="35" customFormat="false" ht="15" hidden="false" customHeight="false" outlineLevel="0" collapsed="false">
      <c r="A35" s="3" t="s">
        <v>266</v>
      </c>
      <c r="C35" s="17" t="n">
        <v>8500000</v>
      </c>
      <c r="E35" s="16" t="s">
        <v>267</v>
      </c>
    </row>
    <row r="36" customFormat="false" ht="15" hidden="false" customHeight="false" outlineLevel="0" collapsed="false">
      <c r="A36" s="3" t="s">
        <v>268</v>
      </c>
      <c r="C36" s="7" t="s">
        <v>409</v>
      </c>
      <c r="E36" s="16"/>
    </row>
    <row r="37" customFormat="false" ht="15" hidden="false" customHeight="false" outlineLevel="0" collapsed="false">
      <c r="A37" s="3" t="s">
        <v>270</v>
      </c>
      <c r="C37" s="7" t="s">
        <v>410</v>
      </c>
      <c r="E37" s="16"/>
    </row>
    <row r="38" customFormat="false" ht="15" hidden="false" customHeight="false" outlineLevel="0" collapsed="false">
      <c r="A38" s="3" t="s">
        <v>272</v>
      </c>
      <c r="C38" s="7" t="s">
        <v>383</v>
      </c>
      <c r="E38" s="16" t="s">
        <v>274</v>
      </c>
    </row>
    <row r="39" customFormat="false" ht="15" hidden="false" customHeight="false" outlineLevel="0" collapsed="false">
      <c r="A39" s="3" t="s">
        <v>275</v>
      </c>
      <c r="C39" s="19"/>
      <c r="E39" s="16" t="s">
        <v>276</v>
      </c>
    </row>
    <row r="40" customFormat="false" ht="22.35" hidden="false" customHeight="false" outlineLevel="0" collapsed="false">
      <c r="A40" s="3" t="s">
        <v>277</v>
      </c>
      <c r="C40" s="18" t="n">
        <v>0.0125740000002698</v>
      </c>
      <c r="E40" s="16" t="s">
        <v>278</v>
      </c>
    </row>
    <row r="41" customFormat="false" ht="15" hidden="false" customHeight="false" outlineLevel="0" collapsed="false">
      <c r="A41" s="3" t="s">
        <v>279</v>
      </c>
      <c r="C41" s="20" t="n">
        <v>0</v>
      </c>
      <c r="E41" s="16" t="s">
        <v>280</v>
      </c>
    </row>
    <row r="42" customFormat="false" ht="15" hidden="false" customHeight="false" outlineLevel="0" collapsed="false">
      <c r="A42" s="3" t="s">
        <v>281</v>
      </c>
      <c r="C42" s="20" t="n">
        <v>0</v>
      </c>
      <c r="E42" s="16"/>
    </row>
    <row r="43" customFormat="false" ht="15" hidden="false" customHeight="false" outlineLevel="0" collapsed="false">
      <c r="A43" s="3" t="s">
        <v>282</v>
      </c>
      <c r="C43" s="20" t="n">
        <v>0</v>
      </c>
      <c r="E43" s="16"/>
    </row>
    <row r="44" customFormat="false" ht="15" hidden="false" customHeight="false" outlineLevel="0" collapsed="false">
      <c r="A44" s="3" t="s">
        <v>283</v>
      </c>
      <c r="C44" s="20" t="n">
        <v>0</v>
      </c>
      <c r="E44" s="16"/>
    </row>
    <row r="45" customFormat="false" ht="15" hidden="false" customHeight="false" outlineLevel="0" collapsed="false">
      <c r="A45" s="3" t="s">
        <v>238</v>
      </c>
      <c r="C45" s="7" t="s">
        <v>382</v>
      </c>
      <c r="E45" s="16" t="s">
        <v>284</v>
      </c>
    </row>
    <row r="46" customFormat="false" ht="15" hidden="false" customHeight="false" outlineLevel="0" collapsed="false">
      <c r="A46" s="3" t="s">
        <v>231</v>
      </c>
      <c r="C46" s="7" t="s">
        <v>94</v>
      </c>
      <c r="E46" s="16" t="s">
        <v>285</v>
      </c>
    </row>
    <row r="47" customFormat="false" ht="15" hidden="false" customHeight="false" outlineLevel="0" collapsed="false">
      <c r="A47" s="3" t="s">
        <v>235</v>
      </c>
      <c r="C47" s="7" t="s">
        <v>407</v>
      </c>
      <c r="E47" s="16" t="s">
        <v>286</v>
      </c>
    </row>
    <row r="48" customFormat="false" ht="15" hidden="false" customHeight="false" outlineLevel="0" collapsed="false">
      <c r="A48" s="3" t="s">
        <v>258</v>
      </c>
      <c r="C48" s="7" t="s">
        <v>259</v>
      </c>
      <c r="E48" s="16" t="s">
        <v>287</v>
      </c>
    </row>
    <row r="49" customFormat="false" ht="15" hidden="false" customHeight="false" outlineLevel="0" collapsed="false">
      <c r="A49" s="3" t="s">
        <v>288</v>
      </c>
      <c r="C49" s="17" t="n">
        <v>1</v>
      </c>
      <c r="E49" s="16" t="s">
        <v>289</v>
      </c>
    </row>
    <row r="50" customFormat="false" ht="15" hidden="false" customHeight="false" outlineLevel="0" collapsed="false">
      <c r="A50" s="3" t="s">
        <v>290</v>
      </c>
      <c r="C50" s="20" t="n">
        <v>0</v>
      </c>
      <c r="E50" s="16"/>
    </row>
    <row r="51" customFormat="false" ht="15" hidden="false" customHeight="false" outlineLevel="0" collapsed="false">
      <c r="A51" s="3" t="s">
        <v>291</v>
      </c>
      <c r="C51" s="21"/>
      <c r="E51" s="16" t="s">
        <v>292</v>
      </c>
    </row>
    <row r="52" customFormat="false" ht="22.35" hidden="false" customHeight="false" outlineLevel="0" collapsed="false">
      <c r="A52" s="3" t="s">
        <v>250</v>
      </c>
      <c r="C52" s="7" t="s">
        <v>95</v>
      </c>
      <c r="E52" s="16" t="s">
        <v>294</v>
      </c>
    </row>
    <row r="53" customFormat="false" ht="15" hidden="false" customHeight="false" outlineLevel="0" collapsed="false">
      <c r="A53" s="3" t="s">
        <v>295</v>
      </c>
      <c r="C53" s="20" t="n">
        <v>0</v>
      </c>
      <c r="E53" s="16"/>
    </row>
    <row r="54" customFormat="false" ht="15" hidden="false" customHeight="false" outlineLevel="0" collapsed="false">
      <c r="A54" s="3" t="s">
        <v>296</v>
      </c>
      <c r="C54" s="20" t="n">
        <v>0</v>
      </c>
      <c r="E54" s="16" t="s">
        <v>297</v>
      </c>
    </row>
    <row r="56" customFormat="false" ht="15" hidden="false" customHeight="false" outlineLevel="0" collapsed="false">
      <c r="A56" s="14" t="s">
        <v>298</v>
      </c>
    </row>
    <row r="57" customFormat="false" ht="15" hidden="false" customHeight="false" outlineLevel="0" collapsed="false">
      <c r="A57" s="15" t="s">
        <v>299</v>
      </c>
      <c r="B57" s="15" t="s">
        <v>300</v>
      </c>
      <c r="C57" s="15" t="s">
        <v>214</v>
      </c>
      <c r="E57" s="15" t="s">
        <v>216</v>
      </c>
    </row>
    <row r="58" customFormat="false" ht="15" hidden="false" customHeight="false" outlineLevel="0" collapsed="false">
      <c r="A58" s="3" t="s">
        <v>301</v>
      </c>
      <c r="B58" s="16" t="s">
        <v>302</v>
      </c>
      <c r="C58" s="22" t="n">
        <f aca="false">IF($C$45="market rate",$C$39,$C$40)</f>
        <v>0.0125740000002698</v>
      </c>
      <c r="E58" s="16"/>
    </row>
    <row r="59" customFormat="false" ht="22.35" hidden="false" customHeight="false" outlineLevel="0" collapsed="false">
      <c r="A59" s="3" t="s">
        <v>303</v>
      </c>
      <c r="B59" s="16" t="s">
        <v>304</v>
      </c>
      <c r="C59" s="22" t="n">
        <f aca="false">IF($C$47="added to what the sender pays",$C$58/(1+$C$43),$C$58*(1-$C$43))</f>
        <v>0.0125740000002698</v>
      </c>
      <c r="E59" s="16"/>
    </row>
    <row r="60" customFormat="false" ht="15" hidden="false" customHeight="false" outlineLevel="0" collapsed="false">
      <c r="A60" s="3" t="s">
        <v>305</v>
      </c>
      <c r="B60" s="16" t="s">
        <v>306</v>
      </c>
      <c r="C60" s="23" t="n">
        <f aca="false">$C$35*$C$59</f>
        <v>106879.000002294</v>
      </c>
      <c r="E60" s="16" t="s">
        <v>307</v>
      </c>
    </row>
    <row r="61" customFormat="false" ht="15" hidden="false" customHeight="false" outlineLevel="0" collapsed="false">
      <c r="A61" s="3" t="s">
        <v>308</v>
      </c>
      <c r="B61" s="16" t="s">
        <v>309</v>
      </c>
      <c r="C61" s="23" t="n">
        <f aca="false">$C$60*$C$44</f>
        <v>0</v>
      </c>
      <c r="E61" s="16" t="s">
        <v>310</v>
      </c>
    </row>
    <row r="62" customFormat="false" ht="15" hidden="false" customHeight="false" outlineLevel="0" collapsed="false">
      <c r="A62" s="3" t="s">
        <v>311</v>
      </c>
      <c r="B62" s="16" t="s">
        <v>312</v>
      </c>
      <c r="C62" s="23" t="n">
        <f aca="false">$C$60-$C$61</f>
        <v>106879.000002294</v>
      </c>
      <c r="E62" s="16" t="s">
        <v>313</v>
      </c>
    </row>
    <row r="63" customFormat="false" ht="32.8" hidden="false" customHeight="false" outlineLevel="0" collapsed="false">
      <c r="A63" s="3" t="s">
        <v>314</v>
      </c>
      <c r="B63" s="16" t="s">
        <v>315</v>
      </c>
      <c r="C63" s="23" t="n">
        <f aca="false">IF($C$46="NPL's own wallet",$C$35*$C$39,IF($C$46="fee on top of market",$C$35*$C$39*(1-$C$41),$C$35*$C$40))</f>
        <v>106879.000002294</v>
      </c>
      <c r="E63" s="16"/>
    </row>
    <row r="64" customFormat="false" ht="22.35" hidden="false" customHeight="false" outlineLevel="0" collapsed="false">
      <c r="A64" s="3" t="s">
        <v>316</v>
      </c>
      <c r="B64" s="16" t="s">
        <v>317</v>
      </c>
      <c r="C64" s="23" t="n">
        <f aca="false">$C$35*$C$39-$C$63</f>
        <v>-106879.000002294</v>
      </c>
      <c r="E64" s="16"/>
    </row>
    <row r="65" customFormat="false" ht="15" hidden="false" customHeight="false" outlineLevel="0" collapsed="false">
      <c r="A65" s="3" t="s">
        <v>318</v>
      </c>
      <c r="B65" s="16" t="s">
        <v>319</v>
      </c>
      <c r="C65" s="23" t="n">
        <f aca="false">$C$63-$C$62</f>
        <v>0</v>
      </c>
      <c r="E65" s="16" t="s">
        <v>320</v>
      </c>
    </row>
    <row r="66" customFormat="false" ht="15" hidden="false" customHeight="false" outlineLevel="0" collapsed="false">
      <c r="A66" s="3" t="s">
        <v>321</v>
      </c>
      <c r="B66" s="16" t="s">
        <v>322</v>
      </c>
      <c r="C66" s="24" t="n">
        <f aca="false">IF($C$35*$C$39=0,0,$C$65/($C$35*$C$39))</f>
        <v>0</v>
      </c>
      <c r="E66" s="16"/>
    </row>
    <row r="67" customFormat="false" ht="15" hidden="false" customHeight="false" outlineLevel="0" collapsed="false">
      <c r="A67" s="3" t="s">
        <v>323</v>
      </c>
      <c r="B67" s="16" t="s">
        <v>324</v>
      </c>
      <c r="C67" s="6" t="str">
        <f aca="false">IF($C$66&lt;$C$50,"YES — Finance must approve","no")</f>
        <v>no</v>
      </c>
      <c r="E67" s="16"/>
    </row>
    <row r="68" customFormat="false" ht="22.35" hidden="false" customHeight="false" outlineLevel="0" collapsed="false">
      <c r="A68" s="3" t="s">
        <v>325</v>
      </c>
      <c r="B68" s="16" t="s">
        <v>326</v>
      </c>
      <c r="C68" s="23" t="n">
        <f aca="false">IF($C$48="round up",CEILING($C$62,$C$49),IF($C$48="nearest unit",MROUND($C$62,$C$49),IF($C$48="nearest 1,000",MROUND($C$62,$C$49),FLOOR($C$62,$C$49))))</f>
        <v>106879</v>
      </c>
      <c r="E68" s="16" t="s">
        <v>327</v>
      </c>
    </row>
    <row r="69" customFormat="false" ht="23.85" hidden="false" customHeight="false" outlineLevel="0" collapsed="false">
      <c r="A69" s="3" t="s">
        <v>328</v>
      </c>
      <c r="B69" s="16" t="s">
        <v>329</v>
      </c>
      <c r="C69" s="23" t="n">
        <f aca="false">$C$62-$C$68</f>
        <v>2.29364377446473E-006</v>
      </c>
      <c r="E69" s="16"/>
    </row>
    <row r="70" customFormat="false" ht="22.35" hidden="false" customHeight="false" outlineLevel="0" collapsed="false">
      <c r="A70" s="3" t="s">
        <v>330</v>
      </c>
      <c r="B70" s="16" t="s">
        <v>331</v>
      </c>
      <c r="C70" s="22" t="n">
        <f aca="false">IF($C$51="",$C$58,$C$59/(1-$C$51))</f>
        <v>0.0125740000002698</v>
      </c>
      <c r="E70" s="16" t="s">
        <v>332</v>
      </c>
    </row>
    <row r="71" customFormat="false" ht="22.35" hidden="false" customHeight="false" outlineLevel="0" collapsed="false">
      <c r="A71" s="3" t="s">
        <v>333</v>
      </c>
      <c r="B71" s="16" t="s">
        <v>334</v>
      </c>
      <c r="C71" s="23" t="n">
        <f aca="false">IF($C$52="paid back monthly",$C$64*$C$53,0)</f>
        <v>0</v>
      </c>
      <c r="E71" s="16"/>
    </row>
    <row r="72" customFormat="false" ht="15" hidden="false" customHeight="false" outlineLevel="0" collapsed="false">
      <c r="A72" s="3" t="s">
        <v>335</v>
      </c>
      <c r="B72" s="16" t="s">
        <v>336</v>
      </c>
      <c r="C72" s="23" t="n">
        <f aca="false">$C$35*$C$39*$C$54</f>
        <v>0</v>
      </c>
      <c r="E72" s="16" t="s">
        <v>337</v>
      </c>
    </row>
    <row r="73" customFormat="false" ht="23.85" hidden="false" customHeight="false" outlineLevel="0" collapsed="false">
      <c r="A73" s="3" t="s">
        <v>338</v>
      </c>
      <c r="B73" s="16" t="s">
        <v>339</v>
      </c>
      <c r="C73" s="23" t="n">
        <f aca="false">ROUND($C$62+$C$64+$C$65-$C$35*$C$39,6)</f>
        <v>0</v>
      </c>
      <c r="E73" s="16" t="s">
        <v>340</v>
      </c>
    </row>
    <row r="75" customFormat="false" ht="15" hidden="false" customHeight="false" outlineLevel="0" collapsed="false">
      <c r="A75" s="14" t="s">
        <v>341</v>
      </c>
    </row>
    <row r="76" customFormat="false" ht="15" hidden="false" customHeight="false" outlineLevel="0" collapsed="false">
      <c r="A76" s="15" t="s">
        <v>342</v>
      </c>
      <c r="B76" s="15" t="s">
        <v>343</v>
      </c>
      <c r="C76" s="15" t="s">
        <v>344</v>
      </c>
      <c r="D76" s="15" t="s">
        <v>345</v>
      </c>
      <c r="E76" s="15" t="s">
        <v>346</v>
      </c>
    </row>
    <row r="77" customFormat="false" ht="15" hidden="false" customHeight="false" outlineLevel="0" collapsed="false">
      <c r="A77" s="6" t="str">
        <f aca="false">"Client money received at "&amp;$C$38&amp;" ("&amp;$C$36&amp;")"</f>
        <v>Client money received at ALI (INR)</v>
      </c>
      <c r="B77" s="6" t="s">
        <v>347</v>
      </c>
      <c r="C77" s="23" t="n">
        <f aca="false">$C$35</f>
        <v>8500000</v>
      </c>
      <c r="D77" s="25" t="s">
        <v>348</v>
      </c>
      <c r="E77" s="25" t="s">
        <v>349</v>
      </c>
    </row>
    <row r="78" customFormat="false" ht="15" hidden="false" customHeight="false" outlineLevel="0" collapsed="false">
      <c r="A78" s="6" t="str">
        <f aca="false">"Owed to the client's receivers ("&amp;$C$36&amp;")"</f>
        <v>Owed to the client's receivers (INR)</v>
      </c>
      <c r="B78" s="6" t="s">
        <v>350</v>
      </c>
      <c r="C78" s="23" t="n">
        <f aca="false">$C$35</f>
        <v>8500000</v>
      </c>
      <c r="D78" s="25" t="s">
        <v>348</v>
      </c>
      <c r="E78" s="25" t="s">
        <v>349</v>
      </c>
    </row>
    <row r="79" customFormat="false" ht="15" hidden="false" customHeight="false" outlineLevel="0" collapsed="false">
      <c r="A79" s="6" t="str">
        <f aca="false">"Owed to the client's receivers ("&amp;$C$36&amp;")"</f>
        <v>Owed to the client's receivers (INR)</v>
      </c>
      <c r="B79" s="6" t="s">
        <v>347</v>
      </c>
      <c r="C79" s="23" t="n">
        <f aca="false">$C$35</f>
        <v>8500000</v>
      </c>
      <c r="D79" s="25" t="s">
        <v>348</v>
      </c>
      <c r="E79" s="25" t="s">
        <v>351</v>
      </c>
    </row>
    <row r="80" customFormat="false" ht="15" hidden="false" customHeight="false" outlineLevel="0" collapsed="false">
      <c r="A80" s="6" t="str">
        <f aca="false">"Client money received at "&amp;$C$38&amp;" ("&amp;$C$36&amp;")"</f>
        <v>Client money received at ALI (INR)</v>
      </c>
      <c r="B80" s="6" t="s">
        <v>350</v>
      </c>
      <c r="C80" s="23" t="n">
        <f aca="false">$C$35</f>
        <v>8500000</v>
      </c>
      <c r="D80" s="25" t="s">
        <v>348</v>
      </c>
      <c r="E80" s="25" t="s">
        <v>351</v>
      </c>
    </row>
    <row r="81" customFormat="false" ht="15" hidden="false" customHeight="false" outlineLevel="0" collapsed="false">
      <c r="A81" s="6" t="str">
        <f aca="false">"Client money ready to pay out at "&amp;$C$38&amp;" ("&amp;$C$37&amp;")"</f>
        <v>Client money ready to pay out at ALI (USD)</v>
      </c>
      <c r="B81" s="6" t="s">
        <v>347</v>
      </c>
      <c r="C81" s="23" t="n">
        <f aca="false">$C$62</f>
        <v>106879.000002294</v>
      </c>
      <c r="D81" s="25" t="s">
        <v>352</v>
      </c>
      <c r="E81" s="25" t="s">
        <v>353</v>
      </c>
    </row>
    <row r="82" customFormat="false" ht="15" hidden="false" customHeight="false" outlineLevel="0" collapsed="false">
      <c r="A82" s="6" t="str">
        <f aca="false">"NPL's earnings kept at "&amp;$C$38&amp;" ("&amp;$C$37&amp;")"</f>
        <v>NPL's earnings kept at ALI (USD)</v>
      </c>
      <c r="B82" s="6" t="s">
        <v>347</v>
      </c>
      <c r="C82" s="23" t="n">
        <f aca="false">IF($C$52="paid back monthly",0,$C$65)</f>
        <v>0</v>
      </c>
      <c r="D82" s="25" t="s">
        <v>354</v>
      </c>
      <c r="E82" s="25" t="s">
        <v>355</v>
      </c>
    </row>
    <row r="83" customFormat="false" ht="15" hidden="false" customHeight="false" outlineLevel="0" collapsed="false">
      <c r="A83" s="6" t="str">
        <f aca="false">"Owed back to NPL by "&amp;$C$38&amp;" ("&amp;$C$37&amp;")"</f>
        <v>Owed back to NPL by ALI (USD)</v>
      </c>
      <c r="B83" s="6" t="s">
        <v>347</v>
      </c>
      <c r="C83" s="23" t="n">
        <f aca="false">$C$71</f>
        <v>0</v>
      </c>
      <c r="D83" s="25" t="s">
        <v>354</v>
      </c>
      <c r="E83" s="25" t="s">
        <v>356</v>
      </c>
    </row>
    <row r="84" customFormat="false" ht="15" hidden="false" customHeight="false" outlineLevel="0" collapsed="false">
      <c r="A84" s="6" t="str">
        <f aca="false">"Owed to the client's receivers ("&amp;$C$37&amp;")"</f>
        <v>Owed to the client's receivers (USD)</v>
      </c>
      <c r="B84" s="6" t="s">
        <v>350</v>
      </c>
      <c r="C84" s="23" t="n">
        <f aca="false">$C$62</f>
        <v>106879.000002294</v>
      </c>
      <c r="D84" s="25" t="s">
        <v>348</v>
      </c>
      <c r="E84" s="25" t="s">
        <v>353</v>
      </c>
    </row>
    <row r="85" customFormat="false" ht="15" hidden="false" customHeight="false" outlineLevel="0" collapsed="false">
      <c r="A85" s="6" t="str">
        <f aca="false">"NPL's earnings ("&amp;$C$37&amp;")"</f>
        <v>NPL's earnings (USD)</v>
      </c>
      <c r="B85" s="6" t="s">
        <v>350</v>
      </c>
      <c r="C85" s="23" t="n">
        <f aca="false">$C$65+$C$71</f>
        <v>0</v>
      </c>
      <c r="D85" s="25" t="s">
        <v>354</v>
      </c>
      <c r="E85" s="25" t="s">
        <v>357</v>
      </c>
    </row>
    <row r="86" customFormat="false" ht="15" hidden="false" customHeight="false" outlineLevel="0" collapsed="false">
      <c r="A86" s="6" t="str">
        <f aca="false">"Client money in transit from "&amp;$C$38&amp;" ("&amp;$C$37&amp;")"</f>
        <v>Client money in transit from ALI (USD)</v>
      </c>
      <c r="B86" s="6" t="s">
        <v>347</v>
      </c>
      <c r="C86" s="23" t="n">
        <f aca="false">$C$68</f>
        <v>106879</v>
      </c>
      <c r="D86" s="25" t="s">
        <v>348</v>
      </c>
      <c r="E86" s="25" t="s">
        <v>358</v>
      </c>
    </row>
    <row r="87" customFormat="false" ht="15" hidden="false" customHeight="false" outlineLevel="0" collapsed="false">
      <c r="A87" s="6" t="str">
        <f aca="false">"Client money ready to pay out at "&amp;$C$38&amp;" ("&amp;$C$37&amp;")"</f>
        <v>Client money ready to pay out at ALI (USD)</v>
      </c>
      <c r="B87" s="6" t="s">
        <v>350</v>
      </c>
      <c r="C87" s="23" t="n">
        <f aca="false">$C$68</f>
        <v>106879</v>
      </c>
      <c r="D87" s="25" t="s">
        <v>348</v>
      </c>
      <c r="E87" s="25" t="s">
        <v>359</v>
      </c>
    </row>
    <row r="88" customFormat="false" ht="15" hidden="false" customHeight="false" outlineLevel="0" collapsed="false">
      <c r="A88" s="6" t="str">
        <f aca="false">"Owed to the client's receivers ("&amp;$C$37&amp;")"</f>
        <v>Owed to the client's receivers (USD)</v>
      </c>
      <c r="B88" s="6" t="s">
        <v>347</v>
      </c>
      <c r="C88" s="23" t="n">
        <f aca="false">$C$68</f>
        <v>106879</v>
      </c>
      <c r="D88" s="25" t="s">
        <v>348</v>
      </c>
      <c r="E88" s="25" t="s">
        <v>360</v>
      </c>
    </row>
    <row r="89" customFormat="false" ht="15" hidden="false" customHeight="false" outlineLevel="0" collapsed="false">
      <c r="A89" s="6" t="str">
        <f aca="false">"Client money in transit from "&amp;$C$38&amp;" ("&amp;$C$37&amp;")"</f>
        <v>Client money in transit from ALI (USD)</v>
      </c>
      <c r="B89" s="6" t="s">
        <v>350</v>
      </c>
      <c r="C89" s="23" t="n">
        <f aca="false">$C$68</f>
        <v>106879</v>
      </c>
      <c r="D89" s="25" t="s">
        <v>348</v>
      </c>
      <c r="E89" s="25" t="s">
        <v>360</v>
      </c>
    </row>
    <row r="90" customFormat="false" ht="15" hidden="false" customHeight="false" outlineLevel="0" collapsed="false">
      <c r="A90" s="6" t="str">
        <f aca="false">"NPL's earnings ("&amp;$C$37&amp;")"</f>
        <v>NPL's earnings (USD)</v>
      </c>
      <c r="B90" s="6" t="s">
        <v>347</v>
      </c>
      <c r="C90" s="23" t="n">
        <f aca="false">$C$72</f>
        <v>0</v>
      </c>
      <c r="D90" s="25" t="s">
        <v>361</v>
      </c>
      <c r="E90" s="25" t="s">
        <v>362</v>
      </c>
    </row>
    <row r="91" customFormat="false" ht="15" hidden="false" customHeight="false" outlineLevel="0" collapsed="false">
      <c r="A91" s="6" t="str">
        <f aca="false">"Owed to the other party ("&amp;$C$37&amp;")"</f>
        <v>Owed to the other party (USD)</v>
      </c>
      <c r="B91" s="6" t="s">
        <v>350</v>
      </c>
      <c r="C91" s="23" t="n">
        <f aca="false">$C$72</f>
        <v>0</v>
      </c>
      <c r="D91" s="25" t="s">
        <v>361</v>
      </c>
      <c r="E91" s="25" t="s">
        <v>363</v>
      </c>
    </row>
    <row r="92" customFormat="false" ht="30" hidden="false" customHeight="true" outlineLevel="0" collapsed="false">
      <c r="A92" s="26" t="s">
        <v>364</v>
      </c>
      <c r="C92" s="27" t="n">
        <f aca="false">ROUND(SUMIF($B$81:$B$91,"in",$C$81:$C$91)-SUMIF($B$81:$B$91,"out",$C$81:$C$91),6)</f>
        <v>0</v>
      </c>
      <c r="E92" s="16" t="s">
        <v>365</v>
      </c>
    </row>
    <row r="94" customFormat="false" ht="15" hidden="false" customHeight="false" outlineLevel="0" collapsed="false">
      <c r="A94" s="14" t="s">
        <v>366</v>
      </c>
    </row>
    <row r="95" customFormat="false" ht="15" hidden="false" customHeight="false" outlineLevel="0" collapsed="false">
      <c r="A95" s="15" t="s">
        <v>367</v>
      </c>
      <c r="B95" s="15" t="s">
        <v>368</v>
      </c>
      <c r="C95" s="15" t="s">
        <v>369</v>
      </c>
      <c r="D95" s="15" t="s">
        <v>370</v>
      </c>
      <c r="E95" s="15" t="s">
        <v>371</v>
      </c>
    </row>
    <row r="96" customFormat="false" ht="30" hidden="false" customHeight="true" outlineLevel="0" collapsed="false">
      <c r="A96" s="3" t="s">
        <v>420</v>
      </c>
      <c r="B96" s="17" t="n">
        <v>106879.36</v>
      </c>
      <c r="C96" s="23" t="n">
        <f aca="false">$C$60</f>
        <v>106879.000002294</v>
      </c>
      <c r="D96" s="27" t="n">
        <f aca="false">ROUND(C96-B96,2)</f>
        <v>-0.36</v>
      </c>
      <c r="E96" s="16" t="s">
        <v>519</v>
      </c>
    </row>
    <row r="98" customFormat="false" ht="15" hidden="false" customHeight="false" outlineLevel="0" collapsed="false">
      <c r="A98" s="14" t="s">
        <v>374</v>
      </c>
    </row>
    <row r="99" customFormat="false" ht="31.5" hidden="false" customHeight="true" outlineLevel="0" collapsed="false">
      <c r="A99" s="13" t="s">
        <v>375</v>
      </c>
      <c r="B99" s="28" t="s">
        <v>520</v>
      </c>
      <c r="C99" s="28"/>
      <c r="D99" s="28"/>
      <c r="E99" s="28"/>
    </row>
    <row r="100" customFormat="false" ht="31.5" hidden="false" customHeight="true" outlineLevel="0" collapsed="false">
      <c r="A100" s="13" t="s">
        <v>375</v>
      </c>
      <c r="B100" s="28" t="s">
        <v>521</v>
      </c>
      <c r="C100" s="28"/>
      <c r="D100" s="28"/>
      <c r="E100" s="28"/>
    </row>
  </sheetData>
  <mergeCells count="2">
    <mergeCell ref="B99:E99"/>
    <mergeCell ref="B100:E10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522</v>
      </c>
    </row>
    <row r="2" customFormat="false" ht="15" hidden="false" customHeight="false" outlineLevel="0" collapsed="false">
      <c r="A2" s="12" t="s">
        <v>210</v>
      </c>
      <c r="B2" s="13" t="s">
        <v>523</v>
      </c>
    </row>
    <row r="4" customFormat="false" ht="15" hidden="false" customHeight="false" outlineLevel="0" collapsed="false">
      <c r="A4" s="14" t="s">
        <v>212</v>
      </c>
    </row>
    <row r="5" customFormat="false" ht="15" hidden="false" customHeight="false" outlineLevel="0" collapsed="false">
      <c r="A5" s="15" t="s">
        <v>213</v>
      </c>
      <c r="B5" s="15" t="s">
        <v>214</v>
      </c>
      <c r="C5" s="15" t="s">
        <v>215</v>
      </c>
      <c r="D5" s="15" t="s">
        <v>216</v>
      </c>
    </row>
    <row r="6" customFormat="false" ht="15.75" hidden="false" customHeight="true" outlineLevel="0" collapsed="false">
      <c r="A6" s="3" t="s">
        <v>217</v>
      </c>
      <c r="B6" s="9" t="s">
        <v>206</v>
      </c>
      <c r="C6" s="3" t="s">
        <v>218</v>
      </c>
      <c r="D6" s="16" t="s">
        <v>219</v>
      </c>
    </row>
    <row r="7" customFormat="false" ht="42" hidden="false" customHeight="true" outlineLevel="0" collapsed="false">
      <c r="A7" s="3" t="s">
        <v>51</v>
      </c>
      <c r="B7" s="9" t="s">
        <v>524</v>
      </c>
      <c r="C7" s="3" t="s">
        <v>218</v>
      </c>
      <c r="D7" s="16" t="s">
        <v>221</v>
      </c>
    </row>
    <row r="8" customFormat="false" ht="42" hidden="false" customHeight="true" outlineLevel="0" collapsed="false">
      <c r="A8" s="3" t="s">
        <v>52</v>
      </c>
      <c r="B8" s="10"/>
      <c r="C8" s="3" t="s">
        <v>220</v>
      </c>
      <c r="D8" s="16" t="s">
        <v>222</v>
      </c>
    </row>
    <row r="9" customFormat="false" ht="42" hidden="false" customHeight="true" outlineLevel="0" collapsed="false">
      <c r="A9" s="3" t="s">
        <v>223</v>
      </c>
      <c r="B9" s="10"/>
      <c r="C9" s="3" t="s">
        <v>220</v>
      </c>
      <c r="D9" s="16" t="s">
        <v>224</v>
      </c>
    </row>
    <row r="10" customFormat="false" ht="15.75" hidden="false" customHeight="true" outlineLevel="0" collapsed="false">
      <c r="A10" s="3" t="s">
        <v>225</v>
      </c>
      <c r="B10" s="9" t="s">
        <v>226</v>
      </c>
      <c r="C10" s="3" t="s">
        <v>218</v>
      </c>
      <c r="D10" s="16" t="s">
        <v>227</v>
      </c>
    </row>
    <row r="11" customFormat="false" ht="42" hidden="false" customHeight="true" outlineLevel="0" collapsed="false">
      <c r="A11" s="3" t="s">
        <v>228</v>
      </c>
      <c r="B11" s="9" t="s">
        <v>419</v>
      </c>
      <c r="C11" s="3" t="s">
        <v>218</v>
      </c>
      <c r="D11" s="16" t="s">
        <v>230</v>
      </c>
    </row>
    <row r="12" customFormat="false" ht="15.75" hidden="false" customHeight="true" outlineLevel="0" collapsed="false">
      <c r="A12" s="3" t="s">
        <v>56</v>
      </c>
      <c r="B12" s="9" t="s">
        <v>93</v>
      </c>
      <c r="C12" s="3" t="s">
        <v>218</v>
      </c>
      <c r="D12" s="16"/>
    </row>
    <row r="13" customFormat="false" ht="42" hidden="false" customHeight="true" outlineLevel="0" collapsed="false">
      <c r="A13" s="3" t="s">
        <v>231</v>
      </c>
      <c r="B13" s="9" t="s">
        <v>94</v>
      </c>
      <c r="C13" s="3" t="s">
        <v>218</v>
      </c>
      <c r="D13" s="16" t="s">
        <v>232</v>
      </c>
    </row>
    <row r="14" customFormat="false" ht="15.75" hidden="false" customHeight="true" outlineLevel="0" collapsed="false">
      <c r="A14" s="3" t="s">
        <v>233</v>
      </c>
      <c r="B14" s="9" t="s">
        <v>525</v>
      </c>
      <c r="C14" s="3" t="s">
        <v>218</v>
      </c>
      <c r="D14" s="16" t="s">
        <v>234</v>
      </c>
    </row>
    <row r="15" customFormat="false" ht="42" hidden="false" customHeight="true" outlineLevel="0" collapsed="false">
      <c r="A15" s="3" t="s">
        <v>235</v>
      </c>
      <c r="B15" s="9" t="s">
        <v>236</v>
      </c>
      <c r="C15" s="3" t="s">
        <v>218</v>
      </c>
      <c r="D15" s="16" t="s">
        <v>237</v>
      </c>
    </row>
    <row r="16" customFormat="false" ht="15.75" hidden="false" customHeight="true" outlineLevel="0" collapsed="false">
      <c r="A16" s="3" t="s">
        <v>238</v>
      </c>
      <c r="B16" s="9" t="s">
        <v>382</v>
      </c>
      <c r="C16" s="3" t="s">
        <v>218</v>
      </c>
      <c r="D16" s="16" t="s">
        <v>240</v>
      </c>
    </row>
    <row r="17" customFormat="false" ht="42" hidden="false" customHeight="true" outlineLevel="0" collapsed="false">
      <c r="A17" s="3" t="s">
        <v>241</v>
      </c>
      <c r="B17" s="9" t="s">
        <v>86</v>
      </c>
      <c r="C17" s="3" t="s">
        <v>218</v>
      </c>
      <c r="D17" s="16" t="s">
        <v>242</v>
      </c>
    </row>
    <row r="18" customFormat="false" ht="15.75" hidden="false" customHeight="true" outlineLevel="0" collapsed="false">
      <c r="A18" s="3" t="s">
        <v>62</v>
      </c>
      <c r="B18" s="11" t="n">
        <v>0</v>
      </c>
      <c r="C18" s="3" t="s">
        <v>218</v>
      </c>
      <c r="D18" s="16" t="s">
        <v>243</v>
      </c>
    </row>
    <row r="19" customFormat="false" ht="15.75" hidden="false" customHeight="true" outlineLevel="0" collapsed="false">
      <c r="A19" s="3" t="s">
        <v>63</v>
      </c>
      <c r="B19" s="11" t="n">
        <v>0</v>
      </c>
      <c r="C19" s="3" t="s">
        <v>218</v>
      </c>
      <c r="D19" s="16"/>
    </row>
    <row r="20" customFormat="false" ht="15.75" hidden="false" customHeight="true" outlineLevel="0" collapsed="false">
      <c r="A20" s="3" t="s">
        <v>64</v>
      </c>
      <c r="B20" s="11" t="n">
        <v>0</v>
      </c>
      <c r="C20" s="3" t="s">
        <v>218</v>
      </c>
      <c r="D20" s="16" t="s">
        <v>244</v>
      </c>
    </row>
    <row r="21" customFormat="false" ht="15.75" hidden="false" customHeight="true" outlineLevel="0" collapsed="false">
      <c r="A21" s="3" t="s">
        <v>65</v>
      </c>
      <c r="B21" s="10"/>
      <c r="C21" s="3" t="s">
        <v>220</v>
      </c>
      <c r="D21" s="16" t="s">
        <v>245</v>
      </c>
    </row>
    <row r="22" customFormat="false" ht="15.75" hidden="false" customHeight="true" outlineLevel="0" collapsed="false">
      <c r="A22" s="3" t="s">
        <v>66</v>
      </c>
      <c r="B22" s="10"/>
      <c r="C22" s="3" t="s">
        <v>220</v>
      </c>
      <c r="D22" s="16" t="s">
        <v>245</v>
      </c>
    </row>
    <row r="23" customFormat="false" ht="15.75" hidden="false" customHeight="true" outlineLevel="0" collapsed="false">
      <c r="A23" s="3" t="s">
        <v>67</v>
      </c>
      <c r="B23" s="11" t="n">
        <v>0</v>
      </c>
      <c r="C23" s="3" t="s">
        <v>218</v>
      </c>
      <c r="D23" s="16" t="s">
        <v>246</v>
      </c>
    </row>
    <row r="24" customFormat="false" ht="42" hidden="false" customHeight="true" outlineLevel="0" collapsed="false">
      <c r="A24" s="3" t="s">
        <v>247</v>
      </c>
      <c r="B24" s="10"/>
      <c r="C24" s="3" t="s">
        <v>248</v>
      </c>
      <c r="D24" s="16" t="s">
        <v>249</v>
      </c>
    </row>
    <row r="25" customFormat="false" ht="42" hidden="false" customHeight="true" outlineLevel="0" collapsed="false">
      <c r="A25" s="3" t="s">
        <v>250</v>
      </c>
      <c r="B25" s="9" t="s">
        <v>95</v>
      </c>
      <c r="C25" s="3" t="s">
        <v>218</v>
      </c>
      <c r="D25" s="16" t="s">
        <v>253</v>
      </c>
    </row>
    <row r="26" customFormat="false" ht="15.75" hidden="false" customHeight="true" outlineLevel="0" collapsed="false">
      <c r="A26" s="3" t="s">
        <v>72</v>
      </c>
      <c r="B26" s="10"/>
      <c r="C26" s="3" t="s">
        <v>248</v>
      </c>
      <c r="D26" s="16" t="s">
        <v>255</v>
      </c>
    </row>
    <row r="27" customFormat="false" ht="15.75" hidden="false" customHeight="true" outlineLevel="0" collapsed="false">
      <c r="A27" s="3" t="s">
        <v>256</v>
      </c>
      <c r="B27" s="9"/>
      <c r="C27" s="3" t="s">
        <v>248</v>
      </c>
      <c r="D27" s="16" t="s">
        <v>257</v>
      </c>
    </row>
    <row r="28" customFormat="false" ht="42" hidden="false" customHeight="true" outlineLevel="0" collapsed="false">
      <c r="A28" s="3" t="s">
        <v>258</v>
      </c>
      <c r="B28" s="9" t="s">
        <v>259</v>
      </c>
      <c r="C28" s="3" t="s">
        <v>218</v>
      </c>
      <c r="D28" s="16" t="s">
        <v>260</v>
      </c>
    </row>
    <row r="29" customFormat="false" ht="15.75" hidden="false" customHeight="true" outlineLevel="0" collapsed="false">
      <c r="A29" s="3" t="s">
        <v>75</v>
      </c>
      <c r="B29" s="10"/>
      <c r="C29" s="3" t="s">
        <v>220</v>
      </c>
      <c r="D29" s="16" t="s">
        <v>261</v>
      </c>
    </row>
    <row r="30" customFormat="false" ht="15.75" hidden="false" customHeight="true" outlineLevel="0" collapsed="false">
      <c r="A30" s="3" t="s">
        <v>76</v>
      </c>
      <c r="B30" s="10"/>
      <c r="C30" s="3" t="s">
        <v>220</v>
      </c>
      <c r="D30" s="16" t="s">
        <v>262</v>
      </c>
    </row>
    <row r="31" customFormat="false" ht="42" hidden="false" customHeight="true" outlineLevel="0" collapsed="false">
      <c r="A31" s="3" t="s">
        <v>263</v>
      </c>
      <c r="B31" s="10"/>
      <c r="C31" s="3" t="s">
        <v>220</v>
      </c>
      <c r="D31" s="16" t="s">
        <v>264</v>
      </c>
    </row>
    <row r="33" customFormat="false" ht="15" hidden="false" customHeight="false" outlineLevel="0" collapsed="false">
      <c r="A33" s="14" t="s">
        <v>265</v>
      </c>
    </row>
    <row r="34" customFormat="false" ht="15" hidden="false" customHeight="false" outlineLevel="0" collapsed="false">
      <c r="A34" s="15" t="s">
        <v>213</v>
      </c>
      <c r="B34" s="15"/>
      <c r="C34" s="15" t="s">
        <v>214</v>
      </c>
      <c r="D34" s="15"/>
      <c r="E34" s="15" t="s">
        <v>14</v>
      </c>
    </row>
    <row r="35" customFormat="false" ht="15" hidden="false" customHeight="false" outlineLevel="0" collapsed="false">
      <c r="A35" s="3" t="s">
        <v>266</v>
      </c>
      <c r="C35" s="17" t="n">
        <v>10000</v>
      </c>
      <c r="E35" s="16" t="s">
        <v>267</v>
      </c>
    </row>
    <row r="36" customFormat="false" ht="15" hidden="false" customHeight="false" outlineLevel="0" collapsed="false">
      <c r="A36" s="3" t="s">
        <v>268</v>
      </c>
      <c r="C36" s="7" t="s">
        <v>269</v>
      </c>
      <c r="E36" s="16"/>
    </row>
    <row r="37" customFormat="false" ht="15" hidden="false" customHeight="false" outlineLevel="0" collapsed="false">
      <c r="A37" s="3" t="s">
        <v>270</v>
      </c>
      <c r="C37" s="7" t="s">
        <v>410</v>
      </c>
      <c r="E37" s="16"/>
    </row>
    <row r="38" customFormat="false" ht="15" hidden="false" customHeight="false" outlineLevel="0" collapsed="false">
      <c r="A38" s="3" t="s">
        <v>272</v>
      </c>
      <c r="C38" s="7" t="s">
        <v>383</v>
      </c>
      <c r="E38" s="16" t="s">
        <v>274</v>
      </c>
    </row>
    <row r="39" customFormat="false" ht="15" hidden="false" customHeight="false" outlineLevel="0" collapsed="false">
      <c r="A39" s="3" t="s">
        <v>275</v>
      </c>
      <c r="C39" s="18" t="n">
        <v>1</v>
      </c>
      <c r="E39" s="16" t="s">
        <v>276</v>
      </c>
    </row>
    <row r="40" customFormat="false" ht="22.35" hidden="false" customHeight="false" outlineLevel="0" collapsed="false">
      <c r="A40" s="3" t="s">
        <v>277</v>
      </c>
      <c r="C40" s="18" t="n">
        <v>0.996</v>
      </c>
      <c r="E40" s="16" t="s">
        <v>278</v>
      </c>
    </row>
    <row r="41" customFormat="false" ht="15" hidden="false" customHeight="false" outlineLevel="0" collapsed="false">
      <c r="A41" s="3" t="s">
        <v>279</v>
      </c>
      <c r="C41" s="20" t="n">
        <v>0</v>
      </c>
      <c r="E41" s="16" t="s">
        <v>280</v>
      </c>
    </row>
    <row r="42" customFormat="false" ht="15" hidden="false" customHeight="false" outlineLevel="0" collapsed="false">
      <c r="A42" s="3" t="s">
        <v>281</v>
      </c>
      <c r="C42" s="20" t="n">
        <v>0</v>
      </c>
      <c r="E42" s="16"/>
    </row>
    <row r="43" customFormat="false" ht="15" hidden="false" customHeight="false" outlineLevel="0" collapsed="false">
      <c r="A43" s="3" t="s">
        <v>282</v>
      </c>
      <c r="C43" s="20" t="n">
        <v>0</v>
      </c>
      <c r="E43" s="16"/>
    </row>
    <row r="44" customFormat="false" ht="15" hidden="false" customHeight="false" outlineLevel="0" collapsed="false">
      <c r="A44" s="3" t="s">
        <v>283</v>
      </c>
      <c r="C44" s="20" t="n">
        <v>0</v>
      </c>
      <c r="E44" s="16"/>
    </row>
    <row r="45" customFormat="false" ht="15" hidden="false" customHeight="false" outlineLevel="0" collapsed="false">
      <c r="A45" s="3" t="s">
        <v>238</v>
      </c>
      <c r="C45" s="7" t="s">
        <v>382</v>
      </c>
      <c r="E45" s="16" t="s">
        <v>284</v>
      </c>
    </row>
    <row r="46" customFormat="false" ht="15" hidden="false" customHeight="false" outlineLevel="0" collapsed="false">
      <c r="A46" s="3" t="s">
        <v>231</v>
      </c>
      <c r="C46" s="7" t="s">
        <v>94</v>
      </c>
      <c r="E46" s="16" t="s">
        <v>285</v>
      </c>
    </row>
    <row r="47" customFormat="false" ht="15" hidden="false" customHeight="false" outlineLevel="0" collapsed="false">
      <c r="A47" s="3" t="s">
        <v>235</v>
      </c>
      <c r="C47" s="7" t="s">
        <v>236</v>
      </c>
      <c r="E47" s="16" t="s">
        <v>286</v>
      </c>
    </row>
    <row r="48" customFormat="false" ht="15" hidden="false" customHeight="false" outlineLevel="0" collapsed="false">
      <c r="A48" s="3" t="s">
        <v>258</v>
      </c>
      <c r="C48" s="7" t="s">
        <v>259</v>
      </c>
      <c r="E48" s="16" t="s">
        <v>287</v>
      </c>
    </row>
    <row r="49" customFormat="false" ht="15" hidden="false" customHeight="false" outlineLevel="0" collapsed="false">
      <c r="A49" s="3" t="s">
        <v>288</v>
      </c>
      <c r="C49" s="17" t="n">
        <v>1</v>
      </c>
      <c r="E49" s="16" t="s">
        <v>289</v>
      </c>
    </row>
    <row r="50" customFormat="false" ht="15" hidden="false" customHeight="false" outlineLevel="0" collapsed="false">
      <c r="A50" s="3" t="s">
        <v>290</v>
      </c>
      <c r="C50" s="20" t="n">
        <v>0</v>
      </c>
      <c r="E50" s="16"/>
    </row>
    <row r="51" customFormat="false" ht="15" hidden="false" customHeight="false" outlineLevel="0" collapsed="false">
      <c r="A51" s="3" t="s">
        <v>291</v>
      </c>
      <c r="C51" s="21"/>
      <c r="E51" s="16" t="s">
        <v>292</v>
      </c>
    </row>
    <row r="52" customFormat="false" ht="22.35" hidden="false" customHeight="false" outlineLevel="0" collapsed="false">
      <c r="A52" s="3" t="s">
        <v>250</v>
      </c>
      <c r="C52" s="7" t="s">
        <v>95</v>
      </c>
      <c r="E52" s="16" t="s">
        <v>294</v>
      </c>
    </row>
    <row r="53" customFormat="false" ht="15" hidden="false" customHeight="false" outlineLevel="0" collapsed="false">
      <c r="A53" s="3" t="s">
        <v>295</v>
      </c>
      <c r="C53" s="20" t="n">
        <v>0</v>
      </c>
      <c r="E53" s="16"/>
    </row>
    <row r="54" customFormat="false" ht="15" hidden="false" customHeight="false" outlineLevel="0" collapsed="false">
      <c r="A54" s="3" t="s">
        <v>296</v>
      </c>
      <c r="C54" s="20" t="n">
        <v>0</v>
      </c>
      <c r="E54" s="16" t="s">
        <v>297</v>
      </c>
    </row>
    <row r="56" customFormat="false" ht="15" hidden="false" customHeight="false" outlineLevel="0" collapsed="false">
      <c r="A56" s="14" t="s">
        <v>298</v>
      </c>
    </row>
    <row r="57" customFormat="false" ht="15" hidden="false" customHeight="false" outlineLevel="0" collapsed="false">
      <c r="A57" s="15" t="s">
        <v>299</v>
      </c>
      <c r="B57" s="15" t="s">
        <v>300</v>
      </c>
      <c r="C57" s="15" t="s">
        <v>214</v>
      </c>
      <c r="E57" s="15" t="s">
        <v>216</v>
      </c>
    </row>
    <row r="58" customFormat="false" ht="15" hidden="false" customHeight="false" outlineLevel="0" collapsed="false">
      <c r="A58" s="3" t="s">
        <v>301</v>
      </c>
      <c r="B58" s="16" t="s">
        <v>302</v>
      </c>
      <c r="C58" s="22" t="n">
        <f aca="false">IF($C$45="market rate",$C$39,$C$40)</f>
        <v>0.996</v>
      </c>
      <c r="E58" s="16"/>
    </row>
    <row r="59" customFormat="false" ht="22.35" hidden="false" customHeight="false" outlineLevel="0" collapsed="false">
      <c r="A59" s="3" t="s">
        <v>303</v>
      </c>
      <c r="B59" s="16" t="s">
        <v>304</v>
      </c>
      <c r="C59" s="22" t="n">
        <f aca="false">IF($C$47="added to what the sender pays",$C$58/(1+$C$43),$C$58*(1-$C$43))</f>
        <v>0.996</v>
      </c>
      <c r="E59" s="16"/>
    </row>
    <row r="60" customFormat="false" ht="15" hidden="false" customHeight="false" outlineLevel="0" collapsed="false">
      <c r="A60" s="3" t="s">
        <v>305</v>
      </c>
      <c r="B60" s="16" t="s">
        <v>306</v>
      </c>
      <c r="C60" s="23" t="n">
        <f aca="false">$C$35*$C$59</f>
        <v>9960</v>
      </c>
      <c r="E60" s="16" t="s">
        <v>307</v>
      </c>
    </row>
    <row r="61" customFormat="false" ht="15" hidden="false" customHeight="false" outlineLevel="0" collapsed="false">
      <c r="A61" s="3" t="s">
        <v>308</v>
      </c>
      <c r="B61" s="16" t="s">
        <v>309</v>
      </c>
      <c r="C61" s="23" t="n">
        <f aca="false">$C$60*$C$44</f>
        <v>0</v>
      </c>
      <c r="E61" s="16" t="s">
        <v>310</v>
      </c>
    </row>
    <row r="62" customFormat="false" ht="15" hidden="false" customHeight="false" outlineLevel="0" collapsed="false">
      <c r="A62" s="3" t="s">
        <v>311</v>
      </c>
      <c r="B62" s="16" t="s">
        <v>312</v>
      </c>
      <c r="C62" s="23" t="n">
        <f aca="false">$C$60-$C$61</f>
        <v>9960</v>
      </c>
      <c r="E62" s="16" t="s">
        <v>313</v>
      </c>
    </row>
    <row r="63" customFormat="false" ht="32.8" hidden="false" customHeight="false" outlineLevel="0" collapsed="false">
      <c r="A63" s="3" t="s">
        <v>314</v>
      </c>
      <c r="B63" s="16" t="s">
        <v>315</v>
      </c>
      <c r="C63" s="23" t="n">
        <f aca="false">IF($C$46="NPL's own wallet",$C$35*$C$39,IF($C$46="fee on top of market",$C$35*$C$39*(1-$C$41),$C$35*$C$40))</f>
        <v>9960</v>
      </c>
      <c r="E63" s="16"/>
    </row>
    <row r="64" customFormat="false" ht="22.35" hidden="false" customHeight="false" outlineLevel="0" collapsed="false">
      <c r="A64" s="3" t="s">
        <v>316</v>
      </c>
      <c r="B64" s="16" t="s">
        <v>317</v>
      </c>
      <c r="C64" s="23" t="n">
        <f aca="false">$C$35*$C$39-$C$63</f>
        <v>40</v>
      </c>
      <c r="E64" s="16"/>
    </row>
    <row r="65" customFormat="false" ht="15" hidden="false" customHeight="false" outlineLevel="0" collapsed="false">
      <c r="A65" s="3" t="s">
        <v>318</v>
      </c>
      <c r="B65" s="16" t="s">
        <v>319</v>
      </c>
      <c r="C65" s="23" t="n">
        <f aca="false">$C$63-$C$62</f>
        <v>0</v>
      </c>
      <c r="E65" s="16" t="s">
        <v>320</v>
      </c>
    </row>
    <row r="66" customFormat="false" ht="15" hidden="false" customHeight="false" outlineLevel="0" collapsed="false">
      <c r="A66" s="3" t="s">
        <v>321</v>
      </c>
      <c r="B66" s="16" t="s">
        <v>322</v>
      </c>
      <c r="C66" s="24" t="n">
        <f aca="false">IF($C$35*$C$39=0,0,$C$65/($C$35*$C$39))</f>
        <v>0</v>
      </c>
      <c r="E66" s="16"/>
    </row>
    <row r="67" customFormat="false" ht="15" hidden="false" customHeight="false" outlineLevel="0" collapsed="false">
      <c r="A67" s="3" t="s">
        <v>323</v>
      </c>
      <c r="B67" s="16" t="s">
        <v>324</v>
      </c>
      <c r="C67" s="6" t="str">
        <f aca="false">IF($C$66&lt;$C$50,"YES — Finance must approve","no")</f>
        <v>no</v>
      </c>
      <c r="E67" s="16"/>
    </row>
    <row r="68" customFormat="false" ht="22.35" hidden="false" customHeight="false" outlineLevel="0" collapsed="false">
      <c r="A68" s="3" t="s">
        <v>325</v>
      </c>
      <c r="B68" s="16" t="s">
        <v>326</v>
      </c>
      <c r="C68" s="23" t="n">
        <f aca="false">IF($C$48="round up",CEILING($C$62,$C$49),IF($C$48="nearest unit",MROUND($C$62,$C$49),IF($C$48="nearest 1,000",MROUND($C$62,$C$49),FLOOR($C$62,$C$49))))</f>
        <v>9960</v>
      </c>
      <c r="E68" s="16" t="s">
        <v>327</v>
      </c>
    </row>
    <row r="69" customFormat="false" ht="23.85" hidden="false" customHeight="false" outlineLevel="0" collapsed="false">
      <c r="A69" s="3" t="s">
        <v>328</v>
      </c>
      <c r="B69" s="16" t="s">
        <v>329</v>
      </c>
      <c r="C69" s="23" t="n">
        <f aca="false">$C$62-$C$68</f>
        <v>0</v>
      </c>
      <c r="E69" s="16"/>
    </row>
    <row r="70" customFormat="false" ht="22.35" hidden="false" customHeight="false" outlineLevel="0" collapsed="false">
      <c r="A70" s="3" t="s">
        <v>330</v>
      </c>
      <c r="B70" s="16" t="s">
        <v>331</v>
      </c>
      <c r="C70" s="22" t="n">
        <f aca="false">IF($C$51="",$C$58,$C$59/(1-$C$51))</f>
        <v>0.996</v>
      </c>
      <c r="E70" s="16" t="s">
        <v>332</v>
      </c>
    </row>
    <row r="71" customFormat="false" ht="22.35" hidden="false" customHeight="false" outlineLevel="0" collapsed="false">
      <c r="A71" s="3" t="s">
        <v>333</v>
      </c>
      <c r="B71" s="16" t="s">
        <v>334</v>
      </c>
      <c r="C71" s="23" t="n">
        <f aca="false">IF($C$52="paid back monthly",$C$64*$C$53,0)</f>
        <v>0</v>
      </c>
      <c r="E71" s="16"/>
    </row>
    <row r="72" customFormat="false" ht="15" hidden="false" customHeight="false" outlineLevel="0" collapsed="false">
      <c r="A72" s="3" t="s">
        <v>335</v>
      </c>
      <c r="B72" s="16" t="s">
        <v>336</v>
      </c>
      <c r="C72" s="23" t="n">
        <f aca="false">$C$35*$C$39*$C$54</f>
        <v>0</v>
      </c>
      <c r="E72" s="16" t="s">
        <v>337</v>
      </c>
    </row>
    <row r="73" customFormat="false" ht="23.85" hidden="false" customHeight="false" outlineLevel="0" collapsed="false">
      <c r="A73" s="3" t="s">
        <v>338</v>
      </c>
      <c r="B73" s="16" t="s">
        <v>339</v>
      </c>
      <c r="C73" s="23" t="n">
        <f aca="false">ROUND($C$62+$C$64+$C$65-$C$35*$C$39,6)</f>
        <v>0</v>
      </c>
      <c r="E73" s="16" t="s">
        <v>340</v>
      </c>
    </row>
    <row r="75" customFormat="false" ht="15" hidden="false" customHeight="false" outlineLevel="0" collapsed="false">
      <c r="A75" s="14" t="s">
        <v>341</v>
      </c>
    </row>
    <row r="76" customFormat="false" ht="15" hidden="false" customHeight="false" outlineLevel="0" collapsed="false">
      <c r="A76" s="15" t="s">
        <v>342</v>
      </c>
      <c r="B76" s="15" t="s">
        <v>343</v>
      </c>
      <c r="C76" s="15" t="s">
        <v>344</v>
      </c>
      <c r="D76" s="15" t="s">
        <v>345</v>
      </c>
      <c r="E76" s="15" t="s">
        <v>346</v>
      </c>
    </row>
    <row r="77" customFormat="false" ht="15" hidden="false" customHeight="false" outlineLevel="0" collapsed="false">
      <c r="A77" s="6" t="str">
        <f aca="false">"Client money received at "&amp;$C$38&amp;" ("&amp;$C$36&amp;")"</f>
        <v>Client money received at ALI (USDT)</v>
      </c>
      <c r="B77" s="6" t="s">
        <v>347</v>
      </c>
      <c r="C77" s="23" t="n">
        <f aca="false">$C$35</f>
        <v>10000</v>
      </c>
      <c r="D77" s="25" t="s">
        <v>348</v>
      </c>
      <c r="E77" s="25" t="s">
        <v>349</v>
      </c>
    </row>
    <row r="78" customFormat="false" ht="15" hidden="false" customHeight="false" outlineLevel="0" collapsed="false">
      <c r="A78" s="6" t="str">
        <f aca="false">"Owed to the client's receivers ("&amp;$C$36&amp;")"</f>
        <v>Owed to the client's receivers (USDT)</v>
      </c>
      <c r="B78" s="6" t="s">
        <v>350</v>
      </c>
      <c r="C78" s="23" t="n">
        <f aca="false">$C$35</f>
        <v>10000</v>
      </c>
      <c r="D78" s="25" t="s">
        <v>348</v>
      </c>
      <c r="E78" s="25" t="s">
        <v>349</v>
      </c>
    </row>
    <row r="79" customFormat="false" ht="15" hidden="false" customHeight="false" outlineLevel="0" collapsed="false">
      <c r="A79" s="6" t="str">
        <f aca="false">"Owed to the client's receivers ("&amp;$C$36&amp;")"</f>
        <v>Owed to the client's receivers (USDT)</v>
      </c>
      <c r="B79" s="6" t="s">
        <v>347</v>
      </c>
      <c r="C79" s="23" t="n">
        <f aca="false">$C$35</f>
        <v>10000</v>
      </c>
      <c r="D79" s="25" t="s">
        <v>348</v>
      </c>
      <c r="E79" s="25" t="s">
        <v>351</v>
      </c>
    </row>
    <row r="80" customFormat="false" ht="15" hidden="false" customHeight="false" outlineLevel="0" collapsed="false">
      <c r="A80" s="6" t="str">
        <f aca="false">"Client money received at "&amp;$C$38&amp;" ("&amp;$C$36&amp;")"</f>
        <v>Client money received at ALI (USDT)</v>
      </c>
      <c r="B80" s="6" t="s">
        <v>350</v>
      </c>
      <c r="C80" s="23" t="n">
        <f aca="false">$C$35</f>
        <v>10000</v>
      </c>
      <c r="D80" s="25" t="s">
        <v>348</v>
      </c>
      <c r="E80" s="25" t="s">
        <v>351</v>
      </c>
    </row>
    <row r="81" customFormat="false" ht="15" hidden="false" customHeight="false" outlineLevel="0" collapsed="false">
      <c r="A81" s="6" t="str">
        <f aca="false">"Client money ready to pay out at "&amp;$C$38&amp;" ("&amp;$C$37&amp;")"</f>
        <v>Client money ready to pay out at ALI (USD)</v>
      </c>
      <c r="B81" s="6" t="s">
        <v>347</v>
      </c>
      <c r="C81" s="23" t="n">
        <f aca="false">$C$62</f>
        <v>9960</v>
      </c>
      <c r="D81" s="25" t="s">
        <v>352</v>
      </c>
      <c r="E81" s="25" t="s">
        <v>353</v>
      </c>
    </row>
    <row r="82" customFormat="false" ht="15" hidden="false" customHeight="false" outlineLevel="0" collapsed="false">
      <c r="A82" s="6" t="str">
        <f aca="false">"NPL's earnings kept at "&amp;$C$38&amp;" ("&amp;$C$37&amp;")"</f>
        <v>NPL's earnings kept at ALI (USD)</v>
      </c>
      <c r="B82" s="6" t="s">
        <v>347</v>
      </c>
      <c r="C82" s="23" t="n">
        <f aca="false">IF($C$52="paid back monthly",0,$C$65)</f>
        <v>0</v>
      </c>
      <c r="D82" s="25" t="s">
        <v>354</v>
      </c>
      <c r="E82" s="25" t="s">
        <v>355</v>
      </c>
    </row>
    <row r="83" customFormat="false" ht="15" hidden="false" customHeight="false" outlineLevel="0" collapsed="false">
      <c r="A83" s="6" t="str">
        <f aca="false">"Owed back to NPL by "&amp;$C$38&amp;" ("&amp;$C$37&amp;")"</f>
        <v>Owed back to NPL by ALI (USD)</v>
      </c>
      <c r="B83" s="6" t="s">
        <v>347</v>
      </c>
      <c r="C83" s="23" t="n">
        <f aca="false">$C$71</f>
        <v>0</v>
      </c>
      <c r="D83" s="25" t="s">
        <v>354</v>
      </c>
      <c r="E83" s="25" t="s">
        <v>356</v>
      </c>
    </row>
    <row r="84" customFormat="false" ht="15" hidden="false" customHeight="false" outlineLevel="0" collapsed="false">
      <c r="A84" s="6" t="str">
        <f aca="false">"Owed to the client's receivers ("&amp;$C$37&amp;")"</f>
        <v>Owed to the client's receivers (USD)</v>
      </c>
      <c r="B84" s="6" t="s">
        <v>350</v>
      </c>
      <c r="C84" s="23" t="n">
        <f aca="false">$C$62</f>
        <v>9960</v>
      </c>
      <c r="D84" s="25" t="s">
        <v>348</v>
      </c>
      <c r="E84" s="25" t="s">
        <v>353</v>
      </c>
    </row>
    <row r="85" customFormat="false" ht="15" hidden="false" customHeight="false" outlineLevel="0" collapsed="false">
      <c r="A85" s="6" t="str">
        <f aca="false">"NPL's earnings ("&amp;$C$37&amp;")"</f>
        <v>NPL's earnings (USD)</v>
      </c>
      <c r="B85" s="6" t="s">
        <v>350</v>
      </c>
      <c r="C85" s="23" t="n">
        <f aca="false">$C$65+$C$71</f>
        <v>0</v>
      </c>
      <c r="D85" s="25" t="s">
        <v>354</v>
      </c>
      <c r="E85" s="25" t="s">
        <v>357</v>
      </c>
    </row>
    <row r="86" customFormat="false" ht="15" hidden="false" customHeight="false" outlineLevel="0" collapsed="false">
      <c r="A86" s="6" t="str">
        <f aca="false">"Client money in transit from "&amp;$C$38&amp;" ("&amp;$C$37&amp;")"</f>
        <v>Client money in transit from ALI (USD)</v>
      </c>
      <c r="B86" s="6" t="s">
        <v>347</v>
      </c>
      <c r="C86" s="23" t="n">
        <f aca="false">$C$68</f>
        <v>9960</v>
      </c>
      <c r="D86" s="25" t="s">
        <v>348</v>
      </c>
      <c r="E86" s="25" t="s">
        <v>358</v>
      </c>
    </row>
    <row r="87" customFormat="false" ht="15" hidden="false" customHeight="false" outlineLevel="0" collapsed="false">
      <c r="A87" s="6" t="str">
        <f aca="false">"Client money ready to pay out at "&amp;$C$38&amp;" ("&amp;$C$37&amp;")"</f>
        <v>Client money ready to pay out at ALI (USD)</v>
      </c>
      <c r="B87" s="6" t="s">
        <v>350</v>
      </c>
      <c r="C87" s="23" t="n">
        <f aca="false">$C$68</f>
        <v>9960</v>
      </c>
      <c r="D87" s="25" t="s">
        <v>348</v>
      </c>
      <c r="E87" s="25" t="s">
        <v>359</v>
      </c>
    </row>
    <row r="88" customFormat="false" ht="15" hidden="false" customHeight="false" outlineLevel="0" collapsed="false">
      <c r="A88" s="6" t="str">
        <f aca="false">"Owed to the client's receivers ("&amp;$C$37&amp;")"</f>
        <v>Owed to the client's receivers (USD)</v>
      </c>
      <c r="B88" s="6" t="s">
        <v>347</v>
      </c>
      <c r="C88" s="23" t="n">
        <f aca="false">$C$68</f>
        <v>9960</v>
      </c>
      <c r="D88" s="25" t="s">
        <v>348</v>
      </c>
      <c r="E88" s="25" t="s">
        <v>360</v>
      </c>
    </row>
    <row r="89" customFormat="false" ht="15" hidden="false" customHeight="false" outlineLevel="0" collapsed="false">
      <c r="A89" s="6" t="str">
        <f aca="false">"Client money in transit from "&amp;$C$38&amp;" ("&amp;$C$37&amp;")"</f>
        <v>Client money in transit from ALI (USD)</v>
      </c>
      <c r="B89" s="6" t="s">
        <v>350</v>
      </c>
      <c r="C89" s="23" t="n">
        <f aca="false">$C$68</f>
        <v>9960</v>
      </c>
      <c r="D89" s="25" t="s">
        <v>348</v>
      </c>
      <c r="E89" s="25" t="s">
        <v>360</v>
      </c>
    </row>
    <row r="90" customFormat="false" ht="15" hidden="false" customHeight="false" outlineLevel="0" collapsed="false">
      <c r="A90" s="6" t="str">
        <f aca="false">"NPL's earnings ("&amp;$C$37&amp;")"</f>
        <v>NPL's earnings (USD)</v>
      </c>
      <c r="B90" s="6" t="s">
        <v>347</v>
      </c>
      <c r="C90" s="23" t="n">
        <f aca="false">$C$72</f>
        <v>0</v>
      </c>
      <c r="D90" s="25" t="s">
        <v>361</v>
      </c>
      <c r="E90" s="25" t="s">
        <v>362</v>
      </c>
    </row>
    <row r="91" customFormat="false" ht="15" hidden="false" customHeight="false" outlineLevel="0" collapsed="false">
      <c r="A91" s="6" t="str">
        <f aca="false">"Owed to the other party ("&amp;$C$37&amp;")"</f>
        <v>Owed to the other party (USD)</v>
      </c>
      <c r="B91" s="6" t="s">
        <v>350</v>
      </c>
      <c r="C91" s="23" t="n">
        <f aca="false">$C$72</f>
        <v>0</v>
      </c>
      <c r="D91" s="25" t="s">
        <v>361</v>
      </c>
      <c r="E91" s="25" t="s">
        <v>363</v>
      </c>
    </row>
    <row r="92" customFormat="false" ht="30" hidden="false" customHeight="true" outlineLevel="0" collapsed="false">
      <c r="A92" s="26" t="s">
        <v>364</v>
      </c>
      <c r="C92" s="27" t="n">
        <f aca="false">ROUND(SUMIF($B$81:$B$91,"in",$C$81:$C$91)-SUMIF($B$81:$B$91,"out",$C$81:$C$91),6)</f>
        <v>0</v>
      </c>
      <c r="E92" s="16" t="s">
        <v>365</v>
      </c>
    </row>
    <row r="94" customFormat="false" ht="15" hidden="false" customHeight="false" outlineLevel="0" collapsed="false">
      <c r="A94" s="14" t="s">
        <v>366</v>
      </c>
    </row>
    <row r="95" customFormat="false" ht="15" hidden="false" customHeight="false" outlineLevel="0" collapsed="false">
      <c r="A95" s="15" t="s">
        <v>367</v>
      </c>
      <c r="B95" s="15" t="s">
        <v>368</v>
      </c>
      <c r="C95" s="15" t="s">
        <v>369</v>
      </c>
      <c r="D95" s="15" t="s">
        <v>370</v>
      </c>
      <c r="E95" s="15" t="s">
        <v>371</v>
      </c>
    </row>
    <row r="96" customFormat="false" ht="15.75" hidden="false" customHeight="true" outlineLevel="0" collapsed="false">
      <c r="A96" s="3" t="s">
        <v>420</v>
      </c>
      <c r="B96" s="17" t="n">
        <v>9960</v>
      </c>
      <c r="C96" s="23" t="n">
        <f aca="false">$C$60</f>
        <v>9960</v>
      </c>
      <c r="D96" s="27" t="n">
        <f aca="false">ROUND(C96-B96,2)</f>
        <v>0</v>
      </c>
      <c r="E96" s="16" t="s">
        <v>526</v>
      </c>
    </row>
    <row r="98" customFormat="false" ht="15" hidden="false" customHeight="false" outlineLevel="0" collapsed="false">
      <c r="A98" s="14" t="s">
        <v>374</v>
      </c>
    </row>
    <row r="99" customFormat="false" ht="31.5" hidden="false" customHeight="true" outlineLevel="0" collapsed="false">
      <c r="A99" s="13" t="s">
        <v>375</v>
      </c>
      <c r="B99" s="28" t="s">
        <v>527</v>
      </c>
      <c r="C99" s="28"/>
      <c r="D99" s="28"/>
      <c r="E99" s="28"/>
    </row>
    <row r="100" customFormat="false" ht="31.5" hidden="false" customHeight="true" outlineLevel="0" collapsed="false">
      <c r="A100" s="13" t="s">
        <v>375</v>
      </c>
      <c r="B100" s="28" t="s">
        <v>528</v>
      </c>
      <c r="C100" s="28"/>
      <c r="D100" s="28"/>
      <c r="E100" s="28"/>
    </row>
  </sheetData>
  <mergeCells count="2">
    <mergeCell ref="B99:E99"/>
    <mergeCell ref="B100:E10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529</v>
      </c>
    </row>
    <row r="2" customFormat="false" ht="15" hidden="false" customHeight="false" outlineLevel="0" collapsed="false">
      <c r="A2" s="12" t="s">
        <v>210</v>
      </c>
      <c r="B2" s="13" t="s">
        <v>530</v>
      </c>
    </row>
    <row r="4" customFormat="false" ht="15" hidden="false" customHeight="false" outlineLevel="0" collapsed="false">
      <c r="A4" s="14" t="s">
        <v>212</v>
      </c>
    </row>
    <row r="5" customFormat="false" ht="15" hidden="false" customHeight="false" outlineLevel="0" collapsed="false">
      <c r="A5" s="15" t="s">
        <v>213</v>
      </c>
      <c r="B5" s="15" t="s">
        <v>214</v>
      </c>
      <c r="C5" s="15" t="s">
        <v>215</v>
      </c>
      <c r="D5" s="15" t="s">
        <v>216</v>
      </c>
    </row>
    <row r="6" customFormat="false" ht="15.75" hidden="false" customHeight="true" outlineLevel="0" collapsed="false">
      <c r="A6" s="3" t="s">
        <v>217</v>
      </c>
      <c r="B6" s="9" t="s">
        <v>141</v>
      </c>
      <c r="C6" s="3" t="s">
        <v>218</v>
      </c>
      <c r="D6" s="16" t="s">
        <v>219</v>
      </c>
    </row>
    <row r="7" customFormat="false" ht="42" hidden="false" customHeight="true" outlineLevel="0" collapsed="false">
      <c r="A7" s="3" t="s">
        <v>51</v>
      </c>
      <c r="B7" s="10"/>
      <c r="C7" s="3" t="s">
        <v>220</v>
      </c>
      <c r="D7" s="16" t="s">
        <v>221</v>
      </c>
    </row>
    <row r="8" customFormat="false" ht="42" hidden="false" customHeight="true" outlineLevel="0" collapsed="false">
      <c r="A8" s="3" t="s">
        <v>52</v>
      </c>
      <c r="B8" s="9" t="s">
        <v>531</v>
      </c>
      <c r="C8" s="3" t="s">
        <v>218</v>
      </c>
      <c r="D8" s="16" t="s">
        <v>222</v>
      </c>
    </row>
    <row r="9" customFormat="false" ht="42" hidden="false" customHeight="true" outlineLevel="0" collapsed="false">
      <c r="A9" s="3" t="s">
        <v>223</v>
      </c>
      <c r="B9" s="10"/>
      <c r="C9" s="3" t="s">
        <v>220</v>
      </c>
      <c r="D9" s="16" t="s">
        <v>224</v>
      </c>
    </row>
    <row r="10" customFormat="false" ht="15.75" hidden="false" customHeight="true" outlineLevel="0" collapsed="false">
      <c r="A10" s="3" t="s">
        <v>225</v>
      </c>
      <c r="B10" s="9" t="s">
        <v>405</v>
      </c>
      <c r="C10" s="3" t="s">
        <v>218</v>
      </c>
      <c r="D10" s="16" t="s">
        <v>227</v>
      </c>
    </row>
    <row r="11" customFormat="false" ht="42" hidden="false" customHeight="true" outlineLevel="0" collapsed="false">
      <c r="A11" s="3" t="s">
        <v>228</v>
      </c>
      <c r="B11" s="9" t="s">
        <v>406</v>
      </c>
      <c r="C11" s="3" t="s">
        <v>218</v>
      </c>
      <c r="D11" s="16" t="s">
        <v>230</v>
      </c>
    </row>
    <row r="12" customFormat="false" ht="15.75" hidden="false" customHeight="true" outlineLevel="0" collapsed="false">
      <c r="A12" s="3" t="s">
        <v>56</v>
      </c>
      <c r="B12" s="9" t="s">
        <v>93</v>
      </c>
      <c r="C12" s="3" t="s">
        <v>218</v>
      </c>
      <c r="D12" s="16"/>
    </row>
    <row r="13" customFormat="false" ht="42" hidden="false" customHeight="true" outlineLevel="0" collapsed="false">
      <c r="A13" s="3" t="s">
        <v>231</v>
      </c>
      <c r="B13" s="9" t="s">
        <v>94</v>
      </c>
      <c r="C13" s="3" t="s">
        <v>218</v>
      </c>
      <c r="D13" s="16" t="s">
        <v>232</v>
      </c>
    </row>
    <row r="14" customFormat="false" ht="15.75" hidden="false" customHeight="true" outlineLevel="0" collapsed="false">
      <c r="A14" s="3" t="s">
        <v>233</v>
      </c>
      <c r="B14" s="9" t="s">
        <v>532</v>
      </c>
      <c r="C14" s="3" t="s">
        <v>218</v>
      </c>
      <c r="D14" s="16" t="s">
        <v>234</v>
      </c>
    </row>
    <row r="15" customFormat="false" ht="42" hidden="false" customHeight="true" outlineLevel="0" collapsed="false">
      <c r="A15" s="3" t="s">
        <v>235</v>
      </c>
      <c r="B15" s="9" t="s">
        <v>236</v>
      </c>
      <c r="C15" s="3" t="s">
        <v>218</v>
      </c>
      <c r="D15" s="16" t="s">
        <v>237</v>
      </c>
    </row>
    <row r="16" customFormat="false" ht="15.75" hidden="false" customHeight="true" outlineLevel="0" collapsed="false">
      <c r="A16" s="3" t="s">
        <v>238</v>
      </c>
      <c r="B16" s="9" t="s">
        <v>239</v>
      </c>
      <c r="C16" s="3" t="s">
        <v>218</v>
      </c>
      <c r="D16" s="16" t="s">
        <v>240</v>
      </c>
    </row>
    <row r="17" customFormat="false" ht="42" hidden="false" customHeight="true" outlineLevel="0" collapsed="false">
      <c r="A17" s="3" t="s">
        <v>241</v>
      </c>
      <c r="B17" s="9" t="s">
        <v>86</v>
      </c>
      <c r="C17" s="3" t="s">
        <v>218</v>
      </c>
      <c r="D17" s="16" t="s">
        <v>242</v>
      </c>
    </row>
    <row r="18" customFormat="false" ht="15.75" hidden="false" customHeight="true" outlineLevel="0" collapsed="false">
      <c r="A18" s="3" t="s">
        <v>62</v>
      </c>
      <c r="B18" s="11" t="n">
        <v>0.028</v>
      </c>
      <c r="C18" s="3" t="s">
        <v>218</v>
      </c>
      <c r="D18" s="16" t="s">
        <v>243</v>
      </c>
    </row>
    <row r="19" customFormat="false" ht="15.75" hidden="false" customHeight="true" outlineLevel="0" collapsed="false">
      <c r="A19" s="3" t="s">
        <v>63</v>
      </c>
      <c r="B19" s="11" t="n">
        <v>0.014</v>
      </c>
      <c r="C19" s="3" t="s">
        <v>218</v>
      </c>
      <c r="D19" s="16"/>
    </row>
    <row r="20" customFormat="false" ht="15.75" hidden="false" customHeight="true" outlineLevel="0" collapsed="false">
      <c r="A20" s="3" t="s">
        <v>64</v>
      </c>
      <c r="B20" s="11" t="n">
        <v>0.014</v>
      </c>
      <c r="C20" s="3" t="s">
        <v>218</v>
      </c>
      <c r="D20" s="16" t="s">
        <v>244</v>
      </c>
    </row>
    <row r="21" customFormat="false" ht="15.75" hidden="false" customHeight="true" outlineLevel="0" collapsed="false">
      <c r="A21" s="3" t="s">
        <v>65</v>
      </c>
      <c r="B21" s="10"/>
      <c r="C21" s="3" t="s">
        <v>220</v>
      </c>
      <c r="D21" s="16" t="s">
        <v>245</v>
      </c>
    </row>
    <row r="22" customFormat="false" ht="15.75" hidden="false" customHeight="true" outlineLevel="0" collapsed="false">
      <c r="A22" s="3" t="s">
        <v>66</v>
      </c>
      <c r="B22" s="10"/>
      <c r="C22" s="3" t="s">
        <v>220</v>
      </c>
      <c r="D22" s="16" t="s">
        <v>245</v>
      </c>
    </row>
    <row r="23" customFormat="false" ht="15.75" hidden="false" customHeight="true" outlineLevel="0" collapsed="false">
      <c r="A23" s="3" t="s">
        <v>67</v>
      </c>
      <c r="B23" s="10"/>
      <c r="C23" s="3" t="s">
        <v>220</v>
      </c>
      <c r="D23" s="16" t="s">
        <v>246</v>
      </c>
    </row>
    <row r="24" customFormat="false" ht="42" hidden="false" customHeight="true" outlineLevel="0" collapsed="false">
      <c r="A24" s="3" t="s">
        <v>247</v>
      </c>
      <c r="B24" s="10"/>
      <c r="C24" s="3" t="s">
        <v>248</v>
      </c>
      <c r="D24" s="16" t="s">
        <v>249</v>
      </c>
    </row>
    <row r="25" customFormat="false" ht="42" hidden="false" customHeight="true" outlineLevel="0" collapsed="false">
      <c r="A25" s="3" t="s">
        <v>250</v>
      </c>
      <c r="B25" s="9" t="s">
        <v>95</v>
      </c>
      <c r="C25" s="3" t="s">
        <v>218</v>
      </c>
      <c r="D25" s="16" t="s">
        <v>253</v>
      </c>
    </row>
    <row r="26" customFormat="false" ht="15.75" hidden="false" customHeight="true" outlineLevel="0" collapsed="false">
      <c r="A26" s="3" t="s">
        <v>72</v>
      </c>
      <c r="B26" s="10"/>
      <c r="C26" s="3" t="s">
        <v>248</v>
      </c>
      <c r="D26" s="16" t="s">
        <v>255</v>
      </c>
    </row>
    <row r="27" customFormat="false" ht="15.75" hidden="false" customHeight="true" outlineLevel="0" collapsed="false">
      <c r="A27" s="3" t="s">
        <v>256</v>
      </c>
      <c r="B27" s="9"/>
      <c r="C27" s="3" t="s">
        <v>248</v>
      </c>
      <c r="D27" s="16" t="s">
        <v>257</v>
      </c>
    </row>
    <row r="28" customFormat="false" ht="42" hidden="false" customHeight="true" outlineLevel="0" collapsed="false">
      <c r="A28" s="3" t="s">
        <v>258</v>
      </c>
      <c r="B28" s="9" t="s">
        <v>259</v>
      </c>
      <c r="C28" s="3" t="s">
        <v>218</v>
      </c>
      <c r="D28" s="16" t="s">
        <v>260</v>
      </c>
    </row>
    <row r="29" customFormat="false" ht="15.75" hidden="false" customHeight="true" outlineLevel="0" collapsed="false">
      <c r="A29" s="3" t="s">
        <v>75</v>
      </c>
      <c r="B29" s="10"/>
      <c r="C29" s="3" t="s">
        <v>220</v>
      </c>
      <c r="D29" s="16" t="s">
        <v>261</v>
      </c>
    </row>
    <row r="30" customFormat="false" ht="15.75" hidden="false" customHeight="true" outlineLevel="0" collapsed="false">
      <c r="A30" s="3" t="s">
        <v>76</v>
      </c>
      <c r="B30" s="10"/>
      <c r="C30" s="3" t="s">
        <v>220</v>
      </c>
      <c r="D30" s="16" t="s">
        <v>262</v>
      </c>
    </row>
    <row r="31" customFormat="false" ht="42" hidden="false" customHeight="true" outlineLevel="0" collapsed="false">
      <c r="A31" s="3" t="s">
        <v>263</v>
      </c>
      <c r="B31" s="10"/>
      <c r="C31" s="3" t="s">
        <v>220</v>
      </c>
      <c r="D31" s="16" t="s">
        <v>264</v>
      </c>
    </row>
    <row r="33" customFormat="false" ht="15" hidden="false" customHeight="false" outlineLevel="0" collapsed="false">
      <c r="A33" s="14" t="s">
        <v>265</v>
      </c>
    </row>
    <row r="34" customFormat="false" ht="15" hidden="false" customHeight="false" outlineLevel="0" collapsed="false">
      <c r="A34" s="15" t="s">
        <v>213</v>
      </c>
      <c r="B34" s="15"/>
      <c r="C34" s="15" t="s">
        <v>214</v>
      </c>
      <c r="D34" s="15"/>
      <c r="E34" s="15" t="s">
        <v>14</v>
      </c>
    </row>
    <row r="35" customFormat="false" ht="15" hidden="false" customHeight="false" outlineLevel="0" collapsed="false">
      <c r="A35" s="3" t="s">
        <v>266</v>
      </c>
      <c r="C35" s="17" t="n">
        <v>100000</v>
      </c>
      <c r="E35" s="16" t="s">
        <v>267</v>
      </c>
    </row>
    <row r="36" customFormat="false" ht="15" hidden="false" customHeight="false" outlineLevel="0" collapsed="false">
      <c r="A36" s="3" t="s">
        <v>268</v>
      </c>
      <c r="C36" s="7" t="s">
        <v>271</v>
      </c>
      <c r="E36" s="16"/>
    </row>
    <row r="37" customFormat="false" ht="15" hidden="false" customHeight="false" outlineLevel="0" collapsed="false">
      <c r="A37" s="3" t="s">
        <v>270</v>
      </c>
      <c r="C37" s="7" t="s">
        <v>271</v>
      </c>
      <c r="E37" s="16"/>
    </row>
    <row r="38" customFormat="false" ht="15" hidden="false" customHeight="false" outlineLevel="0" collapsed="false">
      <c r="A38" s="3" t="s">
        <v>272</v>
      </c>
      <c r="C38" s="7" t="s">
        <v>383</v>
      </c>
      <c r="E38" s="16" t="s">
        <v>274</v>
      </c>
    </row>
    <row r="39" customFormat="false" ht="15" hidden="false" customHeight="false" outlineLevel="0" collapsed="false">
      <c r="A39" s="3" t="s">
        <v>275</v>
      </c>
      <c r="C39" s="18" t="n">
        <v>1</v>
      </c>
      <c r="E39" s="16" t="s">
        <v>276</v>
      </c>
    </row>
    <row r="40" customFormat="false" ht="22.35" hidden="false" customHeight="false" outlineLevel="0" collapsed="false">
      <c r="A40" s="3" t="s">
        <v>277</v>
      </c>
      <c r="C40" s="18" t="n">
        <v>1</v>
      </c>
      <c r="E40" s="16" t="s">
        <v>278</v>
      </c>
    </row>
    <row r="41" customFormat="false" ht="15" hidden="false" customHeight="false" outlineLevel="0" collapsed="false">
      <c r="A41" s="3" t="s">
        <v>279</v>
      </c>
      <c r="C41" s="20" t="n">
        <v>0</v>
      </c>
      <c r="E41" s="16" t="s">
        <v>280</v>
      </c>
    </row>
    <row r="42" customFormat="false" ht="15" hidden="false" customHeight="false" outlineLevel="0" collapsed="false">
      <c r="A42" s="3" t="s">
        <v>281</v>
      </c>
      <c r="C42" s="20" t="n">
        <v>0.028</v>
      </c>
      <c r="E42" s="16"/>
    </row>
    <row r="43" customFormat="false" ht="15" hidden="false" customHeight="false" outlineLevel="0" collapsed="false">
      <c r="A43" s="3" t="s">
        <v>282</v>
      </c>
      <c r="C43" s="20" t="n">
        <v>0.014</v>
      </c>
      <c r="E43" s="16"/>
    </row>
    <row r="44" customFormat="false" ht="15" hidden="false" customHeight="false" outlineLevel="0" collapsed="false">
      <c r="A44" s="3" t="s">
        <v>283</v>
      </c>
      <c r="C44" s="20" t="n">
        <v>0.014</v>
      </c>
      <c r="E44" s="16"/>
    </row>
    <row r="45" customFormat="false" ht="15" hidden="false" customHeight="false" outlineLevel="0" collapsed="false">
      <c r="A45" s="3" t="s">
        <v>238</v>
      </c>
      <c r="C45" s="7" t="s">
        <v>239</v>
      </c>
      <c r="E45" s="16" t="s">
        <v>284</v>
      </c>
    </row>
    <row r="46" customFormat="false" ht="15" hidden="false" customHeight="false" outlineLevel="0" collapsed="false">
      <c r="A46" s="3" t="s">
        <v>231</v>
      </c>
      <c r="C46" s="7" t="s">
        <v>94</v>
      </c>
      <c r="E46" s="16" t="s">
        <v>285</v>
      </c>
    </row>
    <row r="47" customFormat="false" ht="15" hidden="false" customHeight="false" outlineLevel="0" collapsed="false">
      <c r="A47" s="3" t="s">
        <v>235</v>
      </c>
      <c r="C47" s="7" t="s">
        <v>236</v>
      </c>
      <c r="E47" s="16" t="s">
        <v>286</v>
      </c>
    </row>
    <row r="48" customFormat="false" ht="15" hidden="false" customHeight="false" outlineLevel="0" collapsed="false">
      <c r="A48" s="3" t="s">
        <v>258</v>
      </c>
      <c r="C48" s="7" t="s">
        <v>259</v>
      </c>
      <c r="E48" s="16" t="s">
        <v>287</v>
      </c>
    </row>
    <row r="49" customFormat="false" ht="15" hidden="false" customHeight="false" outlineLevel="0" collapsed="false">
      <c r="A49" s="3" t="s">
        <v>288</v>
      </c>
      <c r="C49" s="17" t="n">
        <v>1</v>
      </c>
      <c r="E49" s="16" t="s">
        <v>289</v>
      </c>
    </row>
    <row r="50" customFormat="false" ht="15" hidden="false" customHeight="false" outlineLevel="0" collapsed="false">
      <c r="A50" s="3" t="s">
        <v>290</v>
      </c>
      <c r="C50" s="20" t="n">
        <v>0</v>
      </c>
      <c r="E50" s="16"/>
    </row>
    <row r="51" customFormat="false" ht="15" hidden="false" customHeight="false" outlineLevel="0" collapsed="false">
      <c r="A51" s="3" t="s">
        <v>291</v>
      </c>
      <c r="C51" s="21"/>
      <c r="E51" s="16" t="s">
        <v>292</v>
      </c>
    </row>
    <row r="52" customFormat="false" ht="22.35" hidden="false" customHeight="false" outlineLevel="0" collapsed="false">
      <c r="A52" s="3" t="s">
        <v>250</v>
      </c>
      <c r="C52" s="7" t="s">
        <v>95</v>
      </c>
      <c r="E52" s="16" t="s">
        <v>294</v>
      </c>
    </row>
    <row r="53" customFormat="false" ht="15" hidden="false" customHeight="false" outlineLevel="0" collapsed="false">
      <c r="A53" s="3" t="s">
        <v>295</v>
      </c>
      <c r="C53" s="20" t="n">
        <v>0</v>
      </c>
      <c r="E53" s="16"/>
    </row>
    <row r="54" customFormat="false" ht="15" hidden="false" customHeight="false" outlineLevel="0" collapsed="false">
      <c r="A54" s="3" t="s">
        <v>296</v>
      </c>
      <c r="C54" s="20" t="n">
        <v>0</v>
      </c>
      <c r="E54" s="16" t="s">
        <v>297</v>
      </c>
    </row>
    <row r="56" customFormat="false" ht="15" hidden="false" customHeight="false" outlineLevel="0" collapsed="false">
      <c r="A56" s="14" t="s">
        <v>298</v>
      </c>
    </row>
    <row r="57" customFormat="false" ht="15" hidden="false" customHeight="false" outlineLevel="0" collapsed="false">
      <c r="A57" s="15" t="s">
        <v>299</v>
      </c>
      <c r="B57" s="15" t="s">
        <v>300</v>
      </c>
      <c r="C57" s="15" t="s">
        <v>214</v>
      </c>
      <c r="E57" s="15" t="s">
        <v>216</v>
      </c>
    </row>
    <row r="58" customFormat="false" ht="15" hidden="false" customHeight="false" outlineLevel="0" collapsed="false">
      <c r="A58" s="3" t="s">
        <v>301</v>
      </c>
      <c r="B58" s="16" t="s">
        <v>302</v>
      </c>
      <c r="C58" s="22" t="n">
        <f aca="false">IF($C$45="market rate",$C$39,$C$40)</f>
        <v>1</v>
      </c>
      <c r="E58" s="16"/>
    </row>
    <row r="59" customFormat="false" ht="22.35" hidden="false" customHeight="false" outlineLevel="0" collapsed="false">
      <c r="A59" s="3" t="s">
        <v>303</v>
      </c>
      <c r="B59" s="16" t="s">
        <v>304</v>
      </c>
      <c r="C59" s="22" t="n">
        <f aca="false">IF($C$47="added to what the sender pays",$C$58/(1+$C$43),$C$58*(1-$C$43))</f>
        <v>0.986</v>
      </c>
      <c r="E59" s="16"/>
    </row>
    <row r="60" customFormat="false" ht="15" hidden="false" customHeight="false" outlineLevel="0" collapsed="false">
      <c r="A60" s="3" t="s">
        <v>305</v>
      </c>
      <c r="B60" s="16" t="s">
        <v>306</v>
      </c>
      <c r="C60" s="23" t="n">
        <f aca="false">$C$35*$C$59</f>
        <v>98600</v>
      </c>
      <c r="E60" s="16" t="s">
        <v>307</v>
      </c>
    </row>
    <row r="61" customFormat="false" ht="15" hidden="false" customHeight="false" outlineLevel="0" collapsed="false">
      <c r="A61" s="3" t="s">
        <v>308</v>
      </c>
      <c r="B61" s="16" t="s">
        <v>309</v>
      </c>
      <c r="C61" s="23" t="n">
        <f aca="false">$C$60*$C$44</f>
        <v>1380.4</v>
      </c>
      <c r="E61" s="16" t="s">
        <v>310</v>
      </c>
    </row>
    <row r="62" customFormat="false" ht="15" hidden="false" customHeight="false" outlineLevel="0" collapsed="false">
      <c r="A62" s="3" t="s">
        <v>311</v>
      </c>
      <c r="B62" s="16" t="s">
        <v>312</v>
      </c>
      <c r="C62" s="23" t="n">
        <f aca="false">$C$60-$C$61</f>
        <v>97219.6</v>
      </c>
      <c r="E62" s="16" t="s">
        <v>313</v>
      </c>
    </row>
    <row r="63" customFormat="false" ht="32.8" hidden="false" customHeight="false" outlineLevel="0" collapsed="false">
      <c r="A63" s="3" t="s">
        <v>314</v>
      </c>
      <c r="B63" s="16" t="s">
        <v>315</v>
      </c>
      <c r="C63" s="23" t="n">
        <f aca="false">IF($C$46="NPL's own wallet",$C$35*$C$39,IF($C$46="fee on top of market",$C$35*$C$39*(1-$C$41),$C$35*$C$40))</f>
        <v>100000</v>
      </c>
      <c r="E63" s="16"/>
    </row>
    <row r="64" customFormat="false" ht="22.35" hidden="false" customHeight="false" outlineLevel="0" collapsed="false">
      <c r="A64" s="3" t="s">
        <v>316</v>
      </c>
      <c r="B64" s="16" t="s">
        <v>317</v>
      </c>
      <c r="C64" s="23" t="n">
        <f aca="false">$C$35*$C$39-$C$63</f>
        <v>0</v>
      </c>
      <c r="E64" s="16"/>
    </row>
    <row r="65" customFormat="false" ht="15" hidden="false" customHeight="false" outlineLevel="0" collapsed="false">
      <c r="A65" s="3" t="s">
        <v>318</v>
      </c>
      <c r="B65" s="16" t="s">
        <v>319</v>
      </c>
      <c r="C65" s="23" t="n">
        <f aca="false">$C$63-$C$62</f>
        <v>2780.39999999999</v>
      </c>
      <c r="E65" s="16" t="s">
        <v>320</v>
      </c>
    </row>
    <row r="66" customFormat="false" ht="15" hidden="false" customHeight="false" outlineLevel="0" collapsed="false">
      <c r="A66" s="3" t="s">
        <v>321</v>
      </c>
      <c r="B66" s="16" t="s">
        <v>322</v>
      </c>
      <c r="C66" s="24" t="n">
        <f aca="false">IF($C$35*$C$39=0,0,$C$65/($C$35*$C$39))</f>
        <v>0.0278039999999999</v>
      </c>
      <c r="E66" s="16"/>
    </row>
    <row r="67" customFormat="false" ht="15" hidden="false" customHeight="false" outlineLevel="0" collapsed="false">
      <c r="A67" s="3" t="s">
        <v>323</v>
      </c>
      <c r="B67" s="16" t="s">
        <v>324</v>
      </c>
      <c r="C67" s="6" t="str">
        <f aca="false">IF($C$66&lt;$C$50,"YES — Finance must approve","no")</f>
        <v>no</v>
      </c>
      <c r="E67" s="16"/>
    </row>
    <row r="68" customFormat="false" ht="22.35" hidden="false" customHeight="false" outlineLevel="0" collapsed="false">
      <c r="A68" s="3" t="s">
        <v>325</v>
      </c>
      <c r="B68" s="16" t="s">
        <v>326</v>
      </c>
      <c r="C68" s="23" t="n">
        <f aca="false">IF($C$48="round up",CEILING($C$62,$C$49),IF($C$48="nearest unit",MROUND($C$62,$C$49),IF($C$48="nearest 1,000",MROUND($C$62,$C$49),FLOOR($C$62,$C$49))))</f>
        <v>97219</v>
      </c>
      <c r="E68" s="16" t="s">
        <v>327</v>
      </c>
    </row>
    <row r="69" customFormat="false" ht="23.85" hidden="false" customHeight="false" outlineLevel="0" collapsed="false">
      <c r="A69" s="3" t="s">
        <v>328</v>
      </c>
      <c r="B69" s="16" t="s">
        <v>329</v>
      </c>
      <c r="C69" s="23" t="n">
        <f aca="false">$C$62-$C$68</f>
        <v>0.600000000005821</v>
      </c>
      <c r="E69" s="16"/>
    </row>
    <row r="70" customFormat="false" ht="22.35" hidden="false" customHeight="false" outlineLevel="0" collapsed="false">
      <c r="A70" s="3" t="s">
        <v>330</v>
      </c>
      <c r="B70" s="16" t="s">
        <v>331</v>
      </c>
      <c r="C70" s="22" t="n">
        <f aca="false">IF($C$51="",$C$58,$C$59/(1-$C$51))</f>
        <v>1</v>
      </c>
      <c r="E70" s="16" t="s">
        <v>332</v>
      </c>
    </row>
    <row r="71" customFormat="false" ht="22.35" hidden="false" customHeight="false" outlineLevel="0" collapsed="false">
      <c r="A71" s="3" t="s">
        <v>333</v>
      </c>
      <c r="B71" s="16" t="s">
        <v>334</v>
      </c>
      <c r="C71" s="23" t="n">
        <f aca="false">IF($C$52="paid back monthly",$C$64*$C$53,0)</f>
        <v>0</v>
      </c>
      <c r="E71" s="16"/>
    </row>
    <row r="72" customFormat="false" ht="15" hidden="false" customHeight="false" outlineLevel="0" collapsed="false">
      <c r="A72" s="3" t="s">
        <v>335</v>
      </c>
      <c r="B72" s="16" t="s">
        <v>336</v>
      </c>
      <c r="C72" s="23" t="n">
        <f aca="false">$C$35*$C$39*$C$54</f>
        <v>0</v>
      </c>
      <c r="E72" s="16" t="s">
        <v>337</v>
      </c>
    </row>
    <row r="73" customFormat="false" ht="23.85" hidden="false" customHeight="false" outlineLevel="0" collapsed="false">
      <c r="A73" s="3" t="s">
        <v>338</v>
      </c>
      <c r="B73" s="16" t="s">
        <v>339</v>
      </c>
      <c r="C73" s="23" t="n">
        <f aca="false">ROUND($C$62+$C$64+$C$65-$C$35*$C$39,6)</f>
        <v>0</v>
      </c>
      <c r="E73" s="16" t="s">
        <v>340</v>
      </c>
    </row>
    <row r="75" customFormat="false" ht="15" hidden="false" customHeight="false" outlineLevel="0" collapsed="false">
      <c r="A75" s="14" t="s">
        <v>341</v>
      </c>
    </row>
    <row r="76" customFormat="false" ht="15" hidden="false" customHeight="false" outlineLevel="0" collapsed="false">
      <c r="A76" s="15" t="s">
        <v>342</v>
      </c>
      <c r="B76" s="15" t="s">
        <v>343</v>
      </c>
      <c r="C76" s="15" t="s">
        <v>344</v>
      </c>
      <c r="D76" s="15" t="s">
        <v>345</v>
      </c>
      <c r="E76" s="15" t="s">
        <v>346</v>
      </c>
    </row>
    <row r="77" customFormat="false" ht="15" hidden="false" customHeight="false" outlineLevel="0" collapsed="false">
      <c r="A77" s="6" t="str">
        <f aca="false">"Client money received at "&amp;$C$38&amp;" ("&amp;$C$36&amp;")"</f>
        <v>Client money received at ALI (EUR)</v>
      </c>
      <c r="B77" s="6" t="s">
        <v>347</v>
      </c>
      <c r="C77" s="23" t="n">
        <f aca="false">$C$35</f>
        <v>100000</v>
      </c>
      <c r="D77" s="25" t="s">
        <v>348</v>
      </c>
      <c r="E77" s="25" t="s">
        <v>349</v>
      </c>
    </row>
    <row r="78" customFormat="false" ht="15" hidden="false" customHeight="false" outlineLevel="0" collapsed="false">
      <c r="A78" s="6" t="str">
        <f aca="false">"Owed to the client's receivers ("&amp;$C$36&amp;")"</f>
        <v>Owed to the client's receivers (EUR)</v>
      </c>
      <c r="B78" s="6" t="s">
        <v>350</v>
      </c>
      <c r="C78" s="23" t="n">
        <f aca="false">$C$35</f>
        <v>100000</v>
      </c>
      <c r="D78" s="25" t="s">
        <v>348</v>
      </c>
      <c r="E78" s="25" t="s">
        <v>349</v>
      </c>
    </row>
    <row r="79" customFormat="false" ht="15" hidden="false" customHeight="false" outlineLevel="0" collapsed="false">
      <c r="A79" s="6" t="str">
        <f aca="false">"Owed to the client's receivers ("&amp;$C$36&amp;")"</f>
        <v>Owed to the client's receivers (EUR)</v>
      </c>
      <c r="B79" s="6" t="s">
        <v>347</v>
      </c>
      <c r="C79" s="23" t="n">
        <f aca="false">$C$35</f>
        <v>100000</v>
      </c>
      <c r="D79" s="25" t="s">
        <v>348</v>
      </c>
      <c r="E79" s="25" t="s">
        <v>351</v>
      </c>
    </row>
    <row r="80" customFormat="false" ht="15" hidden="false" customHeight="false" outlineLevel="0" collapsed="false">
      <c r="A80" s="6" t="str">
        <f aca="false">"Client money received at "&amp;$C$38&amp;" ("&amp;$C$36&amp;")"</f>
        <v>Client money received at ALI (EUR)</v>
      </c>
      <c r="B80" s="6" t="s">
        <v>350</v>
      </c>
      <c r="C80" s="23" t="n">
        <f aca="false">$C$35</f>
        <v>100000</v>
      </c>
      <c r="D80" s="25" t="s">
        <v>348</v>
      </c>
      <c r="E80" s="25" t="s">
        <v>351</v>
      </c>
    </row>
    <row r="81" customFormat="false" ht="15" hidden="false" customHeight="false" outlineLevel="0" collapsed="false">
      <c r="A81" s="6" t="str">
        <f aca="false">"Client money ready to pay out at "&amp;$C$38&amp;" ("&amp;$C$37&amp;")"</f>
        <v>Client money ready to pay out at ALI (EUR)</v>
      </c>
      <c r="B81" s="6" t="s">
        <v>347</v>
      </c>
      <c r="C81" s="23" t="n">
        <f aca="false">$C$62</f>
        <v>97219.6</v>
      </c>
      <c r="D81" s="25" t="s">
        <v>352</v>
      </c>
      <c r="E81" s="25" t="s">
        <v>353</v>
      </c>
    </row>
    <row r="82" customFormat="false" ht="15" hidden="false" customHeight="false" outlineLevel="0" collapsed="false">
      <c r="A82" s="6" t="str">
        <f aca="false">"NPL's earnings kept at "&amp;$C$38&amp;" ("&amp;$C$37&amp;")"</f>
        <v>NPL's earnings kept at ALI (EUR)</v>
      </c>
      <c r="B82" s="6" t="s">
        <v>347</v>
      </c>
      <c r="C82" s="23" t="n">
        <f aca="false">IF($C$52="paid back monthly",0,$C$65)</f>
        <v>2780.39999999999</v>
      </c>
      <c r="D82" s="25" t="s">
        <v>354</v>
      </c>
      <c r="E82" s="25" t="s">
        <v>355</v>
      </c>
    </row>
    <row r="83" customFormat="false" ht="15" hidden="false" customHeight="false" outlineLevel="0" collapsed="false">
      <c r="A83" s="6" t="str">
        <f aca="false">"Owed back to NPL by "&amp;$C$38&amp;" ("&amp;$C$37&amp;")"</f>
        <v>Owed back to NPL by ALI (EUR)</v>
      </c>
      <c r="B83" s="6" t="s">
        <v>347</v>
      </c>
      <c r="C83" s="23" t="n">
        <f aca="false">$C$71</f>
        <v>0</v>
      </c>
      <c r="D83" s="25" t="s">
        <v>354</v>
      </c>
      <c r="E83" s="25" t="s">
        <v>356</v>
      </c>
    </row>
    <row r="84" customFormat="false" ht="15" hidden="false" customHeight="false" outlineLevel="0" collapsed="false">
      <c r="A84" s="6" t="str">
        <f aca="false">"Owed to the client's receivers ("&amp;$C$37&amp;")"</f>
        <v>Owed to the client's receivers (EUR)</v>
      </c>
      <c r="B84" s="6" t="s">
        <v>350</v>
      </c>
      <c r="C84" s="23" t="n">
        <f aca="false">$C$62</f>
        <v>97219.6</v>
      </c>
      <c r="D84" s="25" t="s">
        <v>348</v>
      </c>
      <c r="E84" s="25" t="s">
        <v>353</v>
      </c>
    </row>
    <row r="85" customFormat="false" ht="15" hidden="false" customHeight="false" outlineLevel="0" collapsed="false">
      <c r="A85" s="6" t="str">
        <f aca="false">"NPL's earnings ("&amp;$C$37&amp;")"</f>
        <v>NPL's earnings (EUR)</v>
      </c>
      <c r="B85" s="6" t="s">
        <v>350</v>
      </c>
      <c r="C85" s="23" t="n">
        <f aca="false">$C$65+$C$71</f>
        <v>2780.39999999999</v>
      </c>
      <c r="D85" s="25" t="s">
        <v>354</v>
      </c>
      <c r="E85" s="25" t="s">
        <v>357</v>
      </c>
    </row>
    <row r="86" customFormat="false" ht="15" hidden="false" customHeight="false" outlineLevel="0" collapsed="false">
      <c r="A86" s="6" t="str">
        <f aca="false">"Client money in transit from "&amp;$C$38&amp;" ("&amp;$C$37&amp;")"</f>
        <v>Client money in transit from ALI (EUR)</v>
      </c>
      <c r="B86" s="6" t="s">
        <v>347</v>
      </c>
      <c r="C86" s="23" t="n">
        <f aca="false">$C$68</f>
        <v>97219</v>
      </c>
      <c r="D86" s="25" t="s">
        <v>348</v>
      </c>
      <c r="E86" s="25" t="s">
        <v>358</v>
      </c>
    </row>
    <row r="87" customFormat="false" ht="15" hidden="false" customHeight="false" outlineLevel="0" collapsed="false">
      <c r="A87" s="6" t="str">
        <f aca="false">"Client money ready to pay out at "&amp;$C$38&amp;" ("&amp;$C$37&amp;")"</f>
        <v>Client money ready to pay out at ALI (EUR)</v>
      </c>
      <c r="B87" s="6" t="s">
        <v>350</v>
      </c>
      <c r="C87" s="23" t="n">
        <f aca="false">$C$68</f>
        <v>97219</v>
      </c>
      <c r="D87" s="25" t="s">
        <v>348</v>
      </c>
      <c r="E87" s="25" t="s">
        <v>359</v>
      </c>
    </row>
    <row r="88" customFormat="false" ht="15" hidden="false" customHeight="false" outlineLevel="0" collapsed="false">
      <c r="A88" s="6" t="str">
        <f aca="false">"Owed to the client's receivers ("&amp;$C$37&amp;")"</f>
        <v>Owed to the client's receivers (EUR)</v>
      </c>
      <c r="B88" s="6" t="s">
        <v>347</v>
      </c>
      <c r="C88" s="23" t="n">
        <f aca="false">$C$68</f>
        <v>97219</v>
      </c>
      <c r="D88" s="25" t="s">
        <v>348</v>
      </c>
      <c r="E88" s="25" t="s">
        <v>360</v>
      </c>
    </row>
    <row r="89" customFormat="false" ht="15" hidden="false" customHeight="false" outlineLevel="0" collapsed="false">
      <c r="A89" s="6" t="str">
        <f aca="false">"Client money in transit from "&amp;$C$38&amp;" ("&amp;$C$37&amp;")"</f>
        <v>Client money in transit from ALI (EUR)</v>
      </c>
      <c r="B89" s="6" t="s">
        <v>350</v>
      </c>
      <c r="C89" s="23" t="n">
        <f aca="false">$C$68</f>
        <v>97219</v>
      </c>
      <c r="D89" s="25" t="s">
        <v>348</v>
      </c>
      <c r="E89" s="25" t="s">
        <v>360</v>
      </c>
    </row>
    <row r="90" customFormat="false" ht="15" hidden="false" customHeight="false" outlineLevel="0" collapsed="false">
      <c r="A90" s="6" t="str">
        <f aca="false">"NPL's earnings ("&amp;$C$37&amp;")"</f>
        <v>NPL's earnings (EUR)</v>
      </c>
      <c r="B90" s="6" t="s">
        <v>347</v>
      </c>
      <c r="C90" s="23" t="n">
        <f aca="false">$C$72</f>
        <v>0</v>
      </c>
      <c r="D90" s="25" t="s">
        <v>361</v>
      </c>
      <c r="E90" s="25" t="s">
        <v>362</v>
      </c>
    </row>
    <row r="91" customFormat="false" ht="15" hidden="false" customHeight="false" outlineLevel="0" collapsed="false">
      <c r="A91" s="6" t="str">
        <f aca="false">"Owed to the other party ("&amp;$C$37&amp;")"</f>
        <v>Owed to the other party (EUR)</v>
      </c>
      <c r="B91" s="6" t="s">
        <v>350</v>
      </c>
      <c r="C91" s="23" t="n">
        <f aca="false">$C$72</f>
        <v>0</v>
      </c>
      <c r="D91" s="25" t="s">
        <v>361</v>
      </c>
      <c r="E91" s="25" t="s">
        <v>363</v>
      </c>
    </row>
    <row r="92" customFormat="false" ht="30" hidden="false" customHeight="true" outlineLevel="0" collapsed="false">
      <c r="A92" s="26" t="s">
        <v>364</v>
      </c>
      <c r="C92" s="27" t="n">
        <f aca="false">ROUND(SUMIF($B$81:$B$91,"in",$C$81:$C$91)-SUMIF($B$81:$B$91,"out",$C$81:$C$91),6)</f>
        <v>0</v>
      </c>
      <c r="E92" s="16" t="s">
        <v>365</v>
      </c>
    </row>
    <row r="94" customFormat="false" ht="15" hidden="false" customHeight="false" outlineLevel="0" collapsed="false">
      <c r="A94" s="14" t="s">
        <v>366</v>
      </c>
    </row>
    <row r="95" customFormat="false" ht="15" hidden="false" customHeight="false" outlineLevel="0" collapsed="false">
      <c r="A95" s="15" t="s">
        <v>367</v>
      </c>
      <c r="B95" s="15" t="s">
        <v>368</v>
      </c>
      <c r="C95" s="15" t="s">
        <v>369</v>
      </c>
      <c r="D95" s="15" t="s">
        <v>370</v>
      </c>
      <c r="E95" s="15" t="s">
        <v>371</v>
      </c>
    </row>
    <row r="96" customFormat="false" ht="30" hidden="false" customHeight="true" outlineLevel="0" collapsed="false">
      <c r="A96" s="3" t="s">
        <v>533</v>
      </c>
      <c r="B96" s="17" t="n">
        <v>97219.6</v>
      </c>
      <c r="C96" s="23" t="n">
        <f aca="false">$C$62</f>
        <v>97219.6</v>
      </c>
      <c r="D96" s="27" t="n">
        <f aca="false">ROUND(C96-B96,2)</f>
        <v>0</v>
      </c>
      <c r="E96" s="16" t="s">
        <v>534</v>
      </c>
    </row>
    <row r="98" customFormat="false" ht="15" hidden="false" customHeight="false" outlineLevel="0" collapsed="false">
      <c r="A98" s="14" t="s">
        <v>374</v>
      </c>
    </row>
    <row r="99" customFormat="false" ht="31.5" hidden="false" customHeight="true" outlineLevel="0" collapsed="false">
      <c r="A99" s="13" t="s">
        <v>375</v>
      </c>
      <c r="B99" s="28" t="s">
        <v>535</v>
      </c>
      <c r="C99" s="28"/>
      <c r="D99" s="28"/>
      <c r="E99" s="28"/>
    </row>
    <row r="100" customFormat="false" ht="31.5" hidden="false" customHeight="true" outlineLevel="0" collapsed="false">
      <c r="A100" s="13" t="s">
        <v>375</v>
      </c>
      <c r="B100" s="28" t="s">
        <v>536</v>
      </c>
      <c r="C100" s="28"/>
      <c r="D100" s="28"/>
      <c r="E100" s="28"/>
    </row>
  </sheetData>
  <mergeCells count="2">
    <mergeCell ref="B99:E99"/>
    <mergeCell ref="B100:E10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44"/>
    <col collapsed="false" customWidth="true" hidden="false" outlineLevel="0" max="3" min="3" style="0" width="70"/>
  </cols>
  <sheetData>
    <row r="1" customFormat="false" ht="16.15" hidden="false" customHeight="false" outlineLevel="0" collapsed="false">
      <c r="A1" s="1" t="s">
        <v>537</v>
      </c>
    </row>
    <row r="3" customFormat="false" ht="15" hidden="false" customHeight="false" outlineLevel="0" collapsed="false">
      <c r="A3" s="15" t="s">
        <v>538</v>
      </c>
      <c r="B3" s="15" t="s">
        <v>213</v>
      </c>
      <c r="C3" s="15" t="s">
        <v>539</v>
      </c>
    </row>
    <row r="4" customFormat="false" ht="35.05" hidden="false" customHeight="false" outlineLevel="0" collapsed="false">
      <c r="A4" s="6" t="s">
        <v>23</v>
      </c>
      <c r="B4" s="3" t="s">
        <v>540</v>
      </c>
      <c r="C4" s="3" t="s">
        <v>541</v>
      </c>
    </row>
    <row r="5" customFormat="false" ht="15" hidden="false" customHeight="false" outlineLevel="0" collapsed="false">
      <c r="A5" s="6" t="s">
        <v>23</v>
      </c>
      <c r="B5" s="3" t="s">
        <v>217</v>
      </c>
      <c r="C5" s="3" t="s">
        <v>542</v>
      </c>
    </row>
    <row r="6" customFormat="false" ht="15" hidden="false" customHeight="false" outlineLevel="0" collapsed="false">
      <c r="A6" s="6" t="s">
        <v>23</v>
      </c>
      <c r="B6" s="3" t="s">
        <v>51</v>
      </c>
      <c r="C6" s="3" t="s">
        <v>543</v>
      </c>
    </row>
    <row r="7" customFormat="false" ht="15" hidden="false" customHeight="false" outlineLevel="0" collapsed="false">
      <c r="A7" s="6" t="s">
        <v>23</v>
      </c>
      <c r="B7" s="3" t="s">
        <v>52</v>
      </c>
      <c r="C7" s="3" t="s">
        <v>544</v>
      </c>
    </row>
    <row r="8" customFormat="false" ht="15" hidden="false" customHeight="false" outlineLevel="0" collapsed="false">
      <c r="A8" s="6" t="s">
        <v>23</v>
      </c>
      <c r="B8" s="3" t="s">
        <v>223</v>
      </c>
      <c r="C8" s="3" t="s">
        <v>545</v>
      </c>
    </row>
    <row r="9" customFormat="false" ht="15" hidden="false" customHeight="false" outlineLevel="0" collapsed="false">
      <c r="A9" s="6" t="s">
        <v>23</v>
      </c>
      <c r="B9" s="3" t="s">
        <v>225</v>
      </c>
      <c r="C9" s="3" t="s">
        <v>546</v>
      </c>
    </row>
    <row r="10" customFormat="false" ht="15" hidden="false" customHeight="false" outlineLevel="0" collapsed="false">
      <c r="A10" s="6" t="s">
        <v>23</v>
      </c>
      <c r="B10" s="3" t="s">
        <v>228</v>
      </c>
      <c r="C10" s="3" t="s">
        <v>547</v>
      </c>
    </row>
    <row r="11" customFormat="false" ht="15" hidden="false" customHeight="false" outlineLevel="0" collapsed="false">
      <c r="A11" s="6" t="s">
        <v>23</v>
      </c>
      <c r="B11" s="3" t="s">
        <v>56</v>
      </c>
      <c r="C11" s="3" t="s">
        <v>548</v>
      </c>
    </row>
    <row r="12" customFormat="false" ht="15" hidden="false" customHeight="false" outlineLevel="0" collapsed="false">
      <c r="A12" s="6" t="s">
        <v>23</v>
      </c>
      <c r="B12" s="3" t="s">
        <v>231</v>
      </c>
      <c r="C12" s="3" t="s">
        <v>549</v>
      </c>
    </row>
    <row r="13" customFormat="false" ht="15" hidden="false" customHeight="false" outlineLevel="0" collapsed="false">
      <c r="A13" s="6" t="s">
        <v>23</v>
      </c>
      <c r="B13" s="3" t="s">
        <v>233</v>
      </c>
      <c r="C13" s="3" t="s">
        <v>550</v>
      </c>
    </row>
    <row r="14" customFormat="false" ht="15" hidden="false" customHeight="false" outlineLevel="0" collapsed="false">
      <c r="A14" s="6" t="s">
        <v>23</v>
      </c>
      <c r="B14" s="3" t="s">
        <v>235</v>
      </c>
      <c r="C14" s="3" t="s">
        <v>551</v>
      </c>
    </row>
    <row r="15" customFormat="false" ht="15" hidden="false" customHeight="false" outlineLevel="0" collapsed="false">
      <c r="A15" s="6" t="s">
        <v>23</v>
      </c>
      <c r="B15" s="3" t="s">
        <v>238</v>
      </c>
      <c r="C15" s="3" t="s">
        <v>552</v>
      </c>
    </row>
    <row r="16" customFormat="false" ht="15" hidden="false" customHeight="false" outlineLevel="0" collapsed="false">
      <c r="A16" s="6" t="s">
        <v>23</v>
      </c>
      <c r="B16" s="3" t="s">
        <v>241</v>
      </c>
      <c r="C16" s="3" t="s">
        <v>553</v>
      </c>
    </row>
    <row r="17" customFormat="false" ht="15" hidden="false" customHeight="false" outlineLevel="0" collapsed="false">
      <c r="A17" s="6" t="s">
        <v>23</v>
      </c>
      <c r="B17" s="3" t="s">
        <v>62</v>
      </c>
      <c r="C17" s="3" t="s">
        <v>554</v>
      </c>
    </row>
    <row r="18" customFormat="false" ht="15" hidden="false" customHeight="false" outlineLevel="0" collapsed="false">
      <c r="A18" s="6" t="s">
        <v>23</v>
      </c>
      <c r="B18" s="3" t="s">
        <v>63</v>
      </c>
      <c r="C18" s="3" t="s">
        <v>555</v>
      </c>
    </row>
    <row r="19" customFormat="false" ht="15" hidden="false" customHeight="false" outlineLevel="0" collapsed="false">
      <c r="A19" s="6" t="s">
        <v>23</v>
      </c>
      <c r="B19" s="3" t="s">
        <v>64</v>
      </c>
      <c r="C19" s="3" t="s">
        <v>556</v>
      </c>
    </row>
    <row r="20" customFormat="false" ht="15" hidden="false" customHeight="false" outlineLevel="0" collapsed="false">
      <c r="A20" s="6" t="s">
        <v>23</v>
      </c>
      <c r="B20" s="3" t="s">
        <v>65</v>
      </c>
      <c r="C20" s="3" t="s">
        <v>557</v>
      </c>
    </row>
    <row r="21" customFormat="false" ht="15" hidden="false" customHeight="false" outlineLevel="0" collapsed="false">
      <c r="A21" s="6" t="s">
        <v>23</v>
      </c>
      <c r="B21" s="3" t="s">
        <v>66</v>
      </c>
      <c r="C21" s="3" t="s">
        <v>558</v>
      </c>
    </row>
    <row r="22" customFormat="false" ht="15" hidden="false" customHeight="false" outlineLevel="0" collapsed="false">
      <c r="A22" s="6" t="s">
        <v>23</v>
      </c>
      <c r="B22" s="3" t="s">
        <v>67</v>
      </c>
      <c r="C22" s="3" t="s">
        <v>559</v>
      </c>
    </row>
    <row r="23" customFormat="false" ht="15" hidden="false" customHeight="false" outlineLevel="0" collapsed="false">
      <c r="A23" s="6" t="s">
        <v>23</v>
      </c>
      <c r="B23" s="3" t="s">
        <v>247</v>
      </c>
      <c r="C23" s="3" t="s">
        <v>560</v>
      </c>
    </row>
    <row r="24" customFormat="false" ht="23.85" hidden="false" customHeight="false" outlineLevel="0" collapsed="false">
      <c r="A24" s="6" t="s">
        <v>23</v>
      </c>
      <c r="B24" s="3" t="s">
        <v>250</v>
      </c>
      <c r="C24" s="3" t="s">
        <v>561</v>
      </c>
    </row>
    <row r="25" customFormat="false" ht="15" hidden="false" customHeight="false" outlineLevel="0" collapsed="false">
      <c r="A25" s="6" t="s">
        <v>23</v>
      </c>
      <c r="B25" s="3" t="s">
        <v>72</v>
      </c>
      <c r="C25" s="3" t="s">
        <v>562</v>
      </c>
    </row>
    <row r="26" customFormat="false" ht="15" hidden="false" customHeight="false" outlineLevel="0" collapsed="false">
      <c r="A26" s="6" t="s">
        <v>23</v>
      </c>
      <c r="B26" s="3" t="s">
        <v>256</v>
      </c>
      <c r="C26" s="3" t="s">
        <v>563</v>
      </c>
    </row>
    <row r="27" customFormat="false" ht="15" hidden="false" customHeight="false" outlineLevel="0" collapsed="false">
      <c r="A27" s="6" t="s">
        <v>23</v>
      </c>
      <c r="B27" s="3" t="s">
        <v>258</v>
      </c>
      <c r="C27" s="3" t="s">
        <v>564</v>
      </c>
    </row>
    <row r="28" customFormat="false" ht="15" hidden="false" customHeight="false" outlineLevel="0" collapsed="false">
      <c r="A28" s="6" t="s">
        <v>23</v>
      </c>
      <c r="B28" s="3" t="s">
        <v>75</v>
      </c>
      <c r="C28" s="3" t="s">
        <v>565</v>
      </c>
    </row>
    <row r="29" customFormat="false" ht="15" hidden="false" customHeight="false" outlineLevel="0" collapsed="false">
      <c r="A29" s="6" t="s">
        <v>23</v>
      </c>
      <c r="B29" s="3" t="s">
        <v>76</v>
      </c>
      <c r="C29" s="3" t="s">
        <v>566</v>
      </c>
    </row>
    <row r="30" customFormat="false" ht="15" hidden="false" customHeight="false" outlineLevel="0" collapsed="false">
      <c r="A30" s="6" t="s">
        <v>23</v>
      </c>
      <c r="B30" s="3" t="s">
        <v>263</v>
      </c>
      <c r="C30" s="3" t="s">
        <v>567</v>
      </c>
    </row>
    <row r="31" customFormat="false" ht="35.05" hidden="false" customHeight="false" outlineLevel="0" collapsed="false">
      <c r="A31" s="6" t="s">
        <v>25</v>
      </c>
      <c r="B31" s="3" t="s">
        <v>540</v>
      </c>
      <c r="C31" s="3" t="s">
        <v>568</v>
      </c>
    </row>
    <row r="32" customFormat="false" ht="15" hidden="false" customHeight="false" outlineLevel="0" collapsed="false">
      <c r="A32" s="6" t="s">
        <v>25</v>
      </c>
      <c r="B32" s="3" t="s">
        <v>217</v>
      </c>
      <c r="C32" s="3" t="s">
        <v>542</v>
      </c>
    </row>
    <row r="33" customFormat="false" ht="15" hidden="false" customHeight="false" outlineLevel="0" collapsed="false">
      <c r="A33" s="6" t="s">
        <v>25</v>
      </c>
      <c r="B33" s="3" t="s">
        <v>51</v>
      </c>
      <c r="C33" s="3" t="s">
        <v>543</v>
      </c>
    </row>
    <row r="34" customFormat="false" ht="15" hidden="false" customHeight="false" outlineLevel="0" collapsed="false">
      <c r="A34" s="6" t="s">
        <v>25</v>
      </c>
      <c r="B34" s="3" t="s">
        <v>52</v>
      </c>
      <c r="C34" s="3" t="s">
        <v>544</v>
      </c>
    </row>
    <row r="35" customFormat="false" ht="15" hidden="false" customHeight="false" outlineLevel="0" collapsed="false">
      <c r="A35" s="6" t="s">
        <v>25</v>
      </c>
      <c r="B35" s="3" t="s">
        <v>223</v>
      </c>
      <c r="C35" s="3" t="s">
        <v>545</v>
      </c>
    </row>
    <row r="36" customFormat="false" ht="15" hidden="false" customHeight="false" outlineLevel="0" collapsed="false">
      <c r="A36" s="6" t="s">
        <v>25</v>
      </c>
      <c r="B36" s="3" t="s">
        <v>225</v>
      </c>
      <c r="C36" s="3" t="s">
        <v>546</v>
      </c>
    </row>
    <row r="37" customFormat="false" ht="15" hidden="false" customHeight="false" outlineLevel="0" collapsed="false">
      <c r="A37" s="6" t="s">
        <v>25</v>
      </c>
      <c r="B37" s="3" t="s">
        <v>228</v>
      </c>
      <c r="C37" s="3" t="s">
        <v>547</v>
      </c>
    </row>
    <row r="38" customFormat="false" ht="15" hidden="false" customHeight="false" outlineLevel="0" collapsed="false">
      <c r="A38" s="6" t="s">
        <v>25</v>
      </c>
      <c r="B38" s="3" t="s">
        <v>56</v>
      </c>
      <c r="C38" s="3" t="s">
        <v>548</v>
      </c>
    </row>
    <row r="39" customFormat="false" ht="15" hidden="false" customHeight="false" outlineLevel="0" collapsed="false">
      <c r="A39" s="6" t="s">
        <v>25</v>
      </c>
      <c r="B39" s="3" t="s">
        <v>231</v>
      </c>
      <c r="C39" s="3" t="s">
        <v>549</v>
      </c>
    </row>
    <row r="40" customFormat="false" ht="15" hidden="false" customHeight="false" outlineLevel="0" collapsed="false">
      <c r="A40" s="6" t="s">
        <v>25</v>
      </c>
      <c r="B40" s="3" t="s">
        <v>233</v>
      </c>
      <c r="C40" s="3" t="s">
        <v>550</v>
      </c>
    </row>
    <row r="41" customFormat="false" ht="15" hidden="false" customHeight="false" outlineLevel="0" collapsed="false">
      <c r="A41" s="6" t="s">
        <v>25</v>
      </c>
      <c r="B41" s="3" t="s">
        <v>235</v>
      </c>
      <c r="C41" s="3" t="s">
        <v>551</v>
      </c>
    </row>
    <row r="42" customFormat="false" ht="15" hidden="false" customHeight="false" outlineLevel="0" collapsed="false">
      <c r="A42" s="6" t="s">
        <v>25</v>
      </c>
      <c r="B42" s="3" t="s">
        <v>238</v>
      </c>
      <c r="C42" s="3" t="s">
        <v>552</v>
      </c>
    </row>
    <row r="43" customFormat="false" ht="15" hidden="false" customHeight="false" outlineLevel="0" collapsed="false">
      <c r="A43" s="6" t="s">
        <v>25</v>
      </c>
      <c r="B43" s="3" t="s">
        <v>241</v>
      </c>
      <c r="C43" s="3" t="s">
        <v>553</v>
      </c>
    </row>
    <row r="44" customFormat="false" ht="15" hidden="false" customHeight="false" outlineLevel="0" collapsed="false">
      <c r="A44" s="6" t="s">
        <v>25</v>
      </c>
      <c r="B44" s="3" t="s">
        <v>62</v>
      </c>
      <c r="C44" s="3" t="s">
        <v>554</v>
      </c>
    </row>
    <row r="45" customFormat="false" ht="15" hidden="false" customHeight="false" outlineLevel="0" collapsed="false">
      <c r="A45" s="6" t="s">
        <v>25</v>
      </c>
      <c r="B45" s="3" t="s">
        <v>63</v>
      </c>
      <c r="C45" s="3" t="s">
        <v>555</v>
      </c>
    </row>
    <row r="46" customFormat="false" ht="15" hidden="false" customHeight="false" outlineLevel="0" collapsed="false">
      <c r="A46" s="6" t="s">
        <v>25</v>
      </c>
      <c r="B46" s="3" t="s">
        <v>64</v>
      </c>
      <c r="C46" s="3" t="s">
        <v>556</v>
      </c>
    </row>
    <row r="47" customFormat="false" ht="15" hidden="false" customHeight="false" outlineLevel="0" collapsed="false">
      <c r="A47" s="6" t="s">
        <v>25</v>
      </c>
      <c r="B47" s="3" t="s">
        <v>65</v>
      </c>
      <c r="C47" s="3" t="s">
        <v>557</v>
      </c>
    </row>
    <row r="48" customFormat="false" ht="15" hidden="false" customHeight="false" outlineLevel="0" collapsed="false">
      <c r="A48" s="6" t="s">
        <v>25</v>
      </c>
      <c r="B48" s="3" t="s">
        <v>66</v>
      </c>
      <c r="C48" s="3" t="s">
        <v>558</v>
      </c>
    </row>
    <row r="49" customFormat="false" ht="15" hidden="false" customHeight="false" outlineLevel="0" collapsed="false">
      <c r="A49" s="6" t="s">
        <v>25</v>
      </c>
      <c r="B49" s="3" t="s">
        <v>67</v>
      </c>
      <c r="C49" s="3" t="s">
        <v>559</v>
      </c>
    </row>
    <row r="50" customFormat="false" ht="15" hidden="false" customHeight="false" outlineLevel="0" collapsed="false">
      <c r="A50" s="6" t="s">
        <v>25</v>
      </c>
      <c r="B50" s="3" t="s">
        <v>247</v>
      </c>
      <c r="C50" s="3" t="s">
        <v>560</v>
      </c>
    </row>
    <row r="51" customFormat="false" ht="23.85" hidden="false" customHeight="false" outlineLevel="0" collapsed="false">
      <c r="A51" s="6" t="s">
        <v>25</v>
      </c>
      <c r="B51" s="3" t="s">
        <v>250</v>
      </c>
      <c r="C51" s="3" t="s">
        <v>561</v>
      </c>
    </row>
    <row r="52" customFormat="false" ht="15" hidden="false" customHeight="false" outlineLevel="0" collapsed="false">
      <c r="A52" s="6" t="s">
        <v>25</v>
      </c>
      <c r="B52" s="3" t="s">
        <v>72</v>
      </c>
      <c r="C52" s="3" t="s">
        <v>562</v>
      </c>
    </row>
    <row r="53" customFormat="false" ht="15" hidden="false" customHeight="false" outlineLevel="0" collapsed="false">
      <c r="A53" s="6" t="s">
        <v>25</v>
      </c>
      <c r="B53" s="3" t="s">
        <v>256</v>
      </c>
      <c r="C53" s="3" t="s">
        <v>563</v>
      </c>
    </row>
    <row r="54" customFormat="false" ht="15" hidden="false" customHeight="false" outlineLevel="0" collapsed="false">
      <c r="A54" s="6" t="s">
        <v>25</v>
      </c>
      <c r="B54" s="3" t="s">
        <v>258</v>
      </c>
      <c r="C54" s="3" t="s">
        <v>564</v>
      </c>
    </row>
    <row r="55" customFormat="false" ht="15" hidden="false" customHeight="false" outlineLevel="0" collapsed="false">
      <c r="A55" s="6" t="s">
        <v>25</v>
      </c>
      <c r="B55" s="3" t="s">
        <v>75</v>
      </c>
      <c r="C55" s="3" t="s">
        <v>565</v>
      </c>
    </row>
    <row r="56" customFormat="false" ht="15" hidden="false" customHeight="false" outlineLevel="0" collapsed="false">
      <c r="A56" s="6" t="s">
        <v>25</v>
      </c>
      <c r="B56" s="3" t="s">
        <v>76</v>
      </c>
      <c r="C56" s="3" t="s">
        <v>566</v>
      </c>
    </row>
    <row r="57" customFormat="false" ht="15" hidden="false" customHeight="false" outlineLevel="0" collapsed="false">
      <c r="A57" s="6" t="s">
        <v>25</v>
      </c>
      <c r="B57" s="3" t="s">
        <v>263</v>
      </c>
      <c r="C57" s="3" t="s">
        <v>567</v>
      </c>
    </row>
    <row r="58" customFormat="false" ht="23.85" hidden="false" customHeight="false" outlineLevel="0" collapsed="false">
      <c r="A58" s="6" t="s">
        <v>27</v>
      </c>
      <c r="B58" s="3" t="s">
        <v>540</v>
      </c>
      <c r="C58" s="3" t="s">
        <v>569</v>
      </c>
    </row>
    <row r="59" customFormat="false" ht="15" hidden="false" customHeight="false" outlineLevel="0" collapsed="false">
      <c r="A59" s="6" t="s">
        <v>27</v>
      </c>
      <c r="B59" s="3" t="s">
        <v>217</v>
      </c>
      <c r="C59" s="3" t="s">
        <v>542</v>
      </c>
    </row>
    <row r="60" customFormat="false" ht="15" hidden="false" customHeight="false" outlineLevel="0" collapsed="false">
      <c r="A60" s="6" t="s">
        <v>27</v>
      </c>
      <c r="B60" s="3" t="s">
        <v>51</v>
      </c>
      <c r="C60" s="3" t="s">
        <v>543</v>
      </c>
    </row>
    <row r="61" customFormat="false" ht="15" hidden="false" customHeight="false" outlineLevel="0" collapsed="false">
      <c r="A61" s="6" t="s">
        <v>27</v>
      </c>
      <c r="B61" s="3" t="s">
        <v>52</v>
      </c>
      <c r="C61" s="3" t="s">
        <v>544</v>
      </c>
    </row>
    <row r="62" customFormat="false" ht="15" hidden="false" customHeight="false" outlineLevel="0" collapsed="false">
      <c r="A62" s="6" t="s">
        <v>27</v>
      </c>
      <c r="B62" s="3" t="s">
        <v>223</v>
      </c>
      <c r="C62" s="3" t="s">
        <v>545</v>
      </c>
    </row>
    <row r="63" customFormat="false" ht="15" hidden="false" customHeight="false" outlineLevel="0" collapsed="false">
      <c r="A63" s="6" t="s">
        <v>27</v>
      </c>
      <c r="B63" s="3" t="s">
        <v>225</v>
      </c>
      <c r="C63" s="3" t="s">
        <v>546</v>
      </c>
    </row>
    <row r="64" customFormat="false" ht="15" hidden="false" customHeight="false" outlineLevel="0" collapsed="false">
      <c r="A64" s="6" t="s">
        <v>27</v>
      </c>
      <c r="B64" s="3" t="s">
        <v>228</v>
      </c>
      <c r="C64" s="3" t="s">
        <v>547</v>
      </c>
    </row>
    <row r="65" customFormat="false" ht="15" hidden="false" customHeight="false" outlineLevel="0" collapsed="false">
      <c r="A65" s="6" t="s">
        <v>27</v>
      </c>
      <c r="B65" s="3" t="s">
        <v>56</v>
      </c>
      <c r="C65" s="3" t="s">
        <v>548</v>
      </c>
    </row>
    <row r="66" customFormat="false" ht="15" hidden="false" customHeight="false" outlineLevel="0" collapsed="false">
      <c r="A66" s="6" t="s">
        <v>27</v>
      </c>
      <c r="B66" s="3" t="s">
        <v>231</v>
      </c>
      <c r="C66" s="3" t="s">
        <v>549</v>
      </c>
    </row>
    <row r="67" customFormat="false" ht="15" hidden="false" customHeight="false" outlineLevel="0" collapsed="false">
      <c r="A67" s="6" t="s">
        <v>27</v>
      </c>
      <c r="B67" s="3" t="s">
        <v>233</v>
      </c>
      <c r="C67" s="3" t="s">
        <v>550</v>
      </c>
    </row>
    <row r="68" customFormat="false" ht="15" hidden="false" customHeight="false" outlineLevel="0" collapsed="false">
      <c r="A68" s="6" t="s">
        <v>27</v>
      </c>
      <c r="B68" s="3" t="s">
        <v>235</v>
      </c>
      <c r="C68" s="3" t="s">
        <v>551</v>
      </c>
    </row>
    <row r="69" customFormat="false" ht="15" hidden="false" customHeight="false" outlineLevel="0" collapsed="false">
      <c r="A69" s="6" t="s">
        <v>27</v>
      </c>
      <c r="B69" s="3" t="s">
        <v>238</v>
      </c>
      <c r="C69" s="3" t="s">
        <v>552</v>
      </c>
    </row>
    <row r="70" customFormat="false" ht="15" hidden="false" customHeight="false" outlineLevel="0" collapsed="false">
      <c r="A70" s="6" t="s">
        <v>27</v>
      </c>
      <c r="B70" s="3" t="s">
        <v>241</v>
      </c>
      <c r="C70" s="3" t="s">
        <v>553</v>
      </c>
    </row>
    <row r="71" customFormat="false" ht="15" hidden="false" customHeight="false" outlineLevel="0" collapsed="false">
      <c r="A71" s="6" t="s">
        <v>27</v>
      </c>
      <c r="B71" s="3" t="s">
        <v>62</v>
      </c>
      <c r="C71" s="3" t="s">
        <v>554</v>
      </c>
    </row>
    <row r="72" customFormat="false" ht="15" hidden="false" customHeight="false" outlineLevel="0" collapsed="false">
      <c r="A72" s="6" t="s">
        <v>27</v>
      </c>
      <c r="B72" s="3" t="s">
        <v>63</v>
      </c>
      <c r="C72" s="3" t="s">
        <v>555</v>
      </c>
    </row>
    <row r="73" customFormat="false" ht="15" hidden="false" customHeight="false" outlineLevel="0" collapsed="false">
      <c r="A73" s="6" t="s">
        <v>27</v>
      </c>
      <c r="B73" s="3" t="s">
        <v>64</v>
      </c>
      <c r="C73" s="3" t="s">
        <v>556</v>
      </c>
    </row>
    <row r="74" customFormat="false" ht="15" hidden="false" customHeight="false" outlineLevel="0" collapsed="false">
      <c r="A74" s="6" t="s">
        <v>27</v>
      </c>
      <c r="B74" s="3" t="s">
        <v>65</v>
      </c>
      <c r="C74" s="3" t="s">
        <v>557</v>
      </c>
    </row>
    <row r="75" customFormat="false" ht="15" hidden="false" customHeight="false" outlineLevel="0" collapsed="false">
      <c r="A75" s="6" t="s">
        <v>27</v>
      </c>
      <c r="B75" s="3" t="s">
        <v>66</v>
      </c>
      <c r="C75" s="3" t="s">
        <v>558</v>
      </c>
    </row>
    <row r="76" customFormat="false" ht="15" hidden="false" customHeight="false" outlineLevel="0" collapsed="false">
      <c r="A76" s="6" t="s">
        <v>27</v>
      </c>
      <c r="B76" s="3" t="s">
        <v>67</v>
      </c>
      <c r="C76" s="3" t="s">
        <v>559</v>
      </c>
    </row>
    <row r="77" customFormat="false" ht="15" hidden="false" customHeight="false" outlineLevel="0" collapsed="false">
      <c r="A77" s="6" t="s">
        <v>27</v>
      </c>
      <c r="B77" s="3" t="s">
        <v>247</v>
      </c>
      <c r="C77" s="3" t="s">
        <v>560</v>
      </c>
    </row>
    <row r="78" customFormat="false" ht="23.85" hidden="false" customHeight="false" outlineLevel="0" collapsed="false">
      <c r="A78" s="6" t="s">
        <v>27</v>
      </c>
      <c r="B78" s="3" t="s">
        <v>250</v>
      </c>
      <c r="C78" s="3" t="s">
        <v>561</v>
      </c>
    </row>
    <row r="79" customFormat="false" ht="15" hidden="false" customHeight="false" outlineLevel="0" collapsed="false">
      <c r="A79" s="6" t="s">
        <v>27</v>
      </c>
      <c r="B79" s="3" t="s">
        <v>72</v>
      </c>
      <c r="C79" s="3" t="s">
        <v>562</v>
      </c>
    </row>
    <row r="80" customFormat="false" ht="15" hidden="false" customHeight="false" outlineLevel="0" collapsed="false">
      <c r="A80" s="6" t="s">
        <v>27</v>
      </c>
      <c r="B80" s="3" t="s">
        <v>256</v>
      </c>
      <c r="C80" s="3" t="s">
        <v>563</v>
      </c>
    </row>
    <row r="81" customFormat="false" ht="15" hidden="false" customHeight="false" outlineLevel="0" collapsed="false">
      <c r="A81" s="6" t="s">
        <v>27</v>
      </c>
      <c r="B81" s="3" t="s">
        <v>258</v>
      </c>
      <c r="C81" s="3" t="s">
        <v>564</v>
      </c>
    </row>
    <row r="82" customFormat="false" ht="15" hidden="false" customHeight="false" outlineLevel="0" collapsed="false">
      <c r="A82" s="6" t="s">
        <v>27</v>
      </c>
      <c r="B82" s="3" t="s">
        <v>75</v>
      </c>
      <c r="C82" s="3" t="s">
        <v>565</v>
      </c>
    </row>
    <row r="83" customFormat="false" ht="15" hidden="false" customHeight="false" outlineLevel="0" collapsed="false">
      <c r="A83" s="6" t="s">
        <v>27</v>
      </c>
      <c r="B83" s="3" t="s">
        <v>76</v>
      </c>
      <c r="C83" s="3" t="s">
        <v>566</v>
      </c>
    </row>
    <row r="84" customFormat="false" ht="15" hidden="false" customHeight="false" outlineLevel="0" collapsed="false">
      <c r="A84" s="6" t="s">
        <v>27</v>
      </c>
      <c r="B84" s="3" t="s">
        <v>263</v>
      </c>
      <c r="C84" s="3" t="s">
        <v>567</v>
      </c>
    </row>
    <row r="85" customFormat="false" ht="35.05" hidden="false" customHeight="false" outlineLevel="0" collapsed="false">
      <c r="A85" s="6" t="s">
        <v>29</v>
      </c>
      <c r="B85" s="3" t="s">
        <v>540</v>
      </c>
      <c r="C85" s="3" t="s">
        <v>570</v>
      </c>
    </row>
    <row r="86" customFormat="false" ht="15" hidden="false" customHeight="false" outlineLevel="0" collapsed="false">
      <c r="A86" s="6" t="s">
        <v>29</v>
      </c>
      <c r="B86" s="3" t="s">
        <v>217</v>
      </c>
      <c r="C86" s="3" t="s">
        <v>542</v>
      </c>
    </row>
    <row r="87" customFormat="false" ht="15" hidden="false" customHeight="false" outlineLevel="0" collapsed="false">
      <c r="A87" s="6" t="s">
        <v>29</v>
      </c>
      <c r="B87" s="3" t="s">
        <v>51</v>
      </c>
      <c r="C87" s="3" t="s">
        <v>543</v>
      </c>
    </row>
    <row r="88" customFormat="false" ht="15" hidden="false" customHeight="false" outlineLevel="0" collapsed="false">
      <c r="A88" s="6" t="s">
        <v>29</v>
      </c>
      <c r="B88" s="3" t="s">
        <v>52</v>
      </c>
      <c r="C88" s="3" t="s">
        <v>544</v>
      </c>
    </row>
    <row r="89" customFormat="false" ht="15" hidden="false" customHeight="false" outlineLevel="0" collapsed="false">
      <c r="A89" s="6" t="s">
        <v>29</v>
      </c>
      <c r="B89" s="3" t="s">
        <v>223</v>
      </c>
      <c r="C89" s="3" t="s">
        <v>545</v>
      </c>
    </row>
    <row r="90" customFormat="false" ht="15" hidden="false" customHeight="false" outlineLevel="0" collapsed="false">
      <c r="A90" s="6" t="s">
        <v>29</v>
      </c>
      <c r="B90" s="3" t="s">
        <v>225</v>
      </c>
      <c r="C90" s="3" t="s">
        <v>546</v>
      </c>
    </row>
    <row r="91" customFormat="false" ht="15" hidden="false" customHeight="false" outlineLevel="0" collapsed="false">
      <c r="A91" s="6" t="s">
        <v>29</v>
      </c>
      <c r="B91" s="3" t="s">
        <v>228</v>
      </c>
      <c r="C91" s="3" t="s">
        <v>547</v>
      </c>
    </row>
    <row r="92" customFormat="false" ht="15" hidden="false" customHeight="false" outlineLevel="0" collapsed="false">
      <c r="A92" s="6" t="s">
        <v>29</v>
      </c>
      <c r="B92" s="3" t="s">
        <v>56</v>
      </c>
      <c r="C92" s="3" t="s">
        <v>548</v>
      </c>
    </row>
    <row r="93" customFormat="false" ht="15" hidden="false" customHeight="false" outlineLevel="0" collapsed="false">
      <c r="A93" s="6" t="s">
        <v>29</v>
      </c>
      <c r="B93" s="3" t="s">
        <v>231</v>
      </c>
      <c r="C93" s="3" t="s">
        <v>549</v>
      </c>
    </row>
    <row r="94" customFormat="false" ht="15" hidden="false" customHeight="false" outlineLevel="0" collapsed="false">
      <c r="A94" s="6" t="s">
        <v>29</v>
      </c>
      <c r="B94" s="3" t="s">
        <v>233</v>
      </c>
      <c r="C94" s="3" t="s">
        <v>550</v>
      </c>
    </row>
    <row r="95" customFormat="false" ht="15" hidden="false" customHeight="false" outlineLevel="0" collapsed="false">
      <c r="A95" s="6" t="s">
        <v>29</v>
      </c>
      <c r="B95" s="3" t="s">
        <v>235</v>
      </c>
      <c r="C95" s="3" t="s">
        <v>551</v>
      </c>
    </row>
    <row r="96" customFormat="false" ht="15" hidden="false" customHeight="false" outlineLevel="0" collapsed="false">
      <c r="A96" s="6" t="s">
        <v>29</v>
      </c>
      <c r="B96" s="3" t="s">
        <v>238</v>
      </c>
      <c r="C96" s="3" t="s">
        <v>552</v>
      </c>
    </row>
    <row r="97" customFormat="false" ht="15" hidden="false" customHeight="false" outlineLevel="0" collapsed="false">
      <c r="A97" s="6" t="s">
        <v>29</v>
      </c>
      <c r="B97" s="3" t="s">
        <v>241</v>
      </c>
      <c r="C97" s="3" t="s">
        <v>553</v>
      </c>
    </row>
    <row r="98" customFormat="false" ht="15" hidden="false" customHeight="false" outlineLevel="0" collapsed="false">
      <c r="A98" s="6" t="s">
        <v>29</v>
      </c>
      <c r="B98" s="3" t="s">
        <v>62</v>
      </c>
      <c r="C98" s="3" t="s">
        <v>554</v>
      </c>
    </row>
    <row r="99" customFormat="false" ht="15" hidden="false" customHeight="false" outlineLevel="0" collapsed="false">
      <c r="A99" s="6" t="s">
        <v>29</v>
      </c>
      <c r="B99" s="3" t="s">
        <v>63</v>
      </c>
      <c r="C99" s="3" t="s">
        <v>555</v>
      </c>
    </row>
    <row r="100" customFormat="false" ht="15" hidden="false" customHeight="false" outlineLevel="0" collapsed="false">
      <c r="A100" s="6" t="s">
        <v>29</v>
      </c>
      <c r="B100" s="3" t="s">
        <v>64</v>
      </c>
      <c r="C100" s="3" t="s">
        <v>556</v>
      </c>
    </row>
    <row r="101" customFormat="false" ht="15" hidden="false" customHeight="false" outlineLevel="0" collapsed="false">
      <c r="A101" s="6" t="s">
        <v>29</v>
      </c>
      <c r="B101" s="3" t="s">
        <v>65</v>
      </c>
      <c r="C101" s="3" t="s">
        <v>557</v>
      </c>
    </row>
    <row r="102" customFormat="false" ht="15" hidden="false" customHeight="false" outlineLevel="0" collapsed="false">
      <c r="A102" s="6" t="s">
        <v>29</v>
      </c>
      <c r="B102" s="3" t="s">
        <v>66</v>
      </c>
      <c r="C102" s="3" t="s">
        <v>558</v>
      </c>
    </row>
    <row r="103" customFormat="false" ht="15" hidden="false" customHeight="false" outlineLevel="0" collapsed="false">
      <c r="A103" s="6" t="s">
        <v>29</v>
      </c>
      <c r="B103" s="3" t="s">
        <v>67</v>
      </c>
      <c r="C103" s="3" t="s">
        <v>559</v>
      </c>
    </row>
    <row r="104" customFormat="false" ht="15" hidden="false" customHeight="false" outlineLevel="0" collapsed="false">
      <c r="A104" s="6" t="s">
        <v>29</v>
      </c>
      <c r="B104" s="3" t="s">
        <v>247</v>
      </c>
      <c r="C104" s="3" t="s">
        <v>560</v>
      </c>
    </row>
    <row r="105" customFormat="false" ht="23.85" hidden="false" customHeight="false" outlineLevel="0" collapsed="false">
      <c r="A105" s="6" t="s">
        <v>29</v>
      </c>
      <c r="B105" s="3" t="s">
        <v>250</v>
      </c>
      <c r="C105" s="3" t="s">
        <v>561</v>
      </c>
    </row>
    <row r="106" customFormat="false" ht="15" hidden="false" customHeight="false" outlineLevel="0" collapsed="false">
      <c r="A106" s="6" t="s">
        <v>29</v>
      </c>
      <c r="B106" s="3" t="s">
        <v>72</v>
      </c>
      <c r="C106" s="3" t="s">
        <v>562</v>
      </c>
    </row>
    <row r="107" customFormat="false" ht="15" hidden="false" customHeight="false" outlineLevel="0" collapsed="false">
      <c r="A107" s="6" t="s">
        <v>29</v>
      </c>
      <c r="B107" s="3" t="s">
        <v>256</v>
      </c>
      <c r="C107" s="3" t="s">
        <v>563</v>
      </c>
    </row>
    <row r="108" customFormat="false" ht="15" hidden="false" customHeight="false" outlineLevel="0" collapsed="false">
      <c r="A108" s="6" t="s">
        <v>29</v>
      </c>
      <c r="B108" s="3" t="s">
        <v>258</v>
      </c>
      <c r="C108" s="3" t="s">
        <v>564</v>
      </c>
    </row>
    <row r="109" customFormat="false" ht="15" hidden="false" customHeight="false" outlineLevel="0" collapsed="false">
      <c r="A109" s="6" t="s">
        <v>29</v>
      </c>
      <c r="B109" s="3" t="s">
        <v>75</v>
      </c>
      <c r="C109" s="3" t="s">
        <v>565</v>
      </c>
    </row>
    <row r="110" customFormat="false" ht="15" hidden="false" customHeight="false" outlineLevel="0" collapsed="false">
      <c r="A110" s="6" t="s">
        <v>29</v>
      </c>
      <c r="B110" s="3" t="s">
        <v>76</v>
      </c>
      <c r="C110" s="3" t="s">
        <v>566</v>
      </c>
    </row>
    <row r="111" customFormat="false" ht="15" hidden="false" customHeight="false" outlineLevel="0" collapsed="false">
      <c r="A111" s="6" t="s">
        <v>29</v>
      </c>
      <c r="B111" s="3" t="s">
        <v>263</v>
      </c>
      <c r="C111" s="3" t="s">
        <v>567</v>
      </c>
    </row>
    <row r="112" customFormat="false" ht="23.85" hidden="false" customHeight="false" outlineLevel="0" collapsed="false">
      <c r="A112" s="6" t="s">
        <v>31</v>
      </c>
      <c r="B112" s="3" t="s">
        <v>540</v>
      </c>
      <c r="C112" s="3" t="s">
        <v>571</v>
      </c>
    </row>
    <row r="113" customFormat="false" ht="15" hidden="false" customHeight="false" outlineLevel="0" collapsed="false">
      <c r="A113" s="6" t="s">
        <v>31</v>
      </c>
      <c r="B113" s="3" t="s">
        <v>217</v>
      </c>
      <c r="C113" s="3" t="s">
        <v>542</v>
      </c>
    </row>
    <row r="114" customFormat="false" ht="15" hidden="false" customHeight="false" outlineLevel="0" collapsed="false">
      <c r="A114" s="6" t="s">
        <v>31</v>
      </c>
      <c r="B114" s="3" t="s">
        <v>51</v>
      </c>
      <c r="C114" s="3" t="s">
        <v>543</v>
      </c>
    </row>
    <row r="115" customFormat="false" ht="15" hidden="false" customHeight="false" outlineLevel="0" collapsed="false">
      <c r="A115" s="6" t="s">
        <v>31</v>
      </c>
      <c r="B115" s="3" t="s">
        <v>52</v>
      </c>
      <c r="C115" s="3" t="s">
        <v>544</v>
      </c>
    </row>
    <row r="116" customFormat="false" ht="15" hidden="false" customHeight="false" outlineLevel="0" collapsed="false">
      <c r="A116" s="6" t="s">
        <v>31</v>
      </c>
      <c r="B116" s="3" t="s">
        <v>223</v>
      </c>
      <c r="C116" s="3" t="s">
        <v>545</v>
      </c>
    </row>
    <row r="117" customFormat="false" ht="15" hidden="false" customHeight="false" outlineLevel="0" collapsed="false">
      <c r="A117" s="6" t="s">
        <v>31</v>
      </c>
      <c r="B117" s="3" t="s">
        <v>225</v>
      </c>
      <c r="C117" s="3" t="s">
        <v>546</v>
      </c>
    </row>
    <row r="118" customFormat="false" ht="15" hidden="false" customHeight="false" outlineLevel="0" collapsed="false">
      <c r="A118" s="6" t="s">
        <v>31</v>
      </c>
      <c r="B118" s="3" t="s">
        <v>228</v>
      </c>
      <c r="C118" s="3" t="s">
        <v>547</v>
      </c>
    </row>
    <row r="119" customFormat="false" ht="15" hidden="false" customHeight="false" outlineLevel="0" collapsed="false">
      <c r="A119" s="6" t="s">
        <v>31</v>
      </c>
      <c r="B119" s="3" t="s">
        <v>56</v>
      </c>
      <c r="C119" s="3" t="s">
        <v>548</v>
      </c>
    </row>
    <row r="120" customFormat="false" ht="15" hidden="false" customHeight="false" outlineLevel="0" collapsed="false">
      <c r="A120" s="6" t="s">
        <v>31</v>
      </c>
      <c r="B120" s="3" t="s">
        <v>231</v>
      </c>
      <c r="C120" s="3" t="s">
        <v>549</v>
      </c>
    </row>
    <row r="121" customFormat="false" ht="15" hidden="false" customHeight="false" outlineLevel="0" collapsed="false">
      <c r="A121" s="6" t="s">
        <v>31</v>
      </c>
      <c r="B121" s="3" t="s">
        <v>233</v>
      </c>
      <c r="C121" s="3" t="s">
        <v>550</v>
      </c>
    </row>
    <row r="122" customFormat="false" ht="15" hidden="false" customHeight="false" outlineLevel="0" collapsed="false">
      <c r="A122" s="6" t="s">
        <v>31</v>
      </c>
      <c r="B122" s="3" t="s">
        <v>235</v>
      </c>
      <c r="C122" s="3" t="s">
        <v>551</v>
      </c>
    </row>
    <row r="123" customFormat="false" ht="15" hidden="false" customHeight="false" outlineLevel="0" collapsed="false">
      <c r="A123" s="6" t="s">
        <v>31</v>
      </c>
      <c r="B123" s="3" t="s">
        <v>238</v>
      </c>
      <c r="C123" s="3" t="s">
        <v>552</v>
      </c>
    </row>
    <row r="124" customFormat="false" ht="15" hidden="false" customHeight="false" outlineLevel="0" collapsed="false">
      <c r="A124" s="6" t="s">
        <v>31</v>
      </c>
      <c r="B124" s="3" t="s">
        <v>241</v>
      </c>
      <c r="C124" s="3" t="s">
        <v>553</v>
      </c>
    </row>
    <row r="125" customFormat="false" ht="15" hidden="false" customHeight="false" outlineLevel="0" collapsed="false">
      <c r="A125" s="6" t="s">
        <v>31</v>
      </c>
      <c r="B125" s="3" t="s">
        <v>62</v>
      </c>
      <c r="C125" s="3" t="s">
        <v>554</v>
      </c>
    </row>
    <row r="126" customFormat="false" ht="15" hidden="false" customHeight="false" outlineLevel="0" collapsed="false">
      <c r="A126" s="6" t="s">
        <v>31</v>
      </c>
      <c r="B126" s="3" t="s">
        <v>63</v>
      </c>
      <c r="C126" s="3" t="s">
        <v>555</v>
      </c>
    </row>
    <row r="127" customFormat="false" ht="15" hidden="false" customHeight="false" outlineLevel="0" collapsed="false">
      <c r="A127" s="6" t="s">
        <v>31</v>
      </c>
      <c r="B127" s="3" t="s">
        <v>64</v>
      </c>
      <c r="C127" s="3" t="s">
        <v>556</v>
      </c>
    </row>
    <row r="128" customFormat="false" ht="15" hidden="false" customHeight="false" outlineLevel="0" collapsed="false">
      <c r="A128" s="6" t="s">
        <v>31</v>
      </c>
      <c r="B128" s="3" t="s">
        <v>65</v>
      </c>
      <c r="C128" s="3" t="s">
        <v>557</v>
      </c>
    </row>
    <row r="129" customFormat="false" ht="15" hidden="false" customHeight="false" outlineLevel="0" collapsed="false">
      <c r="A129" s="6" t="s">
        <v>31</v>
      </c>
      <c r="B129" s="3" t="s">
        <v>66</v>
      </c>
      <c r="C129" s="3" t="s">
        <v>558</v>
      </c>
    </row>
    <row r="130" customFormat="false" ht="15" hidden="false" customHeight="false" outlineLevel="0" collapsed="false">
      <c r="A130" s="6" t="s">
        <v>31</v>
      </c>
      <c r="B130" s="3" t="s">
        <v>67</v>
      </c>
      <c r="C130" s="3" t="s">
        <v>559</v>
      </c>
    </row>
    <row r="131" customFormat="false" ht="15" hidden="false" customHeight="false" outlineLevel="0" collapsed="false">
      <c r="A131" s="6" t="s">
        <v>31</v>
      </c>
      <c r="B131" s="3" t="s">
        <v>247</v>
      </c>
      <c r="C131" s="3" t="s">
        <v>560</v>
      </c>
    </row>
    <row r="132" customFormat="false" ht="23.85" hidden="false" customHeight="false" outlineLevel="0" collapsed="false">
      <c r="A132" s="6" t="s">
        <v>31</v>
      </c>
      <c r="B132" s="3" t="s">
        <v>250</v>
      </c>
      <c r="C132" s="3" t="s">
        <v>561</v>
      </c>
    </row>
    <row r="133" customFormat="false" ht="15" hidden="false" customHeight="false" outlineLevel="0" collapsed="false">
      <c r="A133" s="6" t="s">
        <v>31</v>
      </c>
      <c r="B133" s="3" t="s">
        <v>72</v>
      </c>
      <c r="C133" s="3" t="s">
        <v>562</v>
      </c>
    </row>
    <row r="134" customFormat="false" ht="15" hidden="false" customHeight="false" outlineLevel="0" collapsed="false">
      <c r="A134" s="6" t="s">
        <v>31</v>
      </c>
      <c r="B134" s="3" t="s">
        <v>256</v>
      </c>
      <c r="C134" s="3" t="s">
        <v>563</v>
      </c>
    </row>
    <row r="135" customFormat="false" ht="15" hidden="false" customHeight="false" outlineLevel="0" collapsed="false">
      <c r="A135" s="6" t="s">
        <v>31</v>
      </c>
      <c r="B135" s="3" t="s">
        <v>258</v>
      </c>
      <c r="C135" s="3" t="s">
        <v>564</v>
      </c>
    </row>
    <row r="136" customFormat="false" ht="15" hidden="false" customHeight="false" outlineLevel="0" collapsed="false">
      <c r="A136" s="6" t="s">
        <v>31</v>
      </c>
      <c r="B136" s="3" t="s">
        <v>75</v>
      </c>
      <c r="C136" s="3" t="s">
        <v>565</v>
      </c>
    </row>
    <row r="137" customFormat="false" ht="15" hidden="false" customHeight="false" outlineLevel="0" collapsed="false">
      <c r="A137" s="6" t="s">
        <v>31</v>
      </c>
      <c r="B137" s="3" t="s">
        <v>76</v>
      </c>
      <c r="C137" s="3" t="s">
        <v>566</v>
      </c>
    </row>
    <row r="138" customFormat="false" ht="15" hidden="false" customHeight="false" outlineLevel="0" collapsed="false">
      <c r="A138" s="6" t="s">
        <v>31</v>
      </c>
      <c r="B138" s="3" t="s">
        <v>263</v>
      </c>
      <c r="C138" s="3" t="s">
        <v>567</v>
      </c>
    </row>
    <row r="139" customFormat="false" ht="23.85" hidden="false" customHeight="false" outlineLevel="0" collapsed="false">
      <c r="A139" s="6" t="s">
        <v>33</v>
      </c>
      <c r="B139" s="3" t="s">
        <v>540</v>
      </c>
      <c r="C139" s="3" t="s">
        <v>572</v>
      </c>
    </row>
    <row r="140" customFormat="false" ht="15" hidden="false" customHeight="false" outlineLevel="0" collapsed="false">
      <c r="A140" s="6" t="s">
        <v>33</v>
      </c>
      <c r="B140" s="3" t="s">
        <v>217</v>
      </c>
      <c r="C140" s="3" t="s">
        <v>542</v>
      </c>
    </row>
    <row r="141" customFormat="false" ht="15" hidden="false" customHeight="false" outlineLevel="0" collapsed="false">
      <c r="A141" s="6" t="s">
        <v>33</v>
      </c>
      <c r="B141" s="3" t="s">
        <v>51</v>
      </c>
      <c r="C141" s="3" t="s">
        <v>543</v>
      </c>
    </row>
    <row r="142" customFormat="false" ht="15" hidden="false" customHeight="false" outlineLevel="0" collapsed="false">
      <c r="A142" s="6" t="s">
        <v>33</v>
      </c>
      <c r="B142" s="3" t="s">
        <v>52</v>
      </c>
      <c r="C142" s="3" t="s">
        <v>544</v>
      </c>
    </row>
    <row r="143" customFormat="false" ht="15" hidden="false" customHeight="false" outlineLevel="0" collapsed="false">
      <c r="A143" s="6" t="s">
        <v>33</v>
      </c>
      <c r="B143" s="3" t="s">
        <v>223</v>
      </c>
      <c r="C143" s="3" t="s">
        <v>545</v>
      </c>
    </row>
    <row r="144" customFormat="false" ht="15" hidden="false" customHeight="false" outlineLevel="0" collapsed="false">
      <c r="A144" s="6" t="s">
        <v>33</v>
      </c>
      <c r="B144" s="3" t="s">
        <v>225</v>
      </c>
      <c r="C144" s="3" t="s">
        <v>546</v>
      </c>
    </row>
    <row r="145" customFormat="false" ht="15" hidden="false" customHeight="false" outlineLevel="0" collapsed="false">
      <c r="A145" s="6" t="s">
        <v>33</v>
      </c>
      <c r="B145" s="3" t="s">
        <v>228</v>
      </c>
      <c r="C145" s="3" t="s">
        <v>547</v>
      </c>
    </row>
    <row r="146" customFormat="false" ht="15" hidden="false" customHeight="false" outlineLevel="0" collapsed="false">
      <c r="A146" s="6" t="s">
        <v>33</v>
      </c>
      <c r="B146" s="3" t="s">
        <v>56</v>
      </c>
      <c r="C146" s="3" t="s">
        <v>548</v>
      </c>
    </row>
    <row r="147" customFormat="false" ht="15" hidden="false" customHeight="false" outlineLevel="0" collapsed="false">
      <c r="A147" s="6" t="s">
        <v>33</v>
      </c>
      <c r="B147" s="3" t="s">
        <v>231</v>
      </c>
      <c r="C147" s="3" t="s">
        <v>549</v>
      </c>
    </row>
    <row r="148" customFormat="false" ht="15" hidden="false" customHeight="false" outlineLevel="0" collapsed="false">
      <c r="A148" s="6" t="s">
        <v>33</v>
      </c>
      <c r="B148" s="3" t="s">
        <v>233</v>
      </c>
      <c r="C148" s="3" t="s">
        <v>550</v>
      </c>
    </row>
    <row r="149" customFormat="false" ht="15" hidden="false" customHeight="false" outlineLevel="0" collapsed="false">
      <c r="A149" s="6" t="s">
        <v>33</v>
      </c>
      <c r="B149" s="3" t="s">
        <v>235</v>
      </c>
      <c r="C149" s="3" t="s">
        <v>551</v>
      </c>
    </row>
    <row r="150" customFormat="false" ht="15" hidden="false" customHeight="false" outlineLevel="0" collapsed="false">
      <c r="A150" s="6" t="s">
        <v>33</v>
      </c>
      <c r="B150" s="3" t="s">
        <v>238</v>
      </c>
      <c r="C150" s="3" t="s">
        <v>552</v>
      </c>
    </row>
    <row r="151" customFormat="false" ht="15" hidden="false" customHeight="false" outlineLevel="0" collapsed="false">
      <c r="A151" s="6" t="s">
        <v>33</v>
      </c>
      <c r="B151" s="3" t="s">
        <v>241</v>
      </c>
      <c r="C151" s="3" t="s">
        <v>553</v>
      </c>
    </row>
    <row r="152" customFormat="false" ht="15" hidden="false" customHeight="false" outlineLevel="0" collapsed="false">
      <c r="A152" s="6" t="s">
        <v>33</v>
      </c>
      <c r="B152" s="3" t="s">
        <v>62</v>
      </c>
      <c r="C152" s="3" t="s">
        <v>554</v>
      </c>
    </row>
    <row r="153" customFormat="false" ht="15" hidden="false" customHeight="false" outlineLevel="0" collapsed="false">
      <c r="A153" s="6" t="s">
        <v>33</v>
      </c>
      <c r="B153" s="3" t="s">
        <v>63</v>
      </c>
      <c r="C153" s="3" t="s">
        <v>555</v>
      </c>
    </row>
    <row r="154" customFormat="false" ht="15" hidden="false" customHeight="false" outlineLevel="0" collapsed="false">
      <c r="A154" s="6" t="s">
        <v>33</v>
      </c>
      <c r="B154" s="3" t="s">
        <v>64</v>
      </c>
      <c r="C154" s="3" t="s">
        <v>556</v>
      </c>
    </row>
    <row r="155" customFormat="false" ht="15" hidden="false" customHeight="false" outlineLevel="0" collapsed="false">
      <c r="A155" s="6" t="s">
        <v>33</v>
      </c>
      <c r="B155" s="3" t="s">
        <v>65</v>
      </c>
      <c r="C155" s="3" t="s">
        <v>557</v>
      </c>
    </row>
    <row r="156" customFormat="false" ht="15" hidden="false" customHeight="false" outlineLevel="0" collapsed="false">
      <c r="A156" s="6" t="s">
        <v>33</v>
      </c>
      <c r="B156" s="3" t="s">
        <v>66</v>
      </c>
      <c r="C156" s="3" t="s">
        <v>558</v>
      </c>
    </row>
    <row r="157" customFormat="false" ht="15" hidden="false" customHeight="false" outlineLevel="0" collapsed="false">
      <c r="A157" s="6" t="s">
        <v>33</v>
      </c>
      <c r="B157" s="3" t="s">
        <v>67</v>
      </c>
      <c r="C157" s="3" t="s">
        <v>559</v>
      </c>
    </row>
    <row r="158" customFormat="false" ht="15" hidden="false" customHeight="false" outlineLevel="0" collapsed="false">
      <c r="A158" s="6" t="s">
        <v>33</v>
      </c>
      <c r="B158" s="3" t="s">
        <v>247</v>
      </c>
      <c r="C158" s="3" t="s">
        <v>560</v>
      </c>
    </row>
    <row r="159" customFormat="false" ht="23.85" hidden="false" customHeight="false" outlineLevel="0" collapsed="false">
      <c r="A159" s="6" t="s">
        <v>33</v>
      </c>
      <c r="B159" s="3" t="s">
        <v>250</v>
      </c>
      <c r="C159" s="3" t="s">
        <v>561</v>
      </c>
    </row>
    <row r="160" customFormat="false" ht="15" hidden="false" customHeight="false" outlineLevel="0" collapsed="false">
      <c r="A160" s="6" t="s">
        <v>33</v>
      </c>
      <c r="B160" s="3" t="s">
        <v>72</v>
      </c>
      <c r="C160" s="3" t="s">
        <v>562</v>
      </c>
    </row>
    <row r="161" customFormat="false" ht="15" hidden="false" customHeight="false" outlineLevel="0" collapsed="false">
      <c r="A161" s="6" t="s">
        <v>33</v>
      </c>
      <c r="B161" s="3" t="s">
        <v>256</v>
      </c>
      <c r="C161" s="3" t="s">
        <v>563</v>
      </c>
    </row>
    <row r="162" customFormat="false" ht="15" hidden="false" customHeight="false" outlineLevel="0" collapsed="false">
      <c r="A162" s="6" t="s">
        <v>33</v>
      </c>
      <c r="B162" s="3" t="s">
        <v>258</v>
      </c>
      <c r="C162" s="3" t="s">
        <v>564</v>
      </c>
    </row>
    <row r="163" customFormat="false" ht="15" hidden="false" customHeight="false" outlineLevel="0" collapsed="false">
      <c r="A163" s="6" t="s">
        <v>33</v>
      </c>
      <c r="B163" s="3" t="s">
        <v>75</v>
      </c>
      <c r="C163" s="3" t="s">
        <v>565</v>
      </c>
    </row>
    <row r="164" customFormat="false" ht="15" hidden="false" customHeight="false" outlineLevel="0" collapsed="false">
      <c r="A164" s="6" t="s">
        <v>33</v>
      </c>
      <c r="B164" s="3" t="s">
        <v>76</v>
      </c>
      <c r="C164" s="3" t="s">
        <v>566</v>
      </c>
    </row>
    <row r="165" customFormat="false" ht="15" hidden="false" customHeight="false" outlineLevel="0" collapsed="false">
      <c r="A165" s="6" t="s">
        <v>33</v>
      </c>
      <c r="B165" s="3" t="s">
        <v>263</v>
      </c>
      <c r="C165" s="3" t="s">
        <v>567</v>
      </c>
    </row>
    <row r="166" customFormat="false" ht="35.05" hidden="false" customHeight="false" outlineLevel="0" collapsed="false">
      <c r="A166" s="6" t="s">
        <v>35</v>
      </c>
      <c r="B166" s="3" t="s">
        <v>540</v>
      </c>
      <c r="C166" s="3" t="s">
        <v>573</v>
      </c>
    </row>
    <row r="167" customFormat="false" ht="15" hidden="false" customHeight="false" outlineLevel="0" collapsed="false">
      <c r="A167" s="6" t="s">
        <v>35</v>
      </c>
      <c r="B167" s="3" t="s">
        <v>217</v>
      </c>
      <c r="C167" s="3" t="s">
        <v>542</v>
      </c>
    </row>
    <row r="168" customFormat="false" ht="15" hidden="false" customHeight="false" outlineLevel="0" collapsed="false">
      <c r="A168" s="6" t="s">
        <v>35</v>
      </c>
      <c r="B168" s="3" t="s">
        <v>51</v>
      </c>
      <c r="C168" s="3" t="s">
        <v>543</v>
      </c>
    </row>
    <row r="169" customFormat="false" ht="15" hidden="false" customHeight="false" outlineLevel="0" collapsed="false">
      <c r="A169" s="6" t="s">
        <v>35</v>
      </c>
      <c r="B169" s="3" t="s">
        <v>52</v>
      </c>
      <c r="C169" s="3" t="s">
        <v>544</v>
      </c>
    </row>
    <row r="170" customFormat="false" ht="15" hidden="false" customHeight="false" outlineLevel="0" collapsed="false">
      <c r="A170" s="6" t="s">
        <v>35</v>
      </c>
      <c r="B170" s="3" t="s">
        <v>223</v>
      </c>
      <c r="C170" s="3" t="s">
        <v>545</v>
      </c>
    </row>
    <row r="171" customFormat="false" ht="15" hidden="false" customHeight="false" outlineLevel="0" collapsed="false">
      <c r="A171" s="6" t="s">
        <v>35</v>
      </c>
      <c r="B171" s="3" t="s">
        <v>225</v>
      </c>
      <c r="C171" s="3" t="s">
        <v>546</v>
      </c>
    </row>
    <row r="172" customFormat="false" ht="15" hidden="false" customHeight="false" outlineLevel="0" collapsed="false">
      <c r="A172" s="6" t="s">
        <v>35</v>
      </c>
      <c r="B172" s="3" t="s">
        <v>228</v>
      </c>
      <c r="C172" s="3" t="s">
        <v>547</v>
      </c>
    </row>
    <row r="173" customFormat="false" ht="15" hidden="false" customHeight="false" outlineLevel="0" collapsed="false">
      <c r="A173" s="6" t="s">
        <v>35</v>
      </c>
      <c r="B173" s="3" t="s">
        <v>56</v>
      </c>
      <c r="C173" s="3" t="s">
        <v>548</v>
      </c>
    </row>
    <row r="174" customFormat="false" ht="15" hidden="false" customHeight="false" outlineLevel="0" collapsed="false">
      <c r="A174" s="6" t="s">
        <v>35</v>
      </c>
      <c r="B174" s="3" t="s">
        <v>231</v>
      </c>
      <c r="C174" s="3" t="s">
        <v>549</v>
      </c>
    </row>
    <row r="175" customFormat="false" ht="15" hidden="false" customHeight="false" outlineLevel="0" collapsed="false">
      <c r="A175" s="6" t="s">
        <v>35</v>
      </c>
      <c r="B175" s="3" t="s">
        <v>233</v>
      </c>
      <c r="C175" s="3" t="s">
        <v>550</v>
      </c>
    </row>
    <row r="176" customFormat="false" ht="15" hidden="false" customHeight="false" outlineLevel="0" collapsed="false">
      <c r="A176" s="6" t="s">
        <v>35</v>
      </c>
      <c r="B176" s="3" t="s">
        <v>235</v>
      </c>
      <c r="C176" s="3" t="s">
        <v>551</v>
      </c>
    </row>
    <row r="177" customFormat="false" ht="15" hidden="false" customHeight="false" outlineLevel="0" collapsed="false">
      <c r="A177" s="6" t="s">
        <v>35</v>
      </c>
      <c r="B177" s="3" t="s">
        <v>238</v>
      </c>
      <c r="C177" s="3" t="s">
        <v>552</v>
      </c>
    </row>
    <row r="178" customFormat="false" ht="15" hidden="false" customHeight="false" outlineLevel="0" collapsed="false">
      <c r="A178" s="6" t="s">
        <v>35</v>
      </c>
      <c r="B178" s="3" t="s">
        <v>241</v>
      </c>
      <c r="C178" s="3" t="s">
        <v>553</v>
      </c>
    </row>
    <row r="179" customFormat="false" ht="15" hidden="false" customHeight="false" outlineLevel="0" collapsed="false">
      <c r="A179" s="6" t="s">
        <v>35</v>
      </c>
      <c r="B179" s="3" t="s">
        <v>62</v>
      </c>
      <c r="C179" s="3" t="s">
        <v>554</v>
      </c>
    </row>
    <row r="180" customFormat="false" ht="15" hidden="false" customHeight="false" outlineLevel="0" collapsed="false">
      <c r="A180" s="6" t="s">
        <v>35</v>
      </c>
      <c r="B180" s="3" t="s">
        <v>63</v>
      </c>
      <c r="C180" s="3" t="s">
        <v>555</v>
      </c>
    </row>
    <row r="181" customFormat="false" ht="15" hidden="false" customHeight="false" outlineLevel="0" collapsed="false">
      <c r="A181" s="6" t="s">
        <v>35</v>
      </c>
      <c r="B181" s="3" t="s">
        <v>64</v>
      </c>
      <c r="C181" s="3" t="s">
        <v>556</v>
      </c>
    </row>
    <row r="182" customFormat="false" ht="15" hidden="false" customHeight="false" outlineLevel="0" collapsed="false">
      <c r="A182" s="6" t="s">
        <v>35</v>
      </c>
      <c r="B182" s="3" t="s">
        <v>65</v>
      </c>
      <c r="C182" s="3" t="s">
        <v>557</v>
      </c>
    </row>
    <row r="183" customFormat="false" ht="15" hidden="false" customHeight="false" outlineLevel="0" collapsed="false">
      <c r="A183" s="6" t="s">
        <v>35</v>
      </c>
      <c r="B183" s="3" t="s">
        <v>66</v>
      </c>
      <c r="C183" s="3" t="s">
        <v>558</v>
      </c>
    </row>
    <row r="184" customFormat="false" ht="15" hidden="false" customHeight="false" outlineLevel="0" collapsed="false">
      <c r="A184" s="6" t="s">
        <v>35</v>
      </c>
      <c r="B184" s="3" t="s">
        <v>67</v>
      </c>
      <c r="C184" s="3" t="s">
        <v>559</v>
      </c>
    </row>
    <row r="185" customFormat="false" ht="15" hidden="false" customHeight="false" outlineLevel="0" collapsed="false">
      <c r="A185" s="6" t="s">
        <v>35</v>
      </c>
      <c r="B185" s="3" t="s">
        <v>247</v>
      </c>
      <c r="C185" s="3" t="s">
        <v>560</v>
      </c>
    </row>
    <row r="186" customFormat="false" ht="23.85" hidden="false" customHeight="false" outlineLevel="0" collapsed="false">
      <c r="A186" s="6" t="s">
        <v>35</v>
      </c>
      <c r="B186" s="3" t="s">
        <v>250</v>
      </c>
      <c r="C186" s="3" t="s">
        <v>561</v>
      </c>
    </row>
    <row r="187" customFormat="false" ht="15" hidden="false" customHeight="false" outlineLevel="0" collapsed="false">
      <c r="A187" s="6" t="s">
        <v>35</v>
      </c>
      <c r="B187" s="3" t="s">
        <v>72</v>
      </c>
      <c r="C187" s="3" t="s">
        <v>562</v>
      </c>
    </row>
    <row r="188" customFormat="false" ht="15" hidden="false" customHeight="false" outlineLevel="0" collapsed="false">
      <c r="A188" s="6" t="s">
        <v>35</v>
      </c>
      <c r="B188" s="3" t="s">
        <v>256</v>
      </c>
      <c r="C188" s="3" t="s">
        <v>563</v>
      </c>
    </row>
    <row r="189" customFormat="false" ht="15" hidden="false" customHeight="false" outlineLevel="0" collapsed="false">
      <c r="A189" s="6" t="s">
        <v>35</v>
      </c>
      <c r="B189" s="3" t="s">
        <v>258</v>
      </c>
      <c r="C189" s="3" t="s">
        <v>564</v>
      </c>
    </row>
    <row r="190" customFormat="false" ht="15" hidden="false" customHeight="false" outlineLevel="0" collapsed="false">
      <c r="A190" s="6" t="s">
        <v>35</v>
      </c>
      <c r="B190" s="3" t="s">
        <v>75</v>
      </c>
      <c r="C190" s="3" t="s">
        <v>565</v>
      </c>
    </row>
    <row r="191" customFormat="false" ht="15" hidden="false" customHeight="false" outlineLevel="0" collapsed="false">
      <c r="A191" s="6" t="s">
        <v>35</v>
      </c>
      <c r="B191" s="3" t="s">
        <v>76</v>
      </c>
      <c r="C191" s="3" t="s">
        <v>566</v>
      </c>
    </row>
    <row r="192" customFormat="false" ht="15" hidden="false" customHeight="false" outlineLevel="0" collapsed="false">
      <c r="A192" s="6" t="s">
        <v>35</v>
      </c>
      <c r="B192" s="3" t="s">
        <v>263</v>
      </c>
      <c r="C192" s="3" t="s">
        <v>567</v>
      </c>
    </row>
    <row r="193" customFormat="false" ht="35.05" hidden="false" customHeight="false" outlineLevel="0" collapsed="false">
      <c r="A193" s="6" t="s">
        <v>37</v>
      </c>
      <c r="B193" s="3" t="s">
        <v>540</v>
      </c>
      <c r="C193" s="3" t="s">
        <v>574</v>
      </c>
    </row>
    <row r="194" customFormat="false" ht="15" hidden="false" customHeight="false" outlineLevel="0" collapsed="false">
      <c r="A194" s="6" t="s">
        <v>37</v>
      </c>
      <c r="B194" s="3" t="s">
        <v>217</v>
      </c>
      <c r="C194" s="3" t="s">
        <v>542</v>
      </c>
    </row>
    <row r="195" customFormat="false" ht="15" hidden="false" customHeight="false" outlineLevel="0" collapsed="false">
      <c r="A195" s="6" t="s">
        <v>37</v>
      </c>
      <c r="B195" s="3" t="s">
        <v>51</v>
      </c>
      <c r="C195" s="3" t="s">
        <v>543</v>
      </c>
    </row>
    <row r="196" customFormat="false" ht="15" hidden="false" customHeight="false" outlineLevel="0" collapsed="false">
      <c r="A196" s="6" t="s">
        <v>37</v>
      </c>
      <c r="B196" s="3" t="s">
        <v>52</v>
      </c>
      <c r="C196" s="3" t="s">
        <v>544</v>
      </c>
    </row>
    <row r="197" customFormat="false" ht="15" hidden="false" customHeight="false" outlineLevel="0" collapsed="false">
      <c r="A197" s="6" t="s">
        <v>37</v>
      </c>
      <c r="B197" s="3" t="s">
        <v>223</v>
      </c>
      <c r="C197" s="3" t="s">
        <v>545</v>
      </c>
    </row>
    <row r="198" customFormat="false" ht="15" hidden="false" customHeight="false" outlineLevel="0" collapsed="false">
      <c r="A198" s="6" t="s">
        <v>37</v>
      </c>
      <c r="B198" s="3" t="s">
        <v>225</v>
      </c>
      <c r="C198" s="3" t="s">
        <v>546</v>
      </c>
    </row>
    <row r="199" customFormat="false" ht="15" hidden="false" customHeight="false" outlineLevel="0" collapsed="false">
      <c r="A199" s="6" t="s">
        <v>37</v>
      </c>
      <c r="B199" s="3" t="s">
        <v>228</v>
      </c>
      <c r="C199" s="3" t="s">
        <v>547</v>
      </c>
    </row>
    <row r="200" customFormat="false" ht="15" hidden="false" customHeight="false" outlineLevel="0" collapsed="false">
      <c r="A200" s="6" t="s">
        <v>37</v>
      </c>
      <c r="B200" s="3" t="s">
        <v>56</v>
      </c>
      <c r="C200" s="3" t="s">
        <v>548</v>
      </c>
    </row>
    <row r="201" customFormat="false" ht="15" hidden="false" customHeight="false" outlineLevel="0" collapsed="false">
      <c r="A201" s="6" t="s">
        <v>37</v>
      </c>
      <c r="B201" s="3" t="s">
        <v>231</v>
      </c>
      <c r="C201" s="3" t="s">
        <v>549</v>
      </c>
    </row>
    <row r="202" customFormat="false" ht="15" hidden="false" customHeight="false" outlineLevel="0" collapsed="false">
      <c r="A202" s="6" t="s">
        <v>37</v>
      </c>
      <c r="B202" s="3" t="s">
        <v>233</v>
      </c>
      <c r="C202" s="3" t="s">
        <v>550</v>
      </c>
    </row>
    <row r="203" customFormat="false" ht="15" hidden="false" customHeight="false" outlineLevel="0" collapsed="false">
      <c r="A203" s="6" t="s">
        <v>37</v>
      </c>
      <c r="B203" s="3" t="s">
        <v>235</v>
      </c>
      <c r="C203" s="3" t="s">
        <v>551</v>
      </c>
    </row>
    <row r="204" customFormat="false" ht="15" hidden="false" customHeight="false" outlineLevel="0" collapsed="false">
      <c r="A204" s="6" t="s">
        <v>37</v>
      </c>
      <c r="B204" s="3" t="s">
        <v>238</v>
      </c>
      <c r="C204" s="3" t="s">
        <v>552</v>
      </c>
    </row>
    <row r="205" customFormat="false" ht="15" hidden="false" customHeight="false" outlineLevel="0" collapsed="false">
      <c r="A205" s="6" t="s">
        <v>37</v>
      </c>
      <c r="B205" s="3" t="s">
        <v>241</v>
      </c>
      <c r="C205" s="3" t="s">
        <v>553</v>
      </c>
    </row>
    <row r="206" customFormat="false" ht="15" hidden="false" customHeight="false" outlineLevel="0" collapsed="false">
      <c r="A206" s="6" t="s">
        <v>37</v>
      </c>
      <c r="B206" s="3" t="s">
        <v>62</v>
      </c>
      <c r="C206" s="3" t="s">
        <v>554</v>
      </c>
    </row>
    <row r="207" customFormat="false" ht="15" hidden="false" customHeight="false" outlineLevel="0" collapsed="false">
      <c r="A207" s="6" t="s">
        <v>37</v>
      </c>
      <c r="B207" s="3" t="s">
        <v>63</v>
      </c>
      <c r="C207" s="3" t="s">
        <v>555</v>
      </c>
    </row>
    <row r="208" customFormat="false" ht="15" hidden="false" customHeight="false" outlineLevel="0" collapsed="false">
      <c r="A208" s="6" t="s">
        <v>37</v>
      </c>
      <c r="B208" s="3" t="s">
        <v>64</v>
      </c>
      <c r="C208" s="3" t="s">
        <v>556</v>
      </c>
    </row>
    <row r="209" customFormat="false" ht="15" hidden="false" customHeight="false" outlineLevel="0" collapsed="false">
      <c r="A209" s="6" t="s">
        <v>37</v>
      </c>
      <c r="B209" s="3" t="s">
        <v>65</v>
      </c>
      <c r="C209" s="3" t="s">
        <v>557</v>
      </c>
    </row>
    <row r="210" customFormat="false" ht="15" hidden="false" customHeight="false" outlineLevel="0" collapsed="false">
      <c r="A210" s="6" t="s">
        <v>37</v>
      </c>
      <c r="B210" s="3" t="s">
        <v>66</v>
      </c>
      <c r="C210" s="3" t="s">
        <v>558</v>
      </c>
    </row>
    <row r="211" customFormat="false" ht="15" hidden="false" customHeight="false" outlineLevel="0" collapsed="false">
      <c r="A211" s="6" t="s">
        <v>37</v>
      </c>
      <c r="B211" s="3" t="s">
        <v>67</v>
      </c>
      <c r="C211" s="3" t="s">
        <v>559</v>
      </c>
    </row>
    <row r="212" customFormat="false" ht="15" hidden="false" customHeight="false" outlineLevel="0" collapsed="false">
      <c r="A212" s="6" t="s">
        <v>37</v>
      </c>
      <c r="B212" s="3" t="s">
        <v>247</v>
      </c>
      <c r="C212" s="3" t="s">
        <v>560</v>
      </c>
    </row>
    <row r="213" customFormat="false" ht="23.85" hidden="false" customHeight="false" outlineLevel="0" collapsed="false">
      <c r="A213" s="6" t="s">
        <v>37</v>
      </c>
      <c r="B213" s="3" t="s">
        <v>250</v>
      </c>
      <c r="C213" s="3" t="s">
        <v>561</v>
      </c>
    </row>
    <row r="214" customFormat="false" ht="15" hidden="false" customHeight="false" outlineLevel="0" collapsed="false">
      <c r="A214" s="6" t="s">
        <v>37</v>
      </c>
      <c r="B214" s="3" t="s">
        <v>72</v>
      </c>
      <c r="C214" s="3" t="s">
        <v>562</v>
      </c>
    </row>
    <row r="215" customFormat="false" ht="15" hidden="false" customHeight="false" outlineLevel="0" collapsed="false">
      <c r="A215" s="6" t="s">
        <v>37</v>
      </c>
      <c r="B215" s="3" t="s">
        <v>256</v>
      </c>
      <c r="C215" s="3" t="s">
        <v>563</v>
      </c>
    </row>
    <row r="216" customFormat="false" ht="15" hidden="false" customHeight="false" outlineLevel="0" collapsed="false">
      <c r="A216" s="6" t="s">
        <v>37</v>
      </c>
      <c r="B216" s="3" t="s">
        <v>258</v>
      </c>
      <c r="C216" s="3" t="s">
        <v>564</v>
      </c>
    </row>
    <row r="217" customFormat="false" ht="15" hidden="false" customHeight="false" outlineLevel="0" collapsed="false">
      <c r="A217" s="6" t="s">
        <v>37</v>
      </c>
      <c r="B217" s="3" t="s">
        <v>75</v>
      </c>
      <c r="C217" s="3" t="s">
        <v>565</v>
      </c>
    </row>
    <row r="218" customFormat="false" ht="15" hidden="false" customHeight="false" outlineLevel="0" collapsed="false">
      <c r="A218" s="6" t="s">
        <v>37</v>
      </c>
      <c r="B218" s="3" t="s">
        <v>76</v>
      </c>
      <c r="C218" s="3" t="s">
        <v>566</v>
      </c>
    </row>
    <row r="219" customFormat="false" ht="15" hidden="false" customHeight="false" outlineLevel="0" collapsed="false">
      <c r="A219" s="6" t="s">
        <v>37</v>
      </c>
      <c r="B219" s="3" t="s">
        <v>263</v>
      </c>
      <c r="C219" s="3" t="s">
        <v>567</v>
      </c>
    </row>
    <row r="220" customFormat="false" ht="35.05" hidden="false" customHeight="false" outlineLevel="0" collapsed="false">
      <c r="A220" s="6" t="s">
        <v>39</v>
      </c>
      <c r="B220" s="3" t="s">
        <v>540</v>
      </c>
      <c r="C220" s="3" t="s">
        <v>575</v>
      </c>
    </row>
    <row r="221" customFormat="false" ht="15" hidden="false" customHeight="false" outlineLevel="0" collapsed="false">
      <c r="A221" s="6" t="s">
        <v>39</v>
      </c>
      <c r="B221" s="3" t="s">
        <v>217</v>
      </c>
      <c r="C221" s="3" t="s">
        <v>542</v>
      </c>
    </row>
    <row r="222" customFormat="false" ht="15" hidden="false" customHeight="false" outlineLevel="0" collapsed="false">
      <c r="A222" s="6" t="s">
        <v>39</v>
      </c>
      <c r="B222" s="3" t="s">
        <v>51</v>
      </c>
      <c r="C222" s="3" t="s">
        <v>543</v>
      </c>
    </row>
    <row r="223" customFormat="false" ht="15" hidden="false" customHeight="false" outlineLevel="0" collapsed="false">
      <c r="A223" s="6" t="s">
        <v>39</v>
      </c>
      <c r="B223" s="3" t="s">
        <v>52</v>
      </c>
      <c r="C223" s="3" t="s">
        <v>544</v>
      </c>
    </row>
    <row r="224" customFormat="false" ht="15" hidden="false" customHeight="false" outlineLevel="0" collapsed="false">
      <c r="A224" s="6" t="s">
        <v>39</v>
      </c>
      <c r="B224" s="3" t="s">
        <v>223</v>
      </c>
      <c r="C224" s="3" t="s">
        <v>545</v>
      </c>
    </row>
    <row r="225" customFormat="false" ht="15" hidden="false" customHeight="false" outlineLevel="0" collapsed="false">
      <c r="A225" s="6" t="s">
        <v>39</v>
      </c>
      <c r="B225" s="3" t="s">
        <v>225</v>
      </c>
      <c r="C225" s="3" t="s">
        <v>546</v>
      </c>
    </row>
    <row r="226" customFormat="false" ht="15" hidden="false" customHeight="false" outlineLevel="0" collapsed="false">
      <c r="A226" s="6" t="s">
        <v>39</v>
      </c>
      <c r="B226" s="3" t="s">
        <v>228</v>
      </c>
      <c r="C226" s="3" t="s">
        <v>547</v>
      </c>
    </row>
    <row r="227" customFormat="false" ht="15" hidden="false" customHeight="false" outlineLevel="0" collapsed="false">
      <c r="A227" s="6" t="s">
        <v>39</v>
      </c>
      <c r="B227" s="3" t="s">
        <v>56</v>
      </c>
      <c r="C227" s="3" t="s">
        <v>548</v>
      </c>
    </row>
    <row r="228" customFormat="false" ht="15" hidden="false" customHeight="false" outlineLevel="0" collapsed="false">
      <c r="A228" s="6" t="s">
        <v>39</v>
      </c>
      <c r="B228" s="3" t="s">
        <v>231</v>
      </c>
      <c r="C228" s="3" t="s">
        <v>549</v>
      </c>
    </row>
    <row r="229" customFormat="false" ht="15" hidden="false" customHeight="false" outlineLevel="0" collapsed="false">
      <c r="A229" s="6" t="s">
        <v>39</v>
      </c>
      <c r="B229" s="3" t="s">
        <v>233</v>
      </c>
      <c r="C229" s="3" t="s">
        <v>550</v>
      </c>
    </row>
    <row r="230" customFormat="false" ht="15" hidden="false" customHeight="false" outlineLevel="0" collapsed="false">
      <c r="A230" s="6" t="s">
        <v>39</v>
      </c>
      <c r="B230" s="3" t="s">
        <v>235</v>
      </c>
      <c r="C230" s="3" t="s">
        <v>551</v>
      </c>
    </row>
    <row r="231" customFormat="false" ht="15" hidden="false" customHeight="false" outlineLevel="0" collapsed="false">
      <c r="A231" s="6" t="s">
        <v>39</v>
      </c>
      <c r="B231" s="3" t="s">
        <v>238</v>
      </c>
      <c r="C231" s="3" t="s">
        <v>552</v>
      </c>
    </row>
    <row r="232" customFormat="false" ht="15" hidden="false" customHeight="false" outlineLevel="0" collapsed="false">
      <c r="A232" s="6" t="s">
        <v>39</v>
      </c>
      <c r="B232" s="3" t="s">
        <v>241</v>
      </c>
      <c r="C232" s="3" t="s">
        <v>553</v>
      </c>
    </row>
    <row r="233" customFormat="false" ht="15" hidden="false" customHeight="false" outlineLevel="0" collapsed="false">
      <c r="A233" s="6" t="s">
        <v>39</v>
      </c>
      <c r="B233" s="3" t="s">
        <v>62</v>
      </c>
      <c r="C233" s="3" t="s">
        <v>554</v>
      </c>
    </row>
    <row r="234" customFormat="false" ht="15" hidden="false" customHeight="false" outlineLevel="0" collapsed="false">
      <c r="A234" s="6" t="s">
        <v>39</v>
      </c>
      <c r="B234" s="3" t="s">
        <v>63</v>
      </c>
      <c r="C234" s="3" t="s">
        <v>555</v>
      </c>
    </row>
    <row r="235" customFormat="false" ht="15" hidden="false" customHeight="false" outlineLevel="0" collapsed="false">
      <c r="A235" s="6" t="s">
        <v>39</v>
      </c>
      <c r="B235" s="3" t="s">
        <v>64</v>
      </c>
      <c r="C235" s="3" t="s">
        <v>556</v>
      </c>
    </row>
    <row r="236" customFormat="false" ht="15" hidden="false" customHeight="false" outlineLevel="0" collapsed="false">
      <c r="A236" s="6" t="s">
        <v>39</v>
      </c>
      <c r="B236" s="3" t="s">
        <v>65</v>
      </c>
      <c r="C236" s="3" t="s">
        <v>557</v>
      </c>
    </row>
    <row r="237" customFormat="false" ht="15" hidden="false" customHeight="false" outlineLevel="0" collapsed="false">
      <c r="A237" s="6" t="s">
        <v>39</v>
      </c>
      <c r="B237" s="3" t="s">
        <v>66</v>
      </c>
      <c r="C237" s="3" t="s">
        <v>558</v>
      </c>
    </row>
    <row r="238" customFormat="false" ht="15" hidden="false" customHeight="false" outlineLevel="0" collapsed="false">
      <c r="A238" s="6" t="s">
        <v>39</v>
      </c>
      <c r="B238" s="3" t="s">
        <v>67</v>
      </c>
      <c r="C238" s="3" t="s">
        <v>559</v>
      </c>
    </row>
    <row r="239" customFormat="false" ht="15" hidden="false" customHeight="false" outlineLevel="0" collapsed="false">
      <c r="A239" s="6" t="s">
        <v>39</v>
      </c>
      <c r="B239" s="3" t="s">
        <v>247</v>
      </c>
      <c r="C239" s="3" t="s">
        <v>560</v>
      </c>
    </row>
    <row r="240" customFormat="false" ht="23.85" hidden="false" customHeight="false" outlineLevel="0" collapsed="false">
      <c r="A240" s="6" t="s">
        <v>39</v>
      </c>
      <c r="B240" s="3" t="s">
        <v>250</v>
      </c>
      <c r="C240" s="3" t="s">
        <v>561</v>
      </c>
    </row>
    <row r="241" customFormat="false" ht="15" hidden="false" customHeight="false" outlineLevel="0" collapsed="false">
      <c r="A241" s="6" t="s">
        <v>39</v>
      </c>
      <c r="B241" s="3" t="s">
        <v>72</v>
      </c>
      <c r="C241" s="3" t="s">
        <v>562</v>
      </c>
    </row>
    <row r="242" customFormat="false" ht="15" hidden="false" customHeight="false" outlineLevel="0" collapsed="false">
      <c r="A242" s="6" t="s">
        <v>39</v>
      </c>
      <c r="B242" s="3" t="s">
        <v>256</v>
      </c>
      <c r="C242" s="3" t="s">
        <v>563</v>
      </c>
    </row>
    <row r="243" customFormat="false" ht="15" hidden="false" customHeight="false" outlineLevel="0" collapsed="false">
      <c r="A243" s="6" t="s">
        <v>39</v>
      </c>
      <c r="B243" s="3" t="s">
        <v>258</v>
      </c>
      <c r="C243" s="3" t="s">
        <v>564</v>
      </c>
    </row>
    <row r="244" customFormat="false" ht="15" hidden="false" customHeight="false" outlineLevel="0" collapsed="false">
      <c r="A244" s="6" t="s">
        <v>39</v>
      </c>
      <c r="B244" s="3" t="s">
        <v>75</v>
      </c>
      <c r="C244" s="3" t="s">
        <v>565</v>
      </c>
    </row>
    <row r="245" customFormat="false" ht="15" hidden="false" customHeight="false" outlineLevel="0" collapsed="false">
      <c r="A245" s="6" t="s">
        <v>39</v>
      </c>
      <c r="B245" s="3" t="s">
        <v>76</v>
      </c>
      <c r="C245" s="3" t="s">
        <v>566</v>
      </c>
    </row>
    <row r="246" customFormat="false" ht="15" hidden="false" customHeight="false" outlineLevel="0" collapsed="false">
      <c r="A246" s="6" t="s">
        <v>39</v>
      </c>
      <c r="B246" s="3" t="s">
        <v>263</v>
      </c>
      <c r="C246" s="3" t="s">
        <v>567</v>
      </c>
    </row>
    <row r="247" customFormat="false" ht="23.85" hidden="false" customHeight="false" outlineLevel="0" collapsed="false">
      <c r="A247" s="6" t="s">
        <v>41</v>
      </c>
      <c r="B247" s="3" t="s">
        <v>540</v>
      </c>
      <c r="C247" s="3" t="s">
        <v>576</v>
      </c>
    </row>
    <row r="248" customFormat="false" ht="15" hidden="false" customHeight="false" outlineLevel="0" collapsed="false">
      <c r="A248" s="6" t="s">
        <v>41</v>
      </c>
      <c r="B248" s="3" t="s">
        <v>217</v>
      </c>
      <c r="C248" s="3" t="s">
        <v>542</v>
      </c>
    </row>
    <row r="249" customFormat="false" ht="15" hidden="false" customHeight="false" outlineLevel="0" collapsed="false">
      <c r="A249" s="6" t="s">
        <v>41</v>
      </c>
      <c r="B249" s="3" t="s">
        <v>51</v>
      </c>
      <c r="C249" s="3" t="s">
        <v>543</v>
      </c>
    </row>
    <row r="250" customFormat="false" ht="15" hidden="false" customHeight="false" outlineLevel="0" collapsed="false">
      <c r="A250" s="6" t="s">
        <v>41</v>
      </c>
      <c r="B250" s="3" t="s">
        <v>52</v>
      </c>
      <c r="C250" s="3" t="s">
        <v>544</v>
      </c>
    </row>
    <row r="251" customFormat="false" ht="15" hidden="false" customHeight="false" outlineLevel="0" collapsed="false">
      <c r="A251" s="6" t="s">
        <v>41</v>
      </c>
      <c r="B251" s="3" t="s">
        <v>223</v>
      </c>
      <c r="C251" s="3" t="s">
        <v>545</v>
      </c>
    </row>
    <row r="252" customFormat="false" ht="15" hidden="false" customHeight="false" outlineLevel="0" collapsed="false">
      <c r="A252" s="6" t="s">
        <v>41</v>
      </c>
      <c r="B252" s="3" t="s">
        <v>225</v>
      </c>
      <c r="C252" s="3" t="s">
        <v>546</v>
      </c>
    </row>
    <row r="253" customFormat="false" ht="15" hidden="false" customHeight="false" outlineLevel="0" collapsed="false">
      <c r="A253" s="6" t="s">
        <v>41</v>
      </c>
      <c r="B253" s="3" t="s">
        <v>228</v>
      </c>
      <c r="C253" s="3" t="s">
        <v>547</v>
      </c>
    </row>
    <row r="254" customFormat="false" ht="15" hidden="false" customHeight="false" outlineLevel="0" collapsed="false">
      <c r="A254" s="6" t="s">
        <v>41</v>
      </c>
      <c r="B254" s="3" t="s">
        <v>56</v>
      </c>
      <c r="C254" s="3" t="s">
        <v>548</v>
      </c>
    </row>
    <row r="255" customFormat="false" ht="15" hidden="false" customHeight="false" outlineLevel="0" collapsed="false">
      <c r="A255" s="6" t="s">
        <v>41</v>
      </c>
      <c r="B255" s="3" t="s">
        <v>231</v>
      </c>
      <c r="C255" s="3" t="s">
        <v>549</v>
      </c>
    </row>
    <row r="256" customFormat="false" ht="15" hidden="false" customHeight="false" outlineLevel="0" collapsed="false">
      <c r="A256" s="6" t="s">
        <v>41</v>
      </c>
      <c r="B256" s="3" t="s">
        <v>233</v>
      </c>
      <c r="C256" s="3" t="s">
        <v>550</v>
      </c>
    </row>
    <row r="257" customFormat="false" ht="15" hidden="false" customHeight="false" outlineLevel="0" collapsed="false">
      <c r="A257" s="6" t="s">
        <v>41</v>
      </c>
      <c r="B257" s="3" t="s">
        <v>235</v>
      </c>
      <c r="C257" s="3" t="s">
        <v>551</v>
      </c>
    </row>
    <row r="258" customFormat="false" ht="15" hidden="false" customHeight="false" outlineLevel="0" collapsed="false">
      <c r="A258" s="6" t="s">
        <v>41</v>
      </c>
      <c r="B258" s="3" t="s">
        <v>238</v>
      </c>
      <c r="C258" s="3" t="s">
        <v>552</v>
      </c>
    </row>
    <row r="259" customFormat="false" ht="15" hidden="false" customHeight="false" outlineLevel="0" collapsed="false">
      <c r="A259" s="6" t="s">
        <v>41</v>
      </c>
      <c r="B259" s="3" t="s">
        <v>241</v>
      </c>
      <c r="C259" s="3" t="s">
        <v>553</v>
      </c>
    </row>
    <row r="260" customFormat="false" ht="15" hidden="false" customHeight="false" outlineLevel="0" collapsed="false">
      <c r="A260" s="6" t="s">
        <v>41</v>
      </c>
      <c r="B260" s="3" t="s">
        <v>62</v>
      </c>
      <c r="C260" s="3" t="s">
        <v>554</v>
      </c>
    </row>
    <row r="261" customFormat="false" ht="15" hidden="false" customHeight="false" outlineLevel="0" collapsed="false">
      <c r="A261" s="6" t="s">
        <v>41</v>
      </c>
      <c r="B261" s="3" t="s">
        <v>63</v>
      </c>
      <c r="C261" s="3" t="s">
        <v>555</v>
      </c>
    </row>
    <row r="262" customFormat="false" ht="15" hidden="false" customHeight="false" outlineLevel="0" collapsed="false">
      <c r="A262" s="6" t="s">
        <v>41</v>
      </c>
      <c r="B262" s="3" t="s">
        <v>64</v>
      </c>
      <c r="C262" s="3" t="s">
        <v>556</v>
      </c>
    </row>
    <row r="263" customFormat="false" ht="15" hidden="false" customHeight="false" outlineLevel="0" collapsed="false">
      <c r="A263" s="6" t="s">
        <v>41</v>
      </c>
      <c r="B263" s="3" t="s">
        <v>65</v>
      </c>
      <c r="C263" s="3" t="s">
        <v>557</v>
      </c>
    </row>
    <row r="264" customFormat="false" ht="15" hidden="false" customHeight="false" outlineLevel="0" collapsed="false">
      <c r="A264" s="6" t="s">
        <v>41</v>
      </c>
      <c r="B264" s="3" t="s">
        <v>66</v>
      </c>
      <c r="C264" s="3" t="s">
        <v>558</v>
      </c>
    </row>
    <row r="265" customFormat="false" ht="15" hidden="false" customHeight="false" outlineLevel="0" collapsed="false">
      <c r="A265" s="6" t="s">
        <v>41</v>
      </c>
      <c r="B265" s="3" t="s">
        <v>67</v>
      </c>
      <c r="C265" s="3" t="s">
        <v>559</v>
      </c>
    </row>
    <row r="266" customFormat="false" ht="15" hidden="false" customHeight="false" outlineLevel="0" collapsed="false">
      <c r="A266" s="6" t="s">
        <v>41</v>
      </c>
      <c r="B266" s="3" t="s">
        <v>247</v>
      </c>
      <c r="C266" s="3" t="s">
        <v>560</v>
      </c>
    </row>
    <row r="267" customFormat="false" ht="23.85" hidden="false" customHeight="false" outlineLevel="0" collapsed="false">
      <c r="A267" s="6" t="s">
        <v>41</v>
      </c>
      <c r="B267" s="3" t="s">
        <v>250</v>
      </c>
      <c r="C267" s="3" t="s">
        <v>561</v>
      </c>
    </row>
    <row r="268" customFormat="false" ht="15" hidden="false" customHeight="false" outlineLevel="0" collapsed="false">
      <c r="A268" s="6" t="s">
        <v>41</v>
      </c>
      <c r="B268" s="3" t="s">
        <v>72</v>
      </c>
      <c r="C268" s="3" t="s">
        <v>562</v>
      </c>
    </row>
    <row r="269" customFormat="false" ht="15" hidden="false" customHeight="false" outlineLevel="0" collapsed="false">
      <c r="A269" s="6" t="s">
        <v>41</v>
      </c>
      <c r="B269" s="3" t="s">
        <v>256</v>
      </c>
      <c r="C269" s="3" t="s">
        <v>563</v>
      </c>
    </row>
    <row r="270" customFormat="false" ht="15" hidden="false" customHeight="false" outlineLevel="0" collapsed="false">
      <c r="A270" s="6" t="s">
        <v>41</v>
      </c>
      <c r="B270" s="3" t="s">
        <v>258</v>
      </c>
      <c r="C270" s="3" t="s">
        <v>564</v>
      </c>
    </row>
    <row r="271" customFormat="false" ht="15" hidden="false" customHeight="false" outlineLevel="0" collapsed="false">
      <c r="A271" s="6" t="s">
        <v>41</v>
      </c>
      <c r="B271" s="3" t="s">
        <v>75</v>
      </c>
      <c r="C271" s="3" t="s">
        <v>565</v>
      </c>
    </row>
    <row r="272" customFormat="false" ht="15" hidden="false" customHeight="false" outlineLevel="0" collapsed="false">
      <c r="A272" s="6" t="s">
        <v>41</v>
      </c>
      <c r="B272" s="3" t="s">
        <v>76</v>
      </c>
      <c r="C272" s="3" t="s">
        <v>566</v>
      </c>
    </row>
    <row r="273" customFormat="false" ht="15" hidden="false" customHeight="false" outlineLevel="0" collapsed="false">
      <c r="A273" s="6" t="s">
        <v>41</v>
      </c>
      <c r="B273" s="3" t="s">
        <v>263</v>
      </c>
      <c r="C273" s="3" t="s">
        <v>567</v>
      </c>
    </row>
    <row r="274" customFormat="false" ht="15" hidden="false" customHeight="false" outlineLevel="0" collapsed="false">
      <c r="A274" s="6" t="s">
        <v>43</v>
      </c>
      <c r="B274" s="3" t="s">
        <v>540</v>
      </c>
      <c r="C274" s="3" t="s">
        <v>577</v>
      </c>
    </row>
    <row r="275" customFormat="false" ht="15" hidden="false" customHeight="false" outlineLevel="0" collapsed="false">
      <c r="A275" s="6" t="s">
        <v>43</v>
      </c>
      <c r="B275" s="3" t="s">
        <v>217</v>
      </c>
      <c r="C275" s="3" t="s">
        <v>542</v>
      </c>
    </row>
    <row r="276" customFormat="false" ht="15" hidden="false" customHeight="false" outlineLevel="0" collapsed="false">
      <c r="A276" s="6" t="s">
        <v>43</v>
      </c>
      <c r="B276" s="3" t="s">
        <v>51</v>
      </c>
      <c r="C276" s="3" t="s">
        <v>543</v>
      </c>
    </row>
    <row r="277" customFormat="false" ht="15" hidden="false" customHeight="false" outlineLevel="0" collapsed="false">
      <c r="A277" s="6" t="s">
        <v>43</v>
      </c>
      <c r="B277" s="3" t="s">
        <v>52</v>
      </c>
      <c r="C277" s="3" t="s">
        <v>544</v>
      </c>
    </row>
    <row r="278" customFormat="false" ht="15" hidden="false" customHeight="false" outlineLevel="0" collapsed="false">
      <c r="A278" s="6" t="s">
        <v>43</v>
      </c>
      <c r="B278" s="3" t="s">
        <v>223</v>
      </c>
      <c r="C278" s="3" t="s">
        <v>545</v>
      </c>
    </row>
    <row r="279" customFormat="false" ht="15" hidden="false" customHeight="false" outlineLevel="0" collapsed="false">
      <c r="A279" s="6" t="s">
        <v>43</v>
      </c>
      <c r="B279" s="3" t="s">
        <v>225</v>
      </c>
      <c r="C279" s="3" t="s">
        <v>546</v>
      </c>
    </row>
    <row r="280" customFormat="false" ht="15" hidden="false" customHeight="false" outlineLevel="0" collapsed="false">
      <c r="A280" s="6" t="s">
        <v>43</v>
      </c>
      <c r="B280" s="3" t="s">
        <v>228</v>
      </c>
      <c r="C280" s="3" t="s">
        <v>547</v>
      </c>
    </row>
    <row r="281" customFormat="false" ht="15" hidden="false" customHeight="false" outlineLevel="0" collapsed="false">
      <c r="A281" s="6" t="s">
        <v>43</v>
      </c>
      <c r="B281" s="3" t="s">
        <v>56</v>
      </c>
      <c r="C281" s="3" t="s">
        <v>548</v>
      </c>
    </row>
    <row r="282" customFormat="false" ht="15" hidden="false" customHeight="false" outlineLevel="0" collapsed="false">
      <c r="A282" s="6" t="s">
        <v>43</v>
      </c>
      <c r="B282" s="3" t="s">
        <v>231</v>
      </c>
      <c r="C282" s="3" t="s">
        <v>549</v>
      </c>
    </row>
    <row r="283" customFormat="false" ht="15" hidden="false" customHeight="false" outlineLevel="0" collapsed="false">
      <c r="A283" s="6" t="s">
        <v>43</v>
      </c>
      <c r="B283" s="3" t="s">
        <v>233</v>
      </c>
      <c r="C283" s="3" t="s">
        <v>550</v>
      </c>
    </row>
    <row r="284" customFormat="false" ht="15" hidden="false" customHeight="false" outlineLevel="0" collapsed="false">
      <c r="A284" s="6" t="s">
        <v>43</v>
      </c>
      <c r="B284" s="3" t="s">
        <v>235</v>
      </c>
      <c r="C284" s="3" t="s">
        <v>551</v>
      </c>
    </row>
    <row r="285" customFormat="false" ht="15" hidden="false" customHeight="false" outlineLevel="0" collapsed="false">
      <c r="A285" s="6" t="s">
        <v>43</v>
      </c>
      <c r="B285" s="3" t="s">
        <v>238</v>
      </c>
      <c r="C285" s="3" t="s">
        <v>552</v>
      </c>
    </row>
    <row r="286" customFormat="false" ht="15" hidden="false" customHeight="false" outlineLevel="0" collapsed="false">
      <c r="A286" s="6" t="s">
        <v>43</v>
      </c>
      <c r="B286" s="3" t="s">
        <v>241</v>
      </c>
      <c r="C286" s="3" t="s">
        <v>553</v>
      </c>
    </row>
    <row r="287" customFormat="false" ht="15" hidden="false" customHeight="false" outlineLevel="0" collapsed="false">
      <c r="A287" s="6" t="s">
        <v>43</v>
      </c>
      <c r="B287" s="3" t="s">
        <v>62</v>
      </c>
      <c r="C287" s="3" t="s">
        <v>554</v>
      </c>
    </row>
    <row r="288" customFormat="false" ht="15" hidden="false" customHeight="false" outlineLevel="0" collapsed="false">
      <c r="A288" s="6" t="s">
        <v>43</v>
      </c>
      <c r="B288" s="3" t="s">
        <v>63</v>
      </c>
      <c r="C288" s="3" t="s">
        <v>555</v>
      </c>
    </row>
    <row r="289" customFormat="false" ht="15" hidden="false" customHeight="false" outlineLevel="0" collapsed="false">
      <c r="A289" s="6" t="s">
        <v>43</v>
      </c>
      <c r="B289" s="3" t="s">
        <v>64</v>
      </c>
      <c r="C289" s="3" t="s">
        <v>556</v>
      </c>
    </row>
    <row r="290" customFormat="false" ht="15" hidden="false" customHeight="false" outlineLevel="0" collapsed="false">
      <c r="A290" s="6" t="s">
        <v>43</v>
      </c>
      <c r="B290" s="3" t="s">
        <v>65</v>
      </c>
      <c r="C290" s="3" t="s">
        <v>557</v>
      </c>
    </row>
    <row r="291" customFormat="false" ht="15" hidden="false" customHeight="false" outlineLevel="0" collapsed="false">
      <c r="A291" s="6" t="s">
        <v>43</v>
      </c>
      <c r="B291" s="3" t="s">
        <v>66</v>
      </c>
      <c r="C291" s="3" t="s">
        <v>558</v>
      </c>
    </row>
    <row r="292" customFormat="false" ht="15" hidden="false" customHeight="false" outlineLevel="0" collapsed="false">
      <c r="A292" s="6" t="s">
        <v>43</v>
      </c>
      <c r="B292" s="3" t="s">
        <v>67</v>
      </c>
      <c r="C292" s="3" t="s">
        <v>559</v>
      </c>
    </row>
    <row r="293" customFormat="false" ht="15" hidden="false" customHeight="false" outlineLevel="0" collapsed="false">
      <c r="A293" s="6" t="s">
        <v>43</v>
      </c>
      <c r="B293" s="3" t="s">
        <v>247</v>
      </c>
      <c r="C293" s="3" t="s">
        <v>560</v>
      </c>
    </row>
    <row r="294" customFormat="false" ht="23.85" hidden="false" customHeight="false" outlineLevel="0" collapsed="false">
      <c r="A294" s="6" t="s">
        <v>43</v>
      </c>
      <c r="B294" s="3" t="s">
        <v>250</v>
      </c>
      <c r="C294" s="3" t="s">
        <v>561</v>
      </c>
    </row>
    <row r="295" customFormat="false" ht="15" hidden="false" customHeight="false" outlineLevel="0" collapsed="false">
      <c r="A295" s="6" t="s">
        <v>43</v>
      </c>
      <c r="B295" s="3" t="s">
        <v>72</v>
      </c>
      <c r="C295" s="3" t="s">
        <v>562</v>
      </c>
    </row>
    <row r="296" customFormat="false" ht="15" hidden="false" customHeight="false" outlineLevel="0" collapsed="false">
      <c r="A296" s="6" t="s">
        <v>43</v>
      </c>
      <c r="B296" s="3" t="s">
        <v>256</v>
      </c>
      <c r="C296" s="3" t="s">
        <v>563</v>
      </c>
    </row>
    <row r="297" customFormat="false" ht="15" hidden="false" customHeight="false" outlineLevel="0" collapsed="false">
      <c r="A297" s="6" t="s">
        <v>43</v>
      </c>
      <c r="B297" s="3" t="s">
        <v>258</v>
      </c>
      <c r="C297" s="3" t="s">
        <v>564</v>
      </c>
    </row>
    <row r="298" customFormat="false" ht="15" hidden="false" customHeight="false" outlineLevel="0" collapsed="false">
      <c r="A298" s="6" t="s">
        <v>43</v>
      </c>
      <c r="B298" s="3" t="s">
        <v>75</v>
      </c>
      <c r="C298" s="3" t="s">
        <v>565</v>
      </c>
    </row>
    <row r="299" customFormat="false" ht="15" hidden="false" customHeight="false" outlineLevel="0" collapsed="false">
      <c r="A299" s="6" t="s">
        <v>43</v>
      </c>
      <c r="B299" s="3" t="s">
        <v>76</v>
      </c>
      <c r="C299" s="3" t="s">
        <v>566</v>
      </c>
    </row>
    <row r="300" customFormat="false" ht="15" hidden="false" customHeight="false" outlineLevel="0" collapsed="false">
      <c r="A300" s="6" t="s">
        <v>43</v>
      </c>
      <c r="B300" s="3" t="s">
        <v>263</v>
      </c>
      <c r="C300" s="3" t="s">
        <v>567</v>
      </c>
    </row>
    <row r="301" customFormat="false" ht="23.85" hidden="false" customHeight="false" outlineLevel="0" collapsed="false">
      <c r="A301" s="6" t="s">
        <v>45</v>
      </c>
      <c r="B301" s="3" t="s">
        <v>540</v>
      </c>
      <c r="C301" s="3" t="s">
        <v>578</v>
      </c>
    </row>
    <row r="302" customFormat="false" ht="15" hidden="false" customHeight="false" outlineLevel="0" collapsed="false">
      <c r="A302" s="6" t="s">
        <v>45</v>
      </c>
      <c r="B302" s="3" t="s">
        <v>217</v>
      </c>
      <c r="C302" s="3" t="s">
        <v>542</v>
      </c>
    </row>
    <row r="303" customFormat="false" ht="15" hidden="false" customHeight="false" outlineLevel="0" collapsed="false">
      <c r="A303" s="6" t="s">
        <v>45</v>
      </c>
      <c r="B303" s="3" t="s">
        <v>51</v>
      </c>
      <c r="C303" s="3" t="s">
        <v>543</v>
      </c>
    </row>
    <row r="304" customFormat="false" ht="15" hidden="false" customHeight="false" outlineLevel="0" collapsed="false">
      <c r="A304" s="6" t="s">
        <v>45</v>
      </c>
      <c r="B304" s="3" t="s">
        <v>52</v>
      </c>
      <c r="C304" s="3" t="s">
        <v>544</v>
      </c>
    </row>
    <row r="305" customFormat="false" ht="15" hidden="false" customHeight="false" outlineLevel="0" collapsed="false">
      <c r="A305" s="6" t="s">
        <v>45</v>
      </c>
      <c r="B305" s="3" t="s">
        <v>223</v>
      </c>
      <c r="C305" s="3" t="s">
        <v>545</v>
      </c>
    </row>
    <row r="306" customFormat="false" ht="15" hidden="false" customHeight="false" outlineLevel="0" collapsed="false">
      <c r="A306" s="6" t="s">
        <v>45</v>
      </c>
      <c r="B306" s="3" t="s">
        <v>225</v>
      </c>
      <c r="C306" s="3" t="s">
        <v>546</v>
      </c>
    </row>
    <row r="307" customFormat="false" ht="15" hidden="false" customHeight="false" outlineLevel="0" collapsed="false">
      <c r="A307" s="6" t="s">
        <v>45</v>
      </c>
      <c r="B307" s="3" t="s">
        <v>228</v>
      </c>
      <c r="C307" s="3" t="s">
        <v>547</v>
      </c>
    </row>
    <row r="308" customFormat="false" ht="15" hidden="false" customHeight="false" outlineLevel="0" collapsed="false">
      <c r="A308" s="6" t="s">
        <v>45</v>
      </c>
      <c r="B308" s="3" t="s">
        <v>56</v>
      </c>
      <c r="C308" s="3" t="s">
        <v>548</v>
      </c>
    </row>
    <row r="309" customFormat="false" ht="15" hidden="false" customHeight="false" outlineLevel="0" collapsed="false">
      <c r="A309" s="6" t="s">
        <v>45</v>
      </c>
      <c r="B309" s="3" t="s">
        <v>231</v>
      </c>
      <c r="C309" s="3" t="s">
        <v>549</v>
      </c>
    </row>
    <row r="310" customFormat="false" ht="15" hidden="false" customHeight="false" outlineLevel="0" collapsed="false">
      <c r="A310" s="6" t="s">
        <v>45</v>
      </c>
      <c r="B310" s="3" t="s">
        <v>233</v>
      </c>
      <c r="C310" s="3" t="s">
        <v>550</v>
      </c>
    </row>
    <row r="311" customFormat="false" ht="15" hidden="false" customHeight="false" outlineLevel="0" collapsed="false">
      <c r="A311" s="6" t="s">
        <v>45</v>
      </c>
      <c r="B311" s="3" t="s">
        <v>235</v>
      </c>
      <c r="C311" s="3" t="s">
        <v>551</v>
      </c>
    </row>
    <row r="312" customFormat="false" ht="15" hidden="false" customHeight="false" outlineLevel="0" collapsed="false">
      <c r="A312" s="6" t="s">
        <v>45</v>
      </c>
      <c r="B312" s="3" t="s">
        <v>238</v>
      </c>
      <c r="C312" s="3" t="s">
        <v>552</v>
      </c>
    </row>
    <row r="313" customFormat="false" ht="15" hidden="false" customHeight="false" outlineLevel="0" collapsed="false">
      <c r="A313" s="6" t="s">
        <v>45</v>
      </c>
      <c r="B313" s="3" t="s">
        <v>241</v>
      </c>
      <c r="C313" s="3" t="s">
        <v>553</v>
      </c>
    </row>
    <row r="314" customFormat="false" ht="15" hidden="false" customHeight="false" outlineLevel="0" collapsed="false">
      <c r="A314" s="6" t="s">
        <v>45</v>
      </c>
      <c r="B314" s="3" t="s">
        <v>62</v>
      </c>
      <c r="C314" s="3" t="s">
        <v>554</v>
      </c>
    </row>
    <row r="315" customFormat="false" ht="15" hidden="false" customHeight="false" outlineLevel="0" collapsed="false">
      <c r="A315" s="6" t="s">
        <v>45</v>
      </c>
      <c r="B315" s="3" t="s">
        <v>63</v>
      </c>
      <c r="C315" s="3" t="s">
        <v>555</v>
      </c>
    </row>
    <row r="316" customFormat="false" ht="15" hidden="false" customHeight="false" outlineLevel="0" collapsed="false">
      <c r="A316" s="6" t="s">
        <v>45</v>
      </c>
      <c r="B316" s="3" t="s">
        <v>64</v>
      </c>
      <c r="C316" s="3" t="s">
        <v>556</v>
      </c>
    </row>
    <row r="317" customFormat="false" ht="15" hidden="false" customHeight="false" outlineLevel="0" collapsed="false">
      <c r="A317" s="6" t="s">
        <v>45</v>
      </c>
      <c r="B317" s="3" t="s">
        <v>65</v>
      </c>
      <c r="C317" s="3" t="s">
        <v>557</v>
      </c>
    </row>
    <row r="318" customFormat="false" ht="15" hidden="false" customHeight="false" outlineLevel="0" collapsed="false">
      <c r="A318" s="6" t="s">
        <v>45</v>
      </c>
      <c r="B318" s="3" t="s">
        <v>66</v>
      </c>
      <c r="C318" s="3" t="s">
        <v>558</v>
      </c>
    </row>
    <row r="319" customFormat="false" ht="15" hidden="false" customHeight="false" outlineLevel="0" collapsed="false">
      <c r="A319" s="6" t="s">
        <v>45</v>
      </c>
      <c r="B319" s="3" t="s">
        <v>67</v>
      </c>
      <c r="C319" s="3" t="s">
        <v>559</v>
      </c>
    </row>
    <row r="320" customFormat="false" ht="15" hidden="false" customHeight="false" outlineLevel="0" collapsed="false">
      <c r="A320" s="6" t="s">
        <v>45</v>
      </c>
      <c r="B320" s="3" t="s">
        <v>247</v>
      </c>
      <c r="C320" s="3" t="s">
        <v>560</v>
      </c>
    </row>
    <row r="321" customFormat="false" ht="23.85" hidden="false" customHeight="false" outlineLevel="0" collapsed="false">
      <c r="A321" s="6" t="s">
        <v>45</v>
      </c>
      <c r="B321" s="3" t="s">
        <v>250</v>
      </c>
      <c r="C321" s="3" t="s">
        <v>561</v>
      </c>
    </row>
    <row r="322" customFormat="false" ht="15" hidden="false" customHeight="false" outlineLevel="0" collapsed="false">
      <c r="A322" s="6" t="s">
        <v>45</v>
      </c>
      <c r="B322" s="3" t="s">
        <v>72</v>
      </c>
      <c r="C322" s="3" t="s">
        <v>562</v>
      </c>
    </row>
    <row r="323" customFormat="false" ht="15" hidden="false" customHeight="false" outlineLevel="0" collapsed="false">
      <c r="A323" s="6" t="s">
        <v>45</v>
      </c>
      <c r="B323" s="3" t="s">
        <v>256</v>
      </c>
      <c r="C323" s="3" t="s">
        <v>563</v>
      </c>
    </row>
    <row r="324" customFormat="false" ht="15" hidden="false" customHeight="false" outlineLevel="0" collapsed="false">
      <c r="A324" s="6" t="s">
        <v>45</v>
      </c>
      <c r="B324" s="3" t="s">
        <v>258</v>
      </c>
      <c r="C324" s="3" t="s">
        <v>564</v>
      </c>
    </row>
    <row r="325" customFormat="false" ht="15" hidden="false" customHeight="false" outlineLevel="0" collapsed="false">
      <c r="A325" s="6" t="s">
        <v>45</v>
      </c>
      <c r="B325" s="3" t="s">
        <v>75</v>
      </c>
      <c r="C325" s="3" t="s">
        <v>565</v>
      </c>
    </row>
    <row r="326" customFormat="false" ht="15" hidden="false" customHeight="false" outlineLevel="0" collapsed="false">
      <c r="A326" s="6" t="s">
        <v>45</v>
      </c>
      <c r="B326" s="3" t="s">
        <v>76</v>
      </c>
      <c r="C326" s="3" t="s">
        <v>566</v>
      </c>
    </row>
    <row r="327" customFormat="false" ht="15" hidden="false" customHeight="false" outlineLevel="0" collapsed="false">
      <c r="A327" s="6" t="s">
        <v>45</v>
      </c>
      <c r="B327" s="3" t="s">
        <v>263</v>
      </c>
      <c r="C327" s="3" t="s">
        <v>567</v>
      </c>
    </row>
    <row r="329" customFormat="false" ht="15" hidden="false" customHeight="false" outlineLevel="0" collapsed="false">
      <c r="A329" s="15" t="s">
        <v>579</v>
      </c>
      <c r="B329" s="15"/>
      <c r="C329" s="15" t="s">
        <v>539</v>
      </c>
    </row>
    <row r="330" customFormat="false" ht="15" hidden="false" customHeight="false" outlineLevel="0" collapsed="false">
      <c r="A330" s="3" t="s">
        <v>49</v>
      </c>
      <c r="C330" s="3" t="s">
        <v>580</v>
      </c>
    </row>
    <row r="331" customFormat="false" ht="15" hidden="false" customHeight="false" outlineLevel="0" collapsed="false">
      <c r="A331" s="3" t="s">
        <v>51</v>
      </c>
      <c r="C331" s="3" t="s">
        <v>581</v>
      </c>
    </row>
    <row r="332" customFormat="false" ht="15" hidden="false" customHeight="false" outlineLevel="0" collapsed="false">
      <c r="A332" s="3" t="s">
        <v>52</v>
      </c>
      <c r="C332" s="3" t="s">
        <v>582</v>
      </c>
    </row>
    <row r="333" customFormat="false" ht="15" hidden="false" customHeight="false" outlineLevel="0" collapsed="false">
      <c r="A333" s="3" t="s">
        <v>223</v>
      </c>
      <c r="C333" s="3" t="s">
        <v>583</v>
      </c>
    </row>
    <row r="334" customFormat="false" ht="15" hidden="false" customHeight="false" outlineLevel="0" collapsed="false">
      <c r="A334" s="3" t="s">
        <v>225</v>
      </c>
      <c r="C334" s="3" t="s">
        <v>546</v>
      </c>
    </row>
    <row r="335" customFormat="false" ht="15" hidden="false" customHeight="false" outlineLevel="0" collapsed="false">
      <c r="A335" s="3" t="s">
        <v>228</v>
      </c>
      <c r="C335" s="3" t="s">
        <v>584</v>
      </c>
    </row>
    <row r="336" customFormat="false" ht="15" hidden="false" customHeight="false" outlineLevel="0" collapsed="false">
      <c r="A336" s="3" t="s">
        <v>56</v>
      </c>
      <c r="C336" s="3" t="s">
        <v>585</v>
      </c>
    </row>
    <row r="337" customFormat="false" ht="15" hidden="false" customHeight="false" outlineLevel="0" collapsed="false">
      <c r="A337" s="3" t="s">
        <v>231</v>
      </c>
      <c r="C337" s="3" t="s">
        <v>586</v>
      </c>
    </row>
    <row r="338" customFormat="false" ht="15" hidden="false" customHeight="false" outlineLevel="0" collapsed="false">
      <c r="A338" s="3" t="s">
        <v>233</v>
      </c>
      <c r="C338" s="3" t="s">
        <v>587</v>
      </c>
    </row>
    <row r="339" customFormat="false" ht="15" hidden="false" customHeight="false" outlineLevel="0" collapsed="false">
      <c r="A339" s="3" t="s">
        <v>235</v>
      </c>
      <c r="C339" s="3" t="s">
        <v>551</v>
      </c>
    </row>
    <row r="340" customFormat="false" ht="15" hidden="false" customHeight="false" outlineLevel="0" collapsed="false">
      <c r="A340" s="3" t="s">
        <v>238</v>
      </c>
      <c r="C340" s="3" t="s">
        <v>552</v>
      </c>
    </row>
    <row r="341" customFormat="false" ht="15" hidden="false" customHeight="false" outlineLevel="0" collapsed="false">
      <c r="A341" s="3" t="s">
        <v>241</v>
      </c>
      <c r="C341" s="3" t="s">
        <v>553</v>
      </c>
    </row>
    <row r="342" customFormat="false" ht="23.85" hidden="false" customHeight="false" outlineLevel="0" collapsed="false">
      <c r="A342" s="3" t="s">
        <v>588</v>
      </c>
      <c r="C342" s="3" t="s">
        <v>589</v>
      </c>
    </row>
    <row r="343" customFormat="false" ht="23.85" hidden="false" customHeight="false" outlineLevel="0" collapsed="false">
      <c r="A343" s="3" t="s">
        <v>590</v>
      </c>
      <c r="C343" s="3" t="s">
        <v>591</v>
      </c>
    </row>
    <row r="344" customFormat="false" ht="15" hidden="false" customHeight="false" outlineLevel="0" collapsed="false">
      <c r="A344" s="3" t="s">
        <v>592</v>
      </c>
      <c r="C344" s="3" t="s">
        <v>593</v>
      </c>
    </row>
    <row r="345" customFormat="false" ht="15" hidden="false" customHeight="false" outlineLevel="0" collapsed="false">
      <c r="A345" s="3" t="s">
        <v>250</v>
      </c>
      <c r="C345" s="3" t="s">
        <v>594</v>
      </c>
    </row>
    <row r="346" customFormat="false" ht="15" hidden="false" customHeight="false" outlineLevel="0" collapsed="false">
      <c r="A346" s="3" t="s">
        <v>295</v>
      </c>
      <c r="C346" s="3" t="s">
        <v>562</v>
      </c>
    </row>
    <row r="347" customFormat="false" ht="23.85" hidden="false" customHeight="false" outlineLevel="0" collapsed="false">
      <c r="A347" s="3" t="s">
        <v>256</v>
      </c>
      <c r="C347" s="3" t="s">
        <v>595</v>
      </c>
    </row>
    <row r="348" customFormat="false" ht="15" hidden="false" customHeight="false" outlineLevel="0" collapsed="false">
      <c r="A348" s="3" t="s">
        <v>258</v>
      </c>
      <c r="C348" s="3" t="s">
        <v>596</v>
      </c>
    </row>
    <row r="349" customFormat="false" ht="15" hidden="false" customHeight="false" outlineLevel="0" collapsed="false">
      <c r="A349" s="3" t="s">
        <v>75</v>
      </c>
      <c r="C349" s="3" t="s">
        <v>565</v>
      </c>
    </row>
    <row r="350" customFormat="false" ht="15" hidden="false" customHeight="false" outlineLevel="0" collapsed="false">
      <c r="A350" s="3" t="s">
        <v>76</v>
      </c>
      <c r="C350" s="3" t="s">
        <v>597</v>
      </c>
    </row>
    <row r="351" customFormat="false" ht="23.85" hidden="false" customHeight="false" outlineLevel="0" collapsed="false">
      <c r="A351" s="3" t="s">
        <v>263</v>
      </c>
      <c r="C351" s="3" t="s">
        <v>598</v>
      </c>
    </row>
    <row r="352" customFormat="false" ht="15" hidden="false" customHeight="false" outlineLevel="0" collapsed="false">
      <c r="A352" s="3" t="s">
        <v>599</v>
      </c>
      <c r="C352" s="3" t="s">
        <v>600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2026-10-08T12:26:17Z</dcterms:created>
  <dc:creator>openpyxl</dc:creator>
  <dc:description/>
  <dc:language>en-PH</dc:language>
  <cp:lastModifiedBy/>
  <dcterms:modified xsi:type="dcterms:W3CDTF">2026-10-08T12:26:17Z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