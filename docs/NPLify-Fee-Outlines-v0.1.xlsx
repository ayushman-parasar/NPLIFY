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 me" sheetId="1" state="visible" r:id="rId3"/>
    <sheet name="Register" sheetId="2" state="visible" r:id="rId4"/>
    <sheet name="P01" sheetId="3" state="visible" r:id="rId5"/>
    <sheet name="P02" sheetId="4" state="visible" r:id="rId6"/>
    <sheet name="P03" sheetId="5" state="visible" r:id="rId7"/>
    <sheet name="P04" sheetId="6" state="visible" r:id="rId8"/>
    <sheet name="P05" sheetId="7" state="visible" r:id="rId9"/>
    <sheet name="P06" sheetId="8" state="visible" r:id="rId10"/>
    <sheet name="P07" sheetId="9" state="visible" r:id="rId11"/>
    <sheet name="P08" sheetId="10" state="visible" r:id="rId12"/>
    <sheet name="P09" sheetId="11" state="visible" r:id="rId13"/>
    <sheet name="P10" sheetId="12" state="visible" r:id="rId14"/>
    <sheet name="P11" sheetId="13" state="visible" r:id="rId15"/>
    <sheet name="P12" sheetId="14" state="visible" r:id="rId1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<sst xmlns="http://schemas.openxmlformats.org/spreadsheetml/2006/main" count="4597" uniqueCount="623">
  <si>
    <t xml:space="preserve">NPLify — Fee outlines for simulation · v0.1 (8 October 2026)</t>
  </si>
  <si>
    <t xml:space="preserve">What this is</t>
  </si>
  <si>
    <t xml:space="preserve">Every line of NPL's 'Table of Remittance Customers Fees' turned into an outline the system can execute: the configuration slots the ERD needs (project, sender, receiver, partner block, fee structure, rounding), pre-filled where the sheet says, left for NPL to fill where it does not. Each pattern sheet also carries a simulation: enter the slots and an amount, and it shows what the system would quote, convert, pay and post — and compares that to the figure NPL quoted in the sheet.</t>
  </si>
  <si>
    <t xml:space="preserve">How to fill</t>
  </si>
  <si>
    <t xml:space="preserve">Yellow cells are for NPL to fill. Blue cells are inputs copied or derived from the sheet (change them if the sheet is wrong). Black cells are formulas — do not type over them. 'Source' says where a value came from; 'NPL to confirm' lists what we could not read from the sheet.</t>
  </si>
  <si>
    <t xml:space="preserve">Sheets</t>
  </si>
  <si>
    <t xml:space="preserve">Register — one row per sheet line (45), with every slot in columns; the pattern sheets P01–P12 — one representative worked example per transaction pattern, with the full simulation. A row's pattern is in the Register's column D.</t>
  </si>
  <si>
    <t xml:space="preserve">The simulation</t>
  </si>
  <si>
    <t xml:space="preserve">Follows the Calculation Specification v1.0: all rates are OUT units per 1 IN unit; sender rate = base rate × (1 − sender share); gross out = amount × sender rate; receiver fee = gross out × receiver share; client net = gross − receiver fee; the partner delivers amount × partner rate (disclosed) or amount × market × (1 − partner markup) (market-plus); NPL earnings = delivered − client net; payouts go out in whole units with the dust carried. Where a pattern depends on a v5.3 proposal (tiers, displayed fee, own desk, invoice discharge, rounding options) the slot says so.</t>
  </si>
  <si>
    <t xml:space="preserve">What to do with it</t>
  </si>
  <si>
    <t xml:space="preserve">1. NPL fills the yellow slots and corrects any blue input. 2. For each pattern, the 'Check against the sheet' block must show a difference of zero (or an explained one). 3. The filled Register becomes the input for the Configuration Schema (one FEE_STRUCTURE / override / rebate / referral rule per row) and the pattern sheets become acceptance vectors for the engine.</t>
  </si>
  <si>
    <t xml:space="preserve">Legend</t>
  </si>
  <si>
    <t xml:space="preserve">ERD field names are in UPPER_SNAKE_CASE.column. '(v5.3 proposal X)' marks a slot that needs one of the proposals A–F from the gap review of 8 October; it can still be filled now.</t>
  </si>
  <si>
    <t xml:space="preserve">Colour</t>
  </si>
  <si>
    <t xml:space="preserve">Meaning</t>
  </si>
  <si>
    <t xml:space="preserve">NPL fills in</t>
  </si>
  <si>
    <t xml:space="preserve">Value not in the sheet — please supply</t>
  </si>
  <si>
    <t xml:space="preserve">From the sheet</t>
  </si>
  <si>
    <t xml:space="preserve">Input copied or derived from the fee table (blue text)</t>
  </si>
  <si>
    <t xml:space="preserve">Formula</t>
  </si>
  <si>
    <t xml:space="preserve">Computed by the workbook (black)</t>
  </si>
  <si>
    <t xml:space="preserve">Pattern</t>
  </si>
  <si>
    <t xml:space="preserve">Name · sheet lines</t>
  </si>
  <si>
    <t xml:space="preserve">P01</t>
  </si>
  <si>
    <t xml:space="preserve">Market-minus; partner pays NPL its share · sheet rows 3, 4, 6, 9, 10, 11, 13, 17, 18</t>
  </si>
  <si>
    <t xml:space="preserve">P02</t>
  </si>
  <si>
    <t xml:space="preserve">Agent rate; displayed fee differs from true total · sheet rows 5, 7, 12, 15, 19, 30, 31, 35</t>
  </si>
  <si>
    <t xml:space="preserve">P03</t>
  </si>
  <si>
    <t xml:space="preserve">Sender + receiver split · sheet rows 21, 22, 23, 24</t>
  </si>
  <si>
    <t xml:space="preserve">P04</t>
  </si>
  <si>
    <t xml:space="preserve">Variable fee quoted per transaction, with a floor · sheet rows 8, 25, 26, 29, 34, 36, 43, 44</t>
  </si>
  <si>
    <t xml:space="preserve">P05</t>
  </si>
  <si>
    <t xml:space="preserve">Volume-tiered fee · sheet rows 32, 33</t>
  </si>
  <si>
    <t xml:space="preserve">P06</t>
  </si>
  <si>
    <t xml:space="preserve">Earnings shared with the client's own party · sheet rows 14, 16</t>
  </si>
  <si>
    <t xml:space="preserve">P07</t>
  </si>
  <si>
    <t xml:space="preserve">Own-desk reseller (NPL converts, no partner) · sheet rows 38, 39, 40, 41, 42</t>
  </si>
  <si>
    <t xml:space="preserve">P08</t>
  </si>
  <si>
    <t xml:space="preserve">Cash in, partner converts to USDT, vendors paid in USDT · sheet rows 37</t>
  </si>
  <si>
    <t xml:space="preserve">P09</t>
  </si>
  <si>
    <t xml:space="preserve">Withdrawal (bank in, crypto out) · sheet rows 20</t>
  </si>
  <si>
    <t xml:space="preserve">P10</t>
  </si>
  <si>
    <t xml:space="preserve">Cash collection in an exotic currency · sheet rows 28, 45</t>
  </si>
  <si>
    <t xml:space="preserve">P11</t>
  </si>
  <si>
    <t xml:space="preserve">Zero-fee internal collection · sheet rows 46, 47</t>
  </si>
  <si>
    <t xml:space="preserve">P12</t>
  </si>
  <si>
    <t xml:space="preserve">Same-currency bank pass-through · sheet rows 27</t>
  </si>
  <si>
    <t xml:space="preserve">#</t>
  </si>
  <si>
    <t xml:space="preserve">Sheet row</t>
  </si>
  <si>
    <t xml:space="preserve">Client / product (PROJECT)</t>
  </si>
  <si>
    <t xml:space="preserve">Flow in words (from the sheet)</t>
  </si>
  <si>
    <t xml:space="preserve">Senders (SENDER)</t>
  </si>
  <si>
    <t xml:space="preserve">Receiver / vendor (RECEIVER, kind)</t>
  </si>
  <si>
    <t xml:space="preserve">Receiving account: currency · rail · kind (RECEIVING_ENTITY_ACCOUNT)</t>
  </si>
  <si>
    <t xml:space="preserve">Collection method (DEAL.collection_method)</t>
  </si>
  <si>
    <t xml:space="preserve">Collection endpoint: partner entity · kind · network/rail (COLLECTION_RECEIVING_ENDPOINT)</t>
  </si>
  <si>
    <t xml:space="preserve">Partner (PARTNER / PARTNER_CONFIG)</t>
  </si>
  <si>
    <t xml:space="preserve">Partner pricing (PARTNER_PAIR.partner_pricing)</t>
  </si>
  <si>
    <t xml:space="preserve">Pair from → to (CURRENCY_PAIR)</t>
  </si>
  <si>
    <t xml:space="preserve">Quote direction (CURRENCY_PAIR.quote_direction)</t>
  </si>
  <si>
    <t xml:space="preserve">Rate basis (FEE_STRUCTURE.rate_basis)</t>
  </si>
  <si>
    <t xml:space="preserve">Fee mode (FEE_STRUCTURE.mode)</t>
  </si>
  <si>
    <t xml:space="preserve">Fee total % (FEE_STRUCTURE.pct)</t>
  </si>
  <si>
    <t xml:space="preserve">Sender share % (sender_share_pct)</t>
  </si>
  <si>
    <t xml:space="preserve">Receiver share % (receiver_share_pct)</t>
  </si>
  <si>
    <t xml:space="preserve">Floor % (floor_pct)</t>
  </si>
  <si>
    <t xml:space="preserve">Cap % (cap_pct)</t>
  </si>
  <si>
    <t xml:space="preserve">Min margin % (min_margin_pct)</t>
  </si>
  <si>
    <t xml:space="preserve">Displayed fee % (v5.3 proposal C)</t>
  </si>
  <si>
    <t xml:space="preserve">Partner cost % (from sheet)</t>
  </si>
  <si>
    <t xml:space="preserve">NPL margin % (from sheet)</t>
  </si>
  <si>
    <t xml:space="preserve">NPL share mechanic: pool at partner / rebate / own desk</t>
  </si>
  <si>
    <t xml:space="preserve">Rebate % of partner fee (PARTNER_REBATE_RULE)</t>
  </si>
  <si>
    <t xml:space="preserve">Earnings share: to whom · % (REFERRAL_RULE)</t>
  </si>
  <si>
    <t xml:space="preserve">Rounding option · unit (CURRENCY_PAIR.amount_rounding; v5.3 proposal F)</t>
  </si>
  <si>
    <t xml:space="preserve">Settlement rail (SETTLEMENT_RAIL)</t>
  </si>
  <si>
    <t xml:space="preserve">Narrative (SETTLEMENT_SENDING_ENTITY)</t>
  </si>
  <si>
    <t xml:space="preserve">Registration status (SETTLEMENT_REGISTRATION)</t>
  </si>
  <si>
    <t xml:space="preserve">Volume tier (v5.3 proposal B)</t>
  </si>
  <si>
    <t xml:space="preserve">Note from the sheet</t>
  </si>
  <si>
    <t xml:space="preserve">NPL to confirm</t>
  </si>
  <si>
    <t xml:space="preserve">BF-Seven</t>
  </si>
  <si>
    <t xml:space="preserve">For USDT 661,060:
Rate: 0.857097
Fee: 1%
Amount: EUR 560,927</t>
  </si>
  <si>
    <t xml:space="preserve">Jeton</t>
  </si>
  <si>
    <t xml:space="preserve">market_plus_pct</t>
  </si>
  <si>
    <t xml:space="preserve">USDT → EUR</t>
  </si>
  <si>
    <t xml:space="preserve">fixed</t>
  </si>
  <si>
    <t xml:space="preserve">rebate? (sheet says 'referral commission') — confirm</t>
  </si>
  <si>
    <t xml:space="preserve">Fixed Fee</t>
  </si>
  <si>
    <t xml:space="preserve">does the partner keep NPL's share at its end (pool) or pay it back monthly (rebate)?</t>
  </si>
  <si>
    <t xml:space="preserve">"For USDT 195,000:
Fee: 0.80%
Amount: EUR 166,009.55"</t>
  </si>
  <si>
    <t xml:space="preserve">Aquanow</t>
  </si>
  <si>
    <t xml:space="preserve">For USDT 661,060:
Rate: 0.857097
Fee: 1%
Amount: EUR 560,927
Note - source rate is manually recomputed to allow the sender-facing calculation to land at 1%</t>
  </si>
  <si>
    <t xml:space="preserve">Ali</t>
  </si>
  <si>
    <t xml:space="preserve">disclosed_rate</t>
  </si>
  <si>
    <t xml:space="preserve">pool at partner</t>
  </si>
  <si>
    <t xml:space="preserve">true market rate at quote time (the sheet shows the recomputed one)</t>
  </si>
  <si>
    <t xml:space="preserve">BF- Arrow Wood</t>
  </si>
  <si>
    <t xml:space="preserve">For the 499,780 USDT collected:
Rate: 0.843784
Fee: 1%
Amount: EUR 417,489</t>
  </si>
  <si>
    <t xml:space="preserve">For the 400,000 USDT collected:
Rate: 0.8679402
Fee: 1%
Amount: EUR 343,704
Note - source rate is manually recomputed to allow the sender-facing calculation to land at 1%</t>
  </si>
  <si>
    <t xml:space="preserve">BF-Trade Lab</t>
  </si>
  <si>
    <t xml:space="preserve">BF-Orbit</t>
  </si>
  <si>
    <t xml:space="preserve">For the 699,000 USDT collected:
Fee: 1.25%
EUR Amount: 619,332</t>
  </si>
  <si>
    <t xml:space="preserve">BF-Blue Sapphire</t>
  </si>
  <si>
    <t xml:space="preserve">For the 200,000 USDT collected:
Rate: 0.838313
Fee: 1%
Amount: EUR 165,986</t>
  </si>
  <si>
    <t xml:space="preserve">For USDT 195,000:
Fee: 0.80%
Amount: EUR 166,009.55</t>
  </si>
  <si>
    <t xml:space="preserve">For USDT 1,000,000:
Rate: 0.872249
Fee: 1%
Amount: EUR 863,527
Note - source rate is manually recomputed to allow the sender-facing calculation to land at 1%</t>
  </si>
  <si>
    <t xml:space="preserve">BF-Raeen</t>
  </si>
  <si>
    <t xml:space="preserve">For the 200,000 USDT collected:
Rate: 0.8610999
Fee: 1%
Amount: EUR 170,498</t>
  </si>
  <si>
    <t xml:space="preserve">BF-Raeen (direct from downlines)</t>
  </si>
  <si>
    <t xml:space="preserve">For USDT 40,593:
Fee: 1%
Amount: EUR 34,590.11</t>
  </si>
  <si>
    <t xml:space="preserve">0.2% shared with Raeen (75% raeen) (25% NPL)</t>
  </si>
  <si>
    <t xml:space="preserve">For USDT 300,000:
Rate: 0.864189
Fee: 1.00%
Amount: EUR 256,664
Note - source rate is manually recomputed to allow the sender-facing calculation to land at 1%</t>
  </si>
  <si>
    <t xml:space="preserve">BF-Raeen - Sub Account </t>
  </si>
  <si>
    <t xml:space="preserve">For USDT 50,000:
Rate: 0.8650036
Fee: 4%
Amount: EUR 41,520.17</t>
  </si>
  <si>
    <t xml:space="preserve">pool at partner? — confirm</t>
  </si>
  <si>
    <t xml:space="preserve">3% shared with Raeen equally</t>
  </si>
  <si>
    <t xml:space="preserve">BF-Novi</t>
  </si>
  <si>
    <t xml:space="preserve">For the 500,000 USDT collected:
Rate: 0.865245
Fee: 0.90%
Amount: EUR 428,729</t>
  </si>
  <si>
    <t xml:space="preserve">For the 500,000 USDT collected:
Rate: 0.865245
Fee: 0.90%
Amount: EUR 428,729
Note - source rate is manually recomputed to allow the sender-facing calculation to land at 0.9%</t>
  </si>
  <si>
    <t xml:space="preserve">BF-Withdrawal 
(client sends EUR bank transfer and then takes settlement in USDT)</t>
  </si>
  <si>
    <t xml:space="preserve">For the GBP 51,000 withdrawn. Actual rate is 0.72739556
GBP Amount: GBP 51,000
Fee: 1%
USDT Amount: USDT 69,412</t>
  </si>
  <si>
    <t xml:space="preserve">GBP → USDT; EUR → USDT</t>
  </si>
  <si>
    <t xml:space="preserve">variable</t>
  </si>
  <si>
    <t xml:space="preserve">Fee is not fixed and is subject to change, but we have charged 1% in most recent transactions.</t>
  </si>
  <si>
    <t xml:space="preserve">does the partner keep NPL's share at its end (pool) or pay it back monthly (rebate)?; who sets the fee per transaction and within what bounds</t>
  </si>
  <si>
    <t xml:space="preserve">Evo USDT Collection</t>
  </si>
  <si>
    <t xml:space="preserve">Sender calculation
USDT&gt;&gt;EUR
Market Rate: 0.888977323
Fee: 1.40%
Final Rate: 0.876531640478
USDT 29,325 = EUR 25,704
Receiver calculation
EUR 25,704 - 0.6% = 25,550</t>
  </si>
  <si>
    <t xml:space="preserve">Fixed Fee---1.4% charged to Evo customer and 0.6% charged to Evo</t>
  </si>
  <si>
    <t xml:space="preserve">Evo USDT Collection (selected senders)</t>
  </si>
  <si>
    <t xml:space="preserve">Sender calculation
EUR&gt;&gt;USDT
Market Rate: 1.15580212667591 (1 ÷ 0.8652)
Fee: 1.00%
Final Rate: 1.16736014794267
EUR 50,000 = USDT 58,368
Receiver calculation
EUR 50,000 - 0.6% = 49,700</t>
  </si>
  <si>
    <t xml:space="preserve">For select customers (GTSI ,HG, Komodo)--but haven't transacted with us for some time</t>
  </si>
  <si>
    <t xml:space="preserve">Sender calculation
EUR&gt;&gt;USDT
Market Rate: 1.15580212667591 (1 ÷ 0.8652)
Fee: 1.00%
Final Rate: 1.16736014794267
EUR 50,000 = USDT 58,368
Receiver calculation
EUR 50,000 - 0.6% = 49,700</t>
  </si>
  <si>
    <t xml:space="preserve">Evolution CNY Collection</t>
  </si>
  <si>
    <t xml:space="preserve">Sender calculation
EUR &gt; CNY = 8.5193784
EUR 70,427.67 = CNY 600,000 (rounded off)
Receiver calculation
EUR 70,427 - 2.5% = 68,666</t>
  </si>
  <si>
    <t xml:space="preserve">CNY → EUR</t>
  </si>
  <si>
    <t xml:space="preserve">Fees change based on agent cost, but on average it is 6.75%---2.5% is charged to Evo balance will be borne by customer</t>
  </si>
  <si>
    <t xml:space="preserve">Evolution PHP, THB, SGD, HKD</t>
  </si>
  <si>
    <t xml:space="preserve">Sender calculation
EUR &gt; PHP = 72.503792
EUR 100,000 = PHP 7,250,000
Receiver calculation
EUR 100,000- 1.6% = 98,400</t>
  </si>
  <si>
    <t xml:space="preserve">PHP → EUR ; THB → EUR ; SGD → EUR; HKD → EUR</t>
  </si>
  <si>
    <t xml:space="preserve">Fixed Fee---1.6% charged to Evo customer and 1.6% charged to Evolution. Among these pairs only PHP&gt;EUR has been active recently (in 2025).</t>
  </si>
  <si>
    <t xml:space="preserve">Evolution USD, EUR, GBP (bank transfers)</t>
  </si>
  <si>
    <t xml:space="preserve">USD → EUR; EUR → EUR; GBP → EUR</t>
  </si>
  <si>
    <t xml:space="preserve">no recent data</t>
  </si>
  <si>
    <t xml:space="preserve">Fixed Fee---1.4% charged to Evo customer and 1.4% charged to Evolution. None of these pairs have been executed in the past couple of years.</t>
  </si>
  <si>
    <t xml:space="preserve">partner cost is a range/text — give the usual value or 'inferred from rate comparison'; NPL margin not numeric</t>
  </si>
  <si>
    <t xml:space="preserve">Evolution USD, AED (cash in Dubai)</t>
  </si>
  <si>
    <t xml:space="preserve">AED (cash) → EUR; USD (cash) → EUR</t>
  </si>
  <si>
    <t xml:space="preserve">Fixed Fee---2.25% charged to Evo customer and 2.25% charged to Evolution. None of these pairs have been executed in the past couple of years.</t>
  </si>
  <si>
    <t xml:space="preserve">66 Group Remittance INR</t>
  </si>
  <si>
    <t xml:space="preserve">USD&gt;&gt;INR
XE Market Rate: 90.83911443
Fee: 7.00%
Final Rate: 97.19785244
USD 23,960.18 x 97.1978524401 = INR 2,328,878.04
--- Rounded off to INR 2,329,000</t>
  </si>
  <si>
    <t xml:space="preserve">INR → USD</t>
  </si>
  <si>
    <t xml:space="preserve">Customer-facing fees are not fixed and are subject to change every transaction, but on average it is 6%. also min margin expected is 0.5%</t>
  </si>
  <si>
    <t xml:space="preserve">66 Group Remittance USD</t>
  </si>
  <si>
    <t xml:space="preserve">Market Rate: 1.00041 (1/0.99959)
Fee: 1.50%
Final Rate: 1.01541632
USD 23,960.18 x 1.01541632 = USDT 24,329.56
--- Rounded off to USDT 24,330</t>
  </si>
  <si>
    <t xml:space="preserve">USDT → USD</t>
  </si>
  <si>
    <t xml:space="preserve">66 Group Remittance GBP</t>
  </si>
  <si>
    <t xml:space="preserve">GBP&gt;&gt;USDT = 1.354309
GBP 25,000 x  1.354309 = USDT 33,858</t>
  </si>
  <si>
    <t xml:space="preserve">USDT → GBP</t>
  </si>
  <si>
    <t xml:space="preserve">GDC (up to $500K monthly volume)</t>
  </si>
  <si>
    <t xml:space="preserve">USD 84,482.00 + 2.5% = USDT 86,594</t>
  </si>
  <si>
    <t xml:space="preserve">GDC (for $500K-1M monthly volume)</t>
  </si>
  <si>
    <t xml:space="preserve">USD 84,482.00 + 2.25% = USDT 86,383</t>
  </si>
  <si>
    <t xml:space="preserve">Fee is lowered to 2.25% if their monthly processing volume is more than USD 500,000</t>
  </si>
  <si>
    <t xml:space="preserve">Jeton JPY</t>
  </si>
  <si>
    <t xml:space="preserve">USDT&gt;&gt;JPY = 156.06
USDT 150,000 = JPY 23,409,000</t>
  </si>
  <si>
    <t xml:space="preserve">USDT → JPY</t>
  </si>
  <si>
    <t xml:space="preserve">Fee changes every transaction, but on average it is 1%</t>
  </si>
  <si>
    <t xml:space="preserve">who sets the fee per transaction and within what bounds</t>
  </si>
  <si>
    <t xml:space="preserve">Kingdom</t>
  </si>
  <si>
    <t xml:space="preserve">USD 50,000 + 0.9% = USDT 50,540</t>
  </si>
  <si>
    <t xml:space="preserve">Working Lab</t>
  </si>
  <si>
    <t xml:space="preserve">USD 10,000 - 0.75% = USDT 9,925</t>
  </si>
  <si>
    <t xml:space="preserve">USD → USDT</t>
  </si>
  <si>
    <t xml:space="preserve">Fee is not fixed and changes every transaction, but on average it is 0.75%</t>
  </si>
  <si>
    <t xml:space="preserve">27 Group Remittance Collection for Game Reseller</t>
  </si>
  <si>
    <t xml:space="preserve">Customer Collection:
Advance Payment:
THB&gt;&gt;EUR
Market Rate: 0.0259463782412186
Fee: 2%
Updated Rate: 0.02542745
THB 17,000,000 x 0.02542745 = EUR 432,266.66
--- Rounded off to EUR 432,267
THB&gt;&gt;USDT
Market Rate: 0.0297503941927231 (1 ÷ 33.613)
Agent Fee: 0.6414425066510566%
Final Rate: 0.0295595625184747 (1 ÷ 33.83)
THB 17,000,000 x 0.0295595625184747 = USDT 502,513
Balance Invoice Clearance:
EUR&gt;&gt;THB
Market Rate: 38.13570206
Fee: 2.00%
Final Rate: 38.8984161012
EUR 329,408 x 38.8984161012 = THB 12,813,449.45
---Rounded Off to THB 12,813,000
THB &gt;&gt; USDT
Market Rate: 0.0303508558941362 (1 ÷ 32.948)
Agent Fee: 0.729135281711311%
Final Rate: 0.0301295570955107 (1 ÷ 33.19)
THB 12,813,000 x 0.0301295570955107 = USDT 386,050
===
===
===
Vendor Payment:
SACCO SIA (Latvia):
EUR&gt;&gt;USDT
Market Rate: 1.148412335637132
EUR 162,000 x 1.148412335637132 = USDT 186,042.80
Mitratech (QT):
EUR&gt;&gt;USDT
Market Rate: 1.153600110032772
EUR 29,487.18 x 1.153600110032772 = USDT 34,016.41
EZ-EVO (Samino):
USDT&gt;&gt;EUR
Market Rate: 1.154934460230491
EUR 492,665.17 x 1.154934460230491 = USDT 568,995.98
BraversPlay (Darwin):
EUR&gt;&gt;USDT
Market Rate: 1.156470452179947
EUR 13,270.28 x 1.156470452179947 = USDT 15,347
</t>
  </si>
  <si>
    <t xml:space="preserve">THB → USDT then USDT &gt;&gt; EUR</t>
  </si>
  <si>
    <t xml:space="preserve">For Game reseller projects, the EUR invoices from vendors are marked up by NPL-Reseller and a higher value invoice is issued to customers. 
Customer needs to pay an EUR invoice value (in this case customer wants to pay in THB - either as an advance payment or balance for a current invoice. The EUR&gt;THB rate for the customer is calculated with a fixed 2% fee markup
The rate from the partner is THB&gt;USDT (partner fee comparison should show that the partner rate is below 1.5%), so NPL's margin will be min 0.5%.
Once the THB is paid by customer (cash), Partner converts it to USDT. This USDT is then used to pay the vendors as per the share of invoices. Vendors provide the USDT equivalent for the EUR amount due as per market rates.</t>
  </si>
  <si>
    <t xml:space="preserve">Bala Remittance Collection for Game Reseller</t>
  </si>
  <si>
    <t xml:space="preserve">Customer Collection:
EUR&gt;&gt;USDT
Market Rate: 1.14731528223956 (1 ÷ 0.8716)
Fee: 2%
Final Rate: 1.17026158788435
EUR 2,220 x 1.17026158788435 = USDT 2,597.98
--- Round-up to USDT 2,600
Vendor Payment:
EZ-EVO (Samino):
EUR&gt;&gt;USDT
Market Rate: 1.140965082766247
EUR 1,358.98 x 1.140965082766247 = USDT 1,550.55
</t>
  </si>
  <si>
    <t xml:space="preserve">LT Sub (Aquanow)</t>
  </si>
  <si>
    <t xml:space="preserve">own_desk (v5.3 proposal D)</t>
  </si>
  <si>
    <t xml:space="preserve">own desk (proposal D)</t>
  </si>
  <si>
    <t xml:space="preserve">For Game reseller projects, the EUR invoices from vendors are marked up by NPL-Reseller and a higher value invoice is issued to customers. 
Customer needs to pay an EUR invoice value (in this case customer wants to pay in USDT. NPL offers the EUR &gt;&gt; USDT plus its markup. Customer sends USDT to NPL. This USDT is then used to pay the vendors as per the share of invoices. Vendors provide the USDT equivalent for the EUR amount due as per market rates. </t>
  </si>
  <si>
    <t xml:space="preserve">Fair Remittance Collection for Game Reseller</t>
  </si>
  <si>
    <t xml:space="preserve">Customer Collection:
Market Rate: 1.15713955102985 (1/0.8642)
Fee: 0.75%
Final Rate: 1.16581809766258
EUR 1,079 x 1.16581809766258 = USDT 1,257.92
--- Rounded off to USDT 1,258
Vendor Payment:
EZ-EVO (Samino):
USDT&gt;&gt;EUR
Market Rate: 1.154934460230491
EUR 697.99 x 1.154934460230491 = USDT 806.13</t>
  </si>
  <si>
    <t xml:space="preserve">66 Group Remittance Collection for Game Reseller</t>
  </si>
  <si>
    <t xml:space="preserve">Customer Collection:
Market Rate: 1.1368804 (1/0.8796)
Fee: 1.50%
Final Rate: 1.15393361
EUR 239,149 x 1.15393361 = USDT 275,962.07
--- Rounded off to USDT 275,962
Vendor Payment:
Marbles:
EUR&gt;&gt;USDT
Market Rate: 1.148038054369771
Fee: 1%
Final Rate: 1.159518434913469
EUR 53.16 x 1.159518434913469 = USDT 61.64
Mitratech (QT):
Market Rate: 1.137541599423579
EUR 19,126.04 x 1.137541599423579 = USDT 21,756.67
EZ-EVO (Samino):
EUR&gt;&gt;USDT
Market Rate: 1.134950126147394
EUR 175,789.33 x 1.134950126147394 = USDT 199,512.12</t>
  </si>
  <si>
    <t xml:space="preserve">TripleSeven/GZ Remittance Collection for Game Reseller</t>
  </si>
  <si>
    <t xml:space="preserve">Customer Collection:
Market Rate: 1.163061177 (1 ÷ 0.8598)
Fee: 1.50%
Final Rate: 1.18050709467318
EUR 4,097 x 1.18050709467318 = USDT 4,837
Vendor Payment:
Mitratech (QT):
EUR&gt;&gt;USDT
Market Rate: 1.137541599423579
EUR 3,403.10 x 1.137541599423579 = USDT 3,871.17</t>
  </si>
  <si>
    <t xml:space="preserve">Alpha Plus Remittance Collection for Game Reseller</t>
  </si>
  <si>
    <t xml:space="preserve">Customer Collection:
Market Rate: 1.14784206 (1/0.8712)
Fee: 1.50%
Final Rate: 1.16505969
EUR 2,939 x 1.16505969 = USDT 3,424.11
--- Rounded off to USDT 3,424
Vendor Payment:
Mitratech (QT):
EUR&gt;&gt;USDT
Market Rate: 1.137541599423579
EUR 2,299.93 x 1.137541599423579 = USDT 2,616.27</t>
  </si>
  <si>
    <t xml:space="preserve">Remit YN</t>
  </si>
  <si>
    <t xml:space="preserve">GBP 21,216 = USDT 28,591</t>
  </si>
  <si>
    <t xml:space="preserve">USDT → GBP; USDT → EUR; USDT → USD</t>
  </si>
  <si>
    <t xml:space="preserve">Fee is not fixed and changes every transaction, but on average it is 1.84%</t>
  </si>
  <si>
    <t xml:space="preserve">Remittance Peru</t>
  </si>
  <si>
    <t xml:space="preserve">USD 299,350 - 4% = USDT 287,376</t>
  </si>
  <si>
    <t xml:space="preserve">USD&gt;USDT</t>
  </si>
  <si>
    <t xml:space="preserve">Ad Hoc INR Cash</t>
  </si>
  <si>
    <t xml:space="preserve">INR 8,500,000 / 79.52918721</t>
  </si>
  <si>
    <t xml:space="preserve">INR → USD; INR → SGD; INR → USDT</t>
  </si>
  <si>
    <t xml:space="preserve">AK collections (INR)</t>
  </si>
  <si>
    <t xml:space="preserve">INR 8,735,000 / 100.80</t>
  </si>
  <si>
    <t xml:space="preserve">Internal stakeholder collection</t>
  </si>
  <si>
    <t xml:space="preserve">AK collections (USDT)</t>
  </si>
  <si>
    <t xml:space="preserve">USDT 10,000 * 0.996</t>
  </si>
  <si>
    <t xml:space="preserve">USDT → USD; USDT → SGD</t>
  </si>
  <si>
    <t xml:space="preserve">P01 — Market-minus; partner pays NPL its share</t>
  </si>
  <si>
    <t xml:space="preserve">Representative sheet rows</t>
  </si>
  <si>
    <t xml:space="preserve">3, 6, 8, 9, 10, 13, 17, 4, 11, 18, 20</t>
  </si>
  <si>
    <t xml:space="preserve">ERD entities involved</t>
  </si>
  <si>
    <t xml:space="preserve">PROJECT, SENDER, RECEIVER, PARTNER_PAIR (market_plus_pct), FEE_STRUCTURE (basis market), PARTNER_REBATE_RULE or CO.&lt;PARTNER&gt;.POOL, CONVERSION, DISBURSEMENT</t>
  </si>
  <si>
    <t xml:space="preserve">A · Configuration slots</t>
  </si>
  <si>
    <t xml:space="preserve">Slot</t>
  </si>
  <si>
    <t xml:space="preserve">ERD field</t>
  </si>
  <si>
    <t xml:space="preserve">Value</t>
  </si>
  <si>
    <t xml:space="preserve">Source</t>
  </si>
  <si>
    <t xml:space="preserve">Note</t>
  </si>
  <si>
    <t xml:space="preserve">Client / project</t>
  </si>
  <si>
    <t xml:space="preserve">PROJECT.name</t>
  </si>
  <si>
    <t xml:space="preserve">sheet</t>
  </si>
  <si>
    <t xml:space="preserve">One project per client; the default receiver group is created with it.</t>
  </si>
  <si>
    <t xml:space="preserve">Sender(s)</t>
  </si>
  <si>
    <t xml:space="preserve">SENDER.name; SENDER_RECEIVER_ALLOW → default group</t>
  </si>
  <si>
    <t xml:space="preserve">NPL</t>
  </si>
  <si>
    <t xml:space="preserve">Who pays in. A sender must be allowed to pay the entitled group.</t>
  </si>
  <si>
    <t xml:space="preserve">Receiver / vendor</t>
  </si>
  <si>
    <t xml:space="preserve">RECEIVER (kind counterparty) → RECEIVING_ENTITY</t>
  </si>
  <si>
    <t xml:space="preserve">Who is paid. A refund destination would be a sender_return receiver.</t>
  </si>
  <si>
    <t xml:space="preserve">Receiving account</t>
  </si>
  <si>
    <t xml:space="preserve">RECEIVING_ENTITY_ACCOUNT.currency · rail · account_kind</t>
  </si>
  <si>
    <t xml:space="preserve">EUR via SEPA and EUR via SWIFT are two accounts; a wallet has network + address.</t>
  </si>
  <si>
    <t xml:space="preserve">Collection method</t>
  </si>
  <si>
    <t xml:space="preserve">DEAL.collection_method</t>
  </si>
  <si>
    <t xml:space="preserve">crypto</t>
  </si>
  <si>
    <t xml:space="preserve">crypto / bank / cash. Cash has no endpoint record.</t>
  </si>
  <si>
    <t xml:space="preserve">Collection endpoint</t>
  </si>
  <si>
    <t xml:space="preserve">PARTNER_ENTITY → COLLECTION_RECEIVING_ENDPOINT (kind, network or rail)</t>
  </si>
  <si>
    <t xml:space="preserve">Jeton vehicle · wallet · TRC-20?</t>
  </si>
  <si>
    <t xml:space="preserve">Must be active, belong to the leg's partner vehicle and match the collection method (D18, D19).</t>
  </si>
  <si>
    <t xml:space="preserve">Partner</t>
  </si>
  <si>
    <t xml:space="preserve">PARTNER + PARTNER_CONFIG</t>
  </si>
  <si>
    <t xml:space="preserve">Partner pricing</t>
  </si>
  <si>
    <t xml:space="preserve">PARTNER_PAIR.partner_pricing (+ partner_markup_pct)</t>
  </si>
  <si>
    <t xml:space="preserve">market_plus_pct: the partner states its fee on top of market; disclosed_rate: its margin is inside its rate.</t>
  </si>
  <si>
    <t xml:space="preserve">Currency pair</t>
  </si>
  <si>
    <t xml:space="preserve">CURRENCY_PAIR.from_currency → to_currency</t>
  </si>
  <si>
    <t xml:space="preserve">from = collection currency, to = payout currency.</t>
  </si>
  <si>
    <t xml:space="preserve">Quote direction</t>
  </si>
  <si>
    <t xml:space="preserve">CURRENCY_PAIR.quote_direction</t>
  </si>
  <si>
    <t xml:space="preserve">out_per_in</t>
  </si>
  <si>
    <t xml:space="preserve">out_per_in: fee deducted from the rate the sender gets; in_per_out: fee added to what the sender pays per unit received.</t>
  </si>
  <si>
    <t xml:space="preserve">Rate basis</t>
  </si>
  <si>
    <t xml:space="preserve">FEE_STRUCTURE.rate_basis</t>
  </si>
  <si>
    <t xml:space="preserve">market</t>
  </si>
  <si>
    <t xml:space="preserve">market: fee applied on the market rate; partner: on the partner's rate.</t>
  </si>
  <si>
    <t xml:space="preserve">Fee mode</t>
  </si>
  <si>
    <t xml:space="preserve">FEE_STRUCTURE.mode</t>
  </si>
  <si>
    <t xml:space="preserve">fixed, or variable within floor/cap with a minimum margin.</t>
  </si>
  <si>
    <t xml:space="preserve">Fee total %</t>
  </si>
  <si>
    <t xml:space="preserve">FEE_STRUCTURE.pct</t>
  </si>
  <si>
    <t xml:space="preserve">sender share + receiver share.</t>
  </si>
  <si>
    <t xml:space="preserve">Sender share %</t>
  </si>
  <si>
    <t xml:space="preserve">FEE_STRUCTURE.sender_share_pct</t>
  </si>
  <si>
    <t xml:space="preserve">Receiver share %</t>
  </si>
  <si>
    <t xml:space="preserve">FEE_STRUCTURE.receiver_share_pct</t>
  </si>
  <si>
    <t xml:space="preserve">Taken at conversion from the client's balance (receiver_fee_timing = at_conversion).</t>
  </si>
  <si>
    <t xml:space="preserve">Floor %</t>
  </si>
  <si>
    <t xml:space="preserve">FEE_STRUCTURE.floor_pct</t>
  </si>
  <si>
    <t xml:space="preserve">variable mode only</t>
  </si>
  <si>
    <t xml:space="preserve">Cap %</t>
  </si>
  <si>
    <t xml:space="preserve">FEE_STRUCTURE.cap_pct</t>
  </si>
  <si>
    <t xml:space="preserve">Minimum margin %</t>
  </si>
  <si>
    <t xml:space="preserve">FEE_STRUCTURE.min_margin_pct</t>
  </si>
  <si>
    <t xml:space="preserve">A quote below it needs Finance approval.</t>
  </si>
  <si>
    <t xml:space="preserve">Displayed fee %</t>
  </si>
  <si>
    <t xml:space="preserve">FEE_STRUCTURE.displayed_fee_pct (v5.3 proposal C)</t>
  </si>
  <si>
    <t xml:space="preserve">n/a</t>
  </si>
  <si>
    <t xml:space="preserve">What the customer-facing calculation prints, when it differs from the true total.</t>
  </si>
  <si>
    <t xml:space="preserve">NPL share mechanic</t>
  </si>
  <si>
    <t xml:space="preserve">pool at partner (CO.&lt;PARTNER&gt;.POOL) / rebate (PARTNER_REBATE_RULE) / own desk (v5.3 proposal D)</t>
  </si>
  <si>
    <t xml:space="preserve">rebate? (sheet: 'NPL gets this as referral commission') — confirm</t>
  </si>
  <si>
    <t xml:space="preserve">Decides the postings and the monthly reconciliation.</t>
  </si>
  <si>
    <t xml:space="preserve">Rebate % of partner fee</t>
  </si>
  <si>
    <t xml:space="preserve">PARTNER_REBATE_RULE.pct_of_partner_fee</t>
  </si>
  <si>
    <t xml:space="preserve">derived</t>
  </si>
  <si>
    <t xml:space="preserve">Only when the mechanic is rebate.</t>
  </si>
  <si>
    <t xml:space="preserve">Earnings share with another party</t>
  </si>
  <si>
    <t xml:space="preserve">INTRODUCER + REFERRAL_RULE (basis fixed_pct) → REFERRAL_ACCRUAL</t>
  </si>
  <si>
    <t xml:space="preserve">Paid out of NPL's earnings.</t>
  </si>
  <si>
    <t xml:space="preserve">Rounding option · unit</t>
  </si>
  <si>
    <t xml:space="preserve">CURRENCY_PAIR.amount_rounding (+ rounding_unit, v5.3 proposal F)</t>
  </si>
  <si>
    <t xml:space="preserve">truncate_unit · 1</t>
  </si>
  <si>
    <t xml:space="preserve">truncate_unit is the agreed default; the sheet shows nearest-1,000 and round-up in use.</t>
  </si>
  <si>
    <t xml:space="preserve">Settlement rail</t>
  </si>
  <si>
    <t xml:space="preserve">SETTLEMENT_RAIL (bank / EMI that executes the payout, expected bank fee)</t>
  </si>
  <si>
    <t xml:space="preserve">Narrative</t>
  </si>
  <si>
    <t xml:space="preserve">SETTLEMENT_SENDING_ENTITY.narrative_name</t>
  </si>
  <si>
    <t xml:space="preserve">Name the receiver sees on the transfer.</t>
  </si>
  <si>
    <t xml:space="preserve">Registration</t>
  </si>
  <si>
    <t xml:space="preserve">SETTLEMENT_REGISTRATION.approval_status (+ details in the account's kind, D16)</t>
  </si>
  <si>
    <t xml:space="preserve">A quote cannot leave Inquiry without an approved registration for the entitled group.</t>
  </si>
  <si>
    <t xml:space="preserve">B · Simulation — inputs (change freely)</t>
  </si>
  <si>
    <t xml:space="preserve">Input</t>
  </si>
  <si>
    <t xml:space="preserve">Key</t>
  </si>
  <si>
    <t xml:space="preserve">Format</t>
  </si>
  <si>
    <t xml:space="preserve">Source / meaning</t>
  </si>
  <si>
    <t xml:space="preserve">Amount in</t>
  </si>
  <si>
    <t xml:space="preserve">A</t>
  </si>
  <si>
    <t xml:space="preserve">amount</t>
  </si>
  <si>
    <t xml:space="preserve">the sender's amount, in the collection currency</t>
  </si>
  <si>
    <t xml:space="preserve">Collection currency</t>
  </si>
  <si>
    <t xml:space="preserve">ccy_in</t>
  </si>
  <si>
    <t xml:space="preserve">USDT</t>
  </si>
  <si>
    <t xml:space="preserve">text</t>
  </si>
  <si>
    <t xml:space="preserve">Payout currency</t>
  </si>
  <si>
    <t xml:space="preserve">ccy_out</t>
  </si>
  <si>
    <t xml:space="preserve">EUR</t>
  </si>
  <si>
    <t xml:space="preserve">Partner code (ledger holder)</t>
  </si>
  <si>
    <t xml:space="preserve">partner_code</t>
  </si>
  <si>
    <t xml:space="preserve">JETON</t>
  </si>
  <si>
    <t xml:space="preserve">PARTNER_CONFIG code used in account names</t>
  </si>
  <si>
    <t xml:space="preserve">Market rate Rm</t>
  </si>
  <si>
    <t xml:space="preserve">Rm</t>
  </si>
  <si>
    <t xml:space="preserve">rate, OUT per 1 IN</t>
  </si>
  <si>
    <t xml:space="preserve">OUT per 1 IN at quote time (MARKET_RATE snapshot)</t>
  </si>
  <si>
    <t xml:space="preserve">Partner rate Rp (disclosed-rate partners)</t>
  </si>
  <si>
    <t xml:space="preserve">Rp</t>
  </si>
  <si>
    <t xml:space="preserve">OUT per 1 IN as offered (PARTNER_RATE_VERSION); blank for market-plus partners</t>
  </si>
  <si>
    <t xml:space="preserve">Partner markup m (market-plus partners)</t>
  </si>
  <si>
    <t xml:space="preserve">m</t>
  </si>
  <si>
    <t xml:space="preserve">percent</t>
  </si>
  <si>
    <t xml:space="preserve">PARTNER_PAIR.partner_markup_pct; 0 for disclosed-rate or own desk</t>
  </si>
  <si>
    <t xml:space="preserve">Fee total f</t>
  </si>
  <si>
    <t xml:space="preserve">f</t>
  </si>
  <si>
    <t xml:space="preserve">Sender share s</t>
  </si>
  <si>
    <t xml:space="preserve">s</t>
  </si>
  <si>
    <t xml:space="preserve">Receiver share r</t>
  </si>
  <si>
    <t xml:space="preserve">r</t>
  </si>
  <si>
    <t xml:space="preserve">basis</t>
  </si>
  <si>
    <t xml:space="preserve">market / partner</t>
  </si>
  <si>
    <t xml:space="preserve">pricing</t>
  </si>
  <si>
    <t xml:space="preserve">market_plus_pct / disclosed_rate / own_desk</t>
  </si>
  <si>
    <t xml:space="preserve">dir</t>
  </si>
  <si>
    <t xml:space="preserve">out_per_in / in_per_out</t>
  </si>
  <si>
    <t xml:space="preserve">Rounding option</t>
  </si>
  <si>
    <t xml:space="preserve">round</t>
  </si>
  <si>
    <t xml:space="preserve">truncate_unit</t>
  </si>
  <si>
    <t xml:space="preserve">truncate_unit / nearest_unit / round_up_unit / nearest_n</t>
  </si>
  <si>
    <t xml:space="preserve">Rounding unit</t>
  </si>
  <si>
    <t xml:space="preserve">unit</t>
  </si>
  <si>
    <t xml:space="preserve">1 for whole units; 1000 for nearest-thousand</t>
  </si>
  <si>
    <t xml:space="preserve">Minimum margin</t>
  </si>
  <si>
    <t xml:space="preserve">minm</t>
  </si>
  <si>
    <t xml:space="preserve">Displayed fee (blank = show the truth)</t>
  </si>
  <si>
    <t xml:space="preserve">disp</t>
  </si>
  <si>
    <t xml:space="preserve">v5.3 proposal C</t>
  </si>
  <si>
    <t xml:space="preserve">mech</t>
  </si>
  <si>
    <t xml:space="preserve">rebate</t>
  </si>
  <si>
    <t xml:space="preserve">pool / rebate / own_desk</t>
  </si>
  <si>
    <t xml:space="preserve">PARTNER_REBATE_RULE</t>
  </si>
  <si>
    <t xml:space="preserve">Share paid to another party %</t>
  </si>
  <si>
    <t xml:space="preserve">refpct</t>
  </si>
  <si>
    <t xml:space="preserve">REFERRAL_RULE fixed_pct (introducer or client party)</t>
  </si>
  <si>
    <t xml:space="preserve">C · Simulation — what the system computes</t>
  </si>
  <si>
    <t xml:space="preserve">Figure</t>
  </si>
  <si>
    <t xml:space="preserve">Formula in words</t>
  </si>
  <si>
    <t xml:space="preserve">Calculation Specification step</t>
  </si>
  <si>
    <t xml:space="preserve">Base rate</t>
  </si>
  <si>
    <t xml:space="preserve">market rate if basis = market, else partner rate</t>
  </si>
  <si>
    <t xml:space="preserve">§2 fee basis</t>
  </si>
  <si>
    <t xml:space="preserve">Sender rate (what the sender is quoted)</t>
  </si>
  <si>
    <t xml:space="preserve">base × (1 − sender share) for out-per-in quoting; base ÷ (1 + sender share) when the fee is added to an in-per-out rate</t>
  </si>
  <si>
    <t xml:space="preserve">§3 sender split; CURRENCY_PAIR.quote_direction</t>
  </si>
  <si>
    <t xml:space="preserve">Gross out (promised before receiver share)</t>
  </si>
  <si>
    <t xml:space="preserve">amount in × sender rate</t>
  </si>
  <si>
    <t xml:space="preserve">§3</t>
  </si>
  <si>
    <t xml:space="preserve">Receiver fee</t>
  </si>
  <si>
    <t xml:space="preserve">gross out × receiver share</t>
  </si>
  <si>
    <t xml:space="preserve">Client net (group entitlement)</t>
  </si>
  <si>
    <t xml:space="preserve">gross out − receiver fee</t>
  </si>
  <si>
    <t xml:space="preserve">§5</t>
  </si>
  <si>
    <t xml:space="preserve">Delivered by the partner (actual out)</t>
  </si>
  <si>
    <t xml:space="preserve">amount × partner rate (disclosed) · amount × market × (1 − partner markup) (market-plus) · amount × market (own desk)</t>
  </si>
  <si>
    <t xml:space="preserve">§5 what the partner delivers</t>
  </si>
  <si>
    <t xml:space="preserve">Partner cost</t>
  </si>
  <si>
    <t xml:space="preserve">amount × market − delivered (0 for own desk)</t>
  </si>
  <si>
    <t xml:space="preserve">NPL earnings at conversion</t>
  </si>
  <si>
    <t xml:space="preserve">delivered − client net</t>
  </si>
  <si>
    <t xml:space="preserve">§5; ERD invariant 16 (margin captured at conversion)</t>
  </si>
  <si>
    <t xml:space="preserve">NPL margin %</t>
  </si>
  <si>
    <t xml:space="preserve">earnings ÷ (amount × market)</t>
  </si>
  <si>
    <t xml:space="preserve">Below minimum margin?</t>
  </si>
  <si>
    <t xml:space="preserve">margin % &lt; min margin → quote needs Finance approval</t>
  </si>
  <si>
    <t xml:space="preserve">Lifecycle v1.1 §4; FEE_STRUCTURE.min_margin_pct</t>
  </si>
  <si>
    <t xml:space="preserve">Payout in whole units</t>
  </si>
  <si>
    <t xml:space="preserve">client net rounded per the pair's rounding option and unit</t>
  </si>
  <si>
    <t xml:space="preserve">§9 rounding; v5.3 proposal F for options other than truncate</t>
  </si>
  <si>
    <t xml:space="preserve">Rounding residual (dust; negative = NPL cost)</t>
  </si>
  <si>
    <t xml:space="preserve">client net − payout</t>
  </si>
  <si>
    <t xml:space="preserve">CONVERSION.rounding_residual</t>
  </si>
  <si>
    <t xml:space="preserve">Displayed source rate (quote package)</t>
  </si>
  <si>
    <t xml:space="preserve">sender rate ÷ (1 − displayed fee) — what the customer-facing calculation prints</t>
  </si>
  <si>
    <t xml:space="preserve">Rebate receivable (if mechanic = rebate)</t>
  </si>
  <si>
    <t xml:space="preserve">partner's fee × rebate %</t>
  </si>
  <si>
    <t xml:space="preserve">PARTNER_REBATE_RULE / ACCRUAL</t>
  </si>
  <si>
    <t xml:space="preserve">Referral or client share accrued</t>
  </si>
  <si>
    <t xml:space="preserve">amount × market × share %</t>
  </si>
  <si>
    <t xml:space="preserve">REFERRAL_RULE basis fixed_pct → REFERRAL_ACCRUAL</t>
  </si>
  <si>
    <t xml:space="preserve">Identity: client net + partner cost + earnings = amount × market</t>
  </si>
  <si>
    <t xml:space="preserve">must be zero</t>
  </si>
  <si>
    <t xml:space="preserve">Calc spec §11 acceptance</t>
  </si>
  <si>
    <t xml:space="preserve">D · Expected postings (Ledger Posting Design v1.1)</t>
  </si>
  <si>
    <t xml:space="preserve">Account (OWNER.HOLDER.CCY.PURPOSE)</t>
  </si>
  <si>
    <t xml:space="preserve">Side</t>
  </si>
  <si>
    <t xml:space="preserve">Amount</t>
  </si>
  <si>
    <t xml:space="preserve">Owner · cost component</t>
  </si>
  <si>
    <t xml:space="preserve">Event</t>
  </si>
  <si>
    <t xml:space="preserve">Dr</t>
  </si>
  <si>
    <t xml:space="preserve">client · principal</t>
  </si>
  <si>
    <t xml:space="preserve">Collection</t>
  </si>
  <si>
    <t xml:space="preserve">Cr</t>
  </si>
  <si>
    <t xml:space="preserve">Conversion, in-currency leg</t>
  </si>
  <si>
    <t xml:space="preserve">client · principal (incl. rounding dust)</t>
  </si>
  <si>
    <t xml:space="preserve">Conversion, out-currency leg</t>
  </si>
  <si>
    <t xml:space="preserve">company · earnings</t>
  </si>
  <si>
    <t xml:space="preserve">Conversion — margin left at the partner</t>
  </si>
  <si>
    <t xml:space="preserve">Conversion — margin owed back by the partner (rebate mechanic)</t>
  </si>
  <si>
    <t xml:space="preserve">Margin recognised (invariant 16)</t>
  </si>
  <si>
    <t xml:space="preserve">Disbursement (whole units)</t>
  </si>
  <si>
    <t xml:space="preserve">Disbursement</t>
  </si>
  <si>
    <t xml:space="preserve">Confirmation, full</t>
  </si>
  <si>
    <t xml:space="preserve">company · referral</t>
  </si>
  <si>
    <t xml:space="preserve">Referral accrual (if a share rule applies)</t>
  </si>
  <si>
    <t xml:space="preserve">Referral accrual</t>
  </si>
  <si>
    <t xml:space="preserve">Check: debits = credits in the OUT currency (conversion out-leg + settlement + referral)</t>
  </si>
  <si>
    <t xml:space="preserve">ERD invariant 1: postings in one transaction sum to zero per currency (the in-currency rows balance by construction)</t>
  </si>
  <si>
    <t xml:space="preserve">E · Check against the sheet</t>
  </si>
  <si>
    <t xml:space="preserve">Figure NPL quoted</t>
  </si>
  <si>
    <t xml:space="preserve">Sheet value</t>
  </si>
  <si>
    <t xml:space="preserve">Simulated</t>
  </si>
  <si>
    <t xml:space="preserve">Difference</t>
  </si>
  <si>
    <t xml:space="preserve">Comment</t>
  </si>
  <si>
    <t xml:space="preserve">EUR amount to the receiver</t>
  </si>
  <si>
    <t xml:space="preserve">sheet row 3: 661,060 × 0.857097 × 0.99</t>
  </si>
  <si>
    <t xml:space="preserve">F · Open points for NPL</t>
  </si>
  <si>
    <t xml:space="preserve">•</t>
  </si>
  <si>
    <t xml:space="preserve">Does Jeton deduct the full 1 % and pay NPL 0.4 % back (rebate, monthly), or deduct 0.6 % and leave 0.4 % at its end (pool)? The simulation assumes rebate with m = 1.0 %, rebate 40 %; switch 'mech' to pool and m to 0.6 % for the other reading.</t>
  </si>
  <si>
    <t xml:space="preserve">Jeton's collection endpoint (vehicle, wallet network) and the settlement rail / narrative for EUR payouts.</t>
  </si>
  <si>
    <t xml:space="preserve">Is the 0.4 % 'referral commission' NPL's margin on every deal, or a separate commission arrangement with Jeton? It matters for whether REFERRAL_RULE or PARTNER_REBATE_RULE models it.</t>
  </si>
  <si>
    <t xml:space="preserve">P02 — Agent rate; displayed fee differs from true total</t>
  </si>
  <si>
    <t xml:space="preserve">5, 7, 12, 15, 19</t>
  </si>
  <si>
    <t xml:space="preserve">PARTNER_PAIR (disclosed_rate), FEE_STRUCTURE (basis partner), DEAL_GROUP.displayed_* (v5.3 proposal C), CONVERSION, CO.&lt;PARTNER&gt;.POOL</t>
  </si>
  <si>
    <t xml:space="preserve">PT-tour or PT Global Inc · wallet · TRC-20</t>
  </si>
  <si>
    <t xml:space="preserve">partner</t>
  </si>
  <si>
    <t xml:space="preserve">ALI</t>
  </si>
  <si>
    <t xml:space="preserve">pool</t>
  </si>
  <si>
    <t xml:space="preserve">Displayed source rate</t>
  </si>
  <si>
    <t xml:space="preserve">sheet row 5 shows 0.857097 with 'Fee: 1 %' — the recomputed rate</t>
  </si>
  <si>
    <t xml:space="preserve">sheet row 5</t>
  </si>
  <si>
    <t xml:space="preserve">The true market rate at quote time (the sheet shows the recomputed one). Without it the partner cost and the 1.4 % total cannot be checked — the simulation leaves Rm yellow.</t>
  </si>
  <si>
    <t xml:space="preserve">Ali's actual offered rate: the simulation derives 0.851934 from the sheet (0.857097 × 0.99 ÷ 0.996). Confirm or replace.</t>
  </si>
  <si>
    <t xml:space="preserve">Is the displayed '1 %' a fixed presentation rule for every Ali deal of this client, or chosen per quote?</t>
  </si>
  <si>
    <t xml:space="preserve">P03 — Sender + receiver split</t>
  </si>
  <si>
    <t xml:space="preserve">21, 22, 23, 24</t>
  </si>
  <si>
    <t xml:space="preserve">FEE_STRUCTURE.sender_share_pct / receiver_share_pct, FEE_OVERRIDE (v5.3 proposal A for the selected senders), CONVERSION.fee_receiver_part</t>
  </si>
  <si>
    <t xml:space="preserve">Evo (receiver side pays 0.6 %)</t>
  </si>
  <si>
    <t xml:space="preserve">PT vehicle · wallet · TRC-20</t>
  </si>
  <si>
    <t xml:space="preserve">Sender rate (final rate)</t>
  </si>
  <si>
    <t xml:space="preserve">sheet row 21: 0.888977 × 0.986</t>
  </si>
  <si>
    <t xml:space="preserve">EUR to the Evo balance (gross)</t>
  </si>
  <si>
    <t xml:space="preserve">sheet row 21</t>
  </si>
  <si>
    <t xml:space="preserve">EUR after the receiver fee (client net)</t>
  </si>
  <si>
    <t xml:space="preserve">sheet row 21: 25,704 − 0.6 %</t>
  </si>
  <si>
    <t xml:space="preserve">Ali's offered rate for this deal (the simulation assumes a 0.85 % partner cost: 0.881421). Replace with the actual version.</t>
  </si>
  <si>
    <t xml:space="preserve">For GTSI, HG and Komodo the sender share is 1.0 % while Evo still pays 0.6 %: confirm that the receiver part is fixed, not proportional (this is proposal A).</t>
  </si>
  <si>
    <t xml:space="preserve">Rows 22 and 24 route the same deal through Jeton at 'market − 1.25 %': confirm Jeton's markup (0.85 % in the sheet) and whether the 1.25 % is Jeton's deduction or NPL's quote.</t>
  </si>
  <si>
    <t xml:space="preserve">P04 — Variable fee quoted per transaction, with a floor</t>
  </si>
  <si>
    <t xml:space="preserve">29, 25, 26, 34, 36, 43</t>
  </si>
  <si>
    <t xml:space="preserve">FEE_STRUCTURE (mode variable: floor_pct, cap_pct, min_margin_pct), PARTNER_RATE_VERSION per day, RATE_COMPARISON, APPROVAL (below-margin quote)</t>
  </si>
  <si>
    <t xml:space="preserve">bank</t>
  </si>
  <si>
    <t xml:space="preserve">Ali vehicle · bank · rail?</t>
  </si>
  <si>
    <t xml:space="preserve">in_per_out</t>
  </si>
  <si>
    <t xml:space="preserve">nearest_n · 1000 (on the INR collected)</t>
  </si>
  <si>
    <t xml:space="preserve">INR</t>
  </si>
  <si>
    <t xml:space="preserve">USD</t>
  </si>
  <si>
    <t xml:space="preserve">USD delivered to the receiver</t>
  </si>
  <si>
    <t xml:space="preserve">sheet row 29: USD 23,960.18 × 97.198 = INR 2,328,878, rounded to 2,329,000 — the simulation starts from the rounded INR, hence ≈ 1.25 USD more</t>
  </si>
  <si>
    <t xml:space="preserve">Floor and cap for the fee, and who may set it per transaction (the sheet says 'average 6 %, min margin 0.5 %').</t>
  </si>
  <si>
    <t xml:space="preserve">The sheet adds 7 % to the INR-per-USD rate (97.198 = 90.839 × 1.07). In out-per-in terms that is a 6.54 % deduction, not 7 % — the quote direction must be recorded as in_per_out for this pair.</t>
  </si>
  <si>
    <t xml:space="preserve">The INR amount is rounded to the nearest 1,000 on the collection side; the model rounds payouts, so this is a collection-amount convention to confirm (proposal F).</t>
  </si>
  <si>
    <t xml:space="preserve">P05 — Volume-tiered fee</t>
  </si>
  <si>
    <t xml:space="preserve">32, 33</t>
  </si>
  <si>
    <t xml:space="preserve">FEE_STRUCTURE + FEE_TIER (v5.3 proposal B), DEAL.fee_tier_id, sender monthly volume</t>
  </si>
  <si>
    <t xml:space="preserve">GDC</t>
  </si>
  <si>
    <t xml:space="preserve">Ali vehicle · wallet · TRC-20</t>
  </si>
  <si>
    <t xml:space="preserve">USD delivered</t>
  </si>
  <si>
    <t xml:space="preserve">sheet row 32: USD 84,482 + 2.5 % = USDT 86,594 (the sheet used a market rate of exactly 1.0)</t>
  </si>
  <si>
    <t xml:space="preserve">Tier table (v5.3 proposal B — FEE_TIER)</t>
  </si>
  <si>
    <t xml:space="preserve">Minimum monthly volume (USD)</t>
  </si>
  <si>
    <t xml:space="preserve">Fee %</t>
  </si>
  <si>
    <t xml:space="preserve">Rule</t>
  </si>
  <si>
    <t xml:space="preserve">sheet row 32</t>
  </si>
  <si>
    <t xml:space="preserve">sheet row 33</t>
  </si>
  <si>
    <t xml:space="preserve">Trailing-month volume of this sender (USD)</t>
  </si>
  <si>
    <t xml:space="preserve">Σ amount_in over the last 30 days — the engine has it; NPL to fill for the test</t>
  </si>
  <si>
    <t xml:space="preserve">Tier the engine would apply</t>
  </si>
  <si>
    <t xml:space="preserve">highest minimum ≤ volume; copy this into 'Fee total f' and 'Sender share s' above to re-run the simulation at the tiered fee</t>
  </si>
  <si>
    <t xml:space="preserve">Is the $500K threshold measured per calendar month or trailing 30 days, on collected or quoted amounts, per sender or for GDC as a whole?</t>
  </si>
  <si>
    <t xml:space="preserve">Does the lower tier apply to the transaction that crosses the threshold, or from the next one?</t>
  </si>
  <si>
    <t xml:space="preserve">Market rate used for USDT → USD (the sheet's arithmetic implies 1.0; the partner delivers at 0.996).</t>
  </si>
  <si>
    <t xml:space="preserve">P06 — Earnings shared with the client's own party</t>
  </si>
  <si>
    <t xml:space="preserve">16, 14</t>
  </si>
  <si>
    <t xml:space="preserve">INTRODUCER (= the client's party), REFERRAL_RULE (basis fixed_pct), REFERRAL_ACCRUAL, FEE_STRUCTURE, PARTNER_PAIR (market_plus_pct)</t>
  </si>
  <si>
    <t xml:space="preserve">BF-Raeen — Sub Account</t>
  </si>
  <si>
    <t xml:space="preserve">Aquanow vehicle · wallet · TRC-20?</t>
  </si>
  <si>
    <t xml:space="preserve">rebate? — confirm</t>
  </si>
  <si>
    <t xml:space="preserve">Raeen · 1.5 % of amount (half of the 3 % above the partner's 0.8 %… see note)</t>
  </si>
  <si>
    <t xml:space="preserve">AQUANOW</t>
  </si>
  <si>
    <t xml:space="preserve">EUR to the receiver</t>
  </si>
  <si>
    <t xml:space="preserve">sheet row 16: 50,000 × 0.8650036 × 0.96</t>
  </si>
  <si>
    <t xml:space="preserve">The sheet says the partner charges 0.8 % but lists partner cost 0.5 % with NPL margin 2 % and '3 % shared with Raeen equally'. The simulation uses m = 0.8 % and a 1.5 % share to Raeen; confirm the exact split of the 4 %.</t>
  </si>
  <si>
    <t xml:space="preserve">Is Raeen's share paid per deal, monthly, or netted against Raeen's own fees? (REFERRAL_ACCRUAL is per deal, paid from NPL's earnings.)</t>
  </si>
  <si>
    <t xml:space="preserve">Row 14 (direct from downlines): 0.2 % shared 75/25 → 0.15 % to Raeen. Same rule type, different percentage.</t>
  </si>
  <si>
    <t xml:space="preserve">P07 — Own-desk reseller (NPL converts, no partner)</t>
  </si>
  <si>
    <t xml:space="preserve">38, 39, 40, 41, 42</t>
  </si>
  <si>
    <t xml:space="preserve">OWN_WALLET (LT Sub) as collection endpoint, own-desk PARTNER_CONFIG (v5.3 proposal D), INVOICE + per-line discharge (proposal E), rounding up (proposal F), invariant 3</t>
  </si>
  <si>
    <t xml:space="preserve">Bala</t>
  </si>
  <si>
    <t xml:space="preserve">EZ-EVO (Samino) — vendor, paid in USDT</t>
  </si>
  <si>
    <t xml:space="preserve">USDT wallet (vendor)</t>
  </si>
  <si>
    <t xml:space="preserve">NPL own desk · wallet LT Sub (Aquanow) · TRC-20?</t>
  </si>
  <si>
    <t xml:space="preserve">NPL own desk (LT Sub)</t>
  </si>
  <si>
    <t xml:space="preserve">USDT → EUR (obligation in EUR, paid in USDT)</t>
  </si>
  <si>
    <t xml:space="preserve">round_up_unit · 1 (on the USDT collected)</t>
  </si>
  <si>
    <t xml:space="preserve">OWNDESK</t>
  </si>
  <si>
    <t xml:space="preserve">own_desk</t>
  </si>
  <si>
    <t xml:space="preserve">EUR invoice value covered by the collection</t>
  </si>
  <si>
    <t xml:space="preserve">sheet row 38: EUR 2,220 ÷ 0.8716 × 1.02 = USDT 2,598 → rounded up to 2,600, which covers ≈ EUR 2,221.8</t>
  </si>
  <si>
    <t xml:space="preserve">Vendor payment against the EUR invoice (v5.3 proposal E — INVOICE, DISBURSEMENT_LINE.obligation_discharged)</t>
  </si>
  <si>
    <t xml:space="preserve">Vendor invoice amount (EUR)</t>
  </si>
  <si>
    <t xml:space="preserve">sheet row 38, EZ-EVO (Samino)</t>
  </si>
  <si>
    <t xml:space="preserve">Market rate at payment (USDT per EUR)</t>
  </si>
  <si>
    <t xml:space="preserve">sheet row 38</t>
  </si>
  <si>
    <t xml:space="preserve">USDT paid to the vendor</t>
  </si>
  <si>
    <t xml:space="preserve">sheet says 1,550.55</t>
  </si>
  <si>
    <t xml:space="preserve">EUR discharged on the invoice</t>
  </si>
  <si>
    <t xml:space="preserve">DISBURSEMENT_LINE.obligation_discharged (proposal E)</t>
  </si>
  <si>
    <t xml:space="preserve">NPL's result on this flow (EUR)</t>
  </si>
  <si>
    <t xml:space="preserve">what the customer paid in EUR terms minus what the vendor was owed; the fee ± forex variance between collection and payment</t>
  </si>
  <si>
    <t xml:space="preserve">This flow holds client money in NPL's own wallet as a matter of course, which invariant 3 forbids outside a reroute. Confirm the business wants it modelled inside NPLify (proposal D, option i) or kept outside.</t>
  </si>
  <si>
    <t xml:space="preserve">Rounding up the USDT the customer pays (2,598 → 2,600) favours NPL by ≈ EUR 1.8: is that a deliberate convention (proposal F) or a convenience?</t>
  </si>
  <si>
    <t xml:space="preserve">The vendors are paid at the market rate of the payment day, in parts, over days: confirm the invoice-balance tracking is wanted (proposal E).</t>
  </si>
  <si>
    <t xml:space="preserve">Who is the sender for allow-list and attribution purposes: the reseller customer, or Bala?</t>
  </si>
  <si>
    <t xml:space="preserve">P08 — Cash in, partner converts to USDT, vendors paid in USDT</t>
  </si>
  <si>
    <t xml:space="preserve">37</t>
  </si>
  <si>
    <t xml:space="preserve">DEAL_GROUP with one forward leg (THB → USDT at Ali, cash collection), INVOICE obligation in EUR (proposal E), payout lines in USDT to several vendors with deal_id (D17) and discharge fields (proposal E)</t>
  </si>
  <si>
    <t xml:space="preserve">27 Group customer</t>
  </si>
  <si>
    <t xml:space="preserve">SACCO SIA, Mitratech, EZ-EVO, BraversPlay — vendors paid in USDT</t>
  </si>
  <si>
    <t xml:space="preserve">USDT wallets (vendors)</t>
  </si>
  <si>
    <t xml:space="preserve">cash</t>
  </si>
  <si>
    <t xml:space="preserve">none (cash) — instructions on the deal</t>
  </si>
  <si>
    <t xml:space="preserve">THB → USDT (customer promised EUR)</t>
  </si>
  <si>
    <t xml:space="preserve">nearest_n · 1000? (THB 12,813,449 → 12,813,000)</t>
  </si>
  <si>
    <t xml:space="preserve">THB</t>
  </si>
  <si>
    <t xml:space="preserve">EUR credited to the customer (advance payment)</t>
  </si>
  <si>
    <t xml:space="preserve">sheet row 37: THB 17,000,000 × 0.02542745 — the sheet deducts 2 % from the EUR-per-THB rate (out_per_in); quoting in_per_out instead would give 432,439</t>
  </si>
  <si>
    <t xml:space="preserve">Leg 1 at the partner: THB → USDT (what Ali delivers)</t>
  </si>
  <si>
    <t xml:space="preserve">Market THB per USDT</t>
  </si>
  <si>
    <t xml:space="preserve">sheet row 37 (1 ÷ 0.02975)</t>
  </si>
  <si>
    <t xml:space="preserve">Ali's rate THB per USDT</t>
  </si>
  <si>
    <t xml:space="preserve">sheet row 37 (agent fee 0.64 %)</t>
  </si>
  <si>
    <t xml:space="preserve">USDT delivered</t>
  </si>
  <si>
    <t xml:space="preserve">sheet says 502,513</t>
  </si>
  <si>
    <t xml:space="preserve">Partner cost %</t>
  </si>
  <si>
    <t xml:space="preserve">inferred from the rate comparison</t>
  </si>
  <si>
    <t xml:space="preserve">EUR value of the USDT at the EUR/USDT market</t>
  </si>
  <si>
    <t xml:space="preserve">NPL: EUR/USDT market rate on the day × USDT delivered — needed to show NPL's margin against the EUR 432,267 promised</t>
  </si>
  <si>
    <t xml:space="preserve">NPL margin in EUR (if filled)</t>
  </si>
  <si>
    <t xml:space="preserve">should be ≈ 2 % − 0.64 % of the collection; the sheet expects a minimum of 0.5 %</t>
  </si>
  <si>
    <t xml:space="preserve">The customer is promised EUR but pays THB and the partner delivers USDT: the EUR figure is an obligation, not a currency that ever moves. Confirm proposal E (invoice obligation + per-line discharge) is the intended model.</t>
  </si>
  <si>
    <t xml:space="preserve">Cash THB: which rounding unit applies to the collected amount (the balance clearance rounds THB 12,813,449 to 12,813,000)?</t>
  </si>
  <si>
    <t xml:space="preserve">Which vendor is paid from which collection, and at which day's EUR/USDT market rate — this is the per-line discharge record.</t>
  </si>
  <si>
    <t xml:space="preserve">P09 — Withdrawal (bank in, crypto out)</t>
  </si>
  <si>
    <t xml:space="preserve">20</t>
  </si>
  <si>
    <t xml:space="preserve">CURRENCY_PAIR GBP → USDT, COLLECTION_RECEIVING_ENDPOINT (kind bank, rail), RECEIVING_ENTITY_ACCOUNT (kind wallet, D14), SETTLEMENT_REGISTRATION with network + address (D16)</t>
  </si>
  <si>
    <t xml:space="preserve">BF-Withdrawal</t>
  </si>
  <si>
    <t xml:space="preserve">the client's own USDT wallet (counterparty receiver, wallet account)</t>
  </si>
  <si>
    <t xml:space="preserve">USDT · TRC-20 · wallet</t>
  </si>
  <si>
    <t xml:space="preserve">Jeton vehicle · bank · rail?</t>
  </si>
  <si>
    <t xml:space="preserve">GBP → USDT (also EUR → USDT)</t>
  </si>
  <si>
    <t xml:space="preserve">GBP</t>
  </si>
  <si>
    <t xml:space="preserve">USDT to the client's wallet</t>
  </si>
  <si>
    <t xml:space="preserve">sheet row 20: GBP 51,000 ÷ 0.72739556 × 0.99</t>
  </si>
  <si>
    <t xml:space="preserve">The sheet says the fee 'is not fixed … but we have charged 1 % in most recent transactions': fixed at 1 %, or variable with a floor?</t>
  </si>
  <si>
    <t xml:space="preserve">Jeton's bank-in endpoint for GBP and EUR (vehicle, rail — a bank endpoint cannot be activated without its rail, D18).</t>
  </si>
  <si>
    <t xml:space="preserve">The payout destination is a wallet: its registration with Jeton carries network + address (D16).</t>
  </si>
  <si>
    <t xml:space="preserve">P10 — Cash collection in an exotic currency</t>
  </si>
  <si>
    <t xml:space="preserve">45, 28</t>
  </si>
  <si>
    <t xml:space="preserve">DEAL.collection_method = cash, CURRENCY_PAIR.cash_rounding_unit, PARTNER_PAIR (disclosed_rate), FEE_STRUCTURE (basis partner)</t>
  </si>
  <si>
    <t xml:space="preserve">INR → USD (also SGD, USDT)</t>
  </si>
  <si>
    <t xml:space="preserve">cash_rounding_unit · 1000?</t>
  </si>
  <si>
    <t xml:space="preserve">sheet row 45: INR 8,500,000 ÷ 79.529 — the sheet's arithmetic carries no NPL fee, so the simulation runs with s = 0; if the 0.5 % is NPL's fee on top, set s = 0.5 % and the USD falls by ≈ 534</t>
  </si>
  <si>
    <t xml:space="preserve">The sheet lists total fee 0.5 %, partner cost 5.5–7.5 % and NPL margin 0 %: is the 0.5 % NPL's fee on top of the agent rate, or the agent's? The simulation needs the true market rate (yellow) to show the partner's cost.</t>
  </si>
  <si>
    <t xml:space="preserve">Cash rounding unit for INR and for AED/USD cash in Dubai (row 28, dormant).</t>
  </si>
  <si>
    <t xml:space="preserve">P11 — Zero-fee internal collection</t>
  </si>
  <si>
    <t xml:space="preserve">47, 46</t>
  </si>
  <si>
    <t xml:space="preserve">FEE_STRUCTURE with pct 0 and min_margin_pct 0 (or a FEE_OVERRIDE at 0 %), PARTNER_PAIR (disclosed_rate)</t>
  </si>
  <si>
    <t xml:space="preserve">AK (internal stakeholder)</t>
  </si>
  <si>
    <t xml:space="preserve">USDT → USD (also SGD)</t>
  </si>
  <si>
    <t xml:space="preserve">sheet row 47: USDT 10,000 × 0.996</t>
  </si>
  <si>
    <t xml:space="preserve">A 0 % structure with a 0 % minimum margin means every quote passes the margin check; confirm that is intended for internal stakeholder flows rather than a per-deal Finance approval.</t>
  </si>
  <si>
    <t xml:space="preserve">INR variant (row 46): INR 8,735,000 ÷ 100.80 — which pair and partner rate version?</t>
  </si>
  <si>
    <t xml:space="preserve">P12 — Same-currency bank pass-through</t>
  </si>
  <si>
    <t xml:space="preserve">27</t>
  </si>
  <si>
    <t xml:space="preserve">CURRENCY_PAIR with from = to (rate 1), FEE_STRUCTURE 1.4 % + 1.4 %, bank-in endpoint, SETTLEMENT_RAIL; dormant product</t>
  </si>
  <si>
    <t xml:space="preserve">Evolution (receiver side pays 1.4 %)</t>
  </si>
  <si>
    <t xml:space="preserve">EUR → EUR (also USD → EUR, GBP → EUR)</t>
  </si>
  <si>
    <t xml:space="preserve">EUR delivered after both shares (no sheet example)</t>
  </si>
  <si>
    <t xml:space="preserve">100,000 × 0.986 × 0.986 — illustrative; the sheet has no worked example and the pair has not run for years</t>
  </si>
  <si>
    <t xml:space="preserve">Confirm whether same-currency pass-through should remain in scope; if yes, the pair validation must allow from = to.</t>
  </si>
  <si>
    <t xml:space="preserve">Partner cost and rail for EUR bank-in at Ali (no recent data in the sheet).</t>
  </si>
</sst>
</file>

<file path=xl/styles.xml><?xml version="1.0" encoding="utf-8"?>
<styleSheet xmlns="http://schemas.openxmlformats.org/spreadsheetml/2006/main">
  <numFmts count="4">
    <numFmt numFmtId="164" formatCode="General"/>
    <numFmt numFmtId="165" formatCode="0.00%"/>
    <numFmt numFmtId="166" formatCode="#,##0.00"/>
    <numFmt numFmtId="167" formatCode="0.000000"/>
  </numFmts>
  <fonts count="10">
    <font>
      <sz val="11"/>
      <color theme="1"/>
      <name val="Calibri"/>
      <family val="2"/>
      <charset val="1"/>
    </font>
    <font>
      <sz val="10"/>
      <name val="Arial"/>
      <family val="0"/>
    </font>
    <font>
      <sz val="10"/>
      <name val="Arial"/>
      <family val="0"/>
    </font>
    <font>
      <sz val="10"/>
      <name val="Arial"/>
      <family val="0"/>
    </font>
    <font>
      <b val="true"/>
      <sz val="13"/>
      <color rgb="FF2F5D9E"/>
      <name val="Arial"/>
      <family val="0"/>
      <charset val="1"/>
    </font>
    <font>
      <b val="true"/>
      <sz val="10"/>
      <name val="Arial"/>
      <family val="0"/>
      <charset val="1"/>
    </font>
    <font>
      <sz val="10"/>
      <name val="Arial"/>
      <family val="0"/>
      <charset val="1"/>
    </font>
    <font>
      <sz val="10"/>
      <color rgb="FF0000FF"/>
      <name val="Arial"/>
      <family val="0"/>
      <charset val="1"/>
    </font>
    <font>
      <b val="true"/>
      <sz val="11"/>
      <color rgb="FF2F5D9E"/>
      <name val="Arial"/>
      <family val="0"/>
      <charset val="1"/>
    </font>
    <font>
      <i val="true"/>
      <sz val="9"/>
      <color rgb="FF555555"/>
      <name val="Arial"/>
      <family val="0"/>
      <charset val="1"/>
    </font>
  </fonts>
  <fills count="5">
    <fill>
      <patternFill patternType="none"/>
    </fill>
    <fill>
      <patternFill patternType="gray125"/>
    </fill>
    <fill>
      <patternFill patternType="solid">
        <fgColor rgb="FFFFFF00"/>
        <bgColor rgb="FFFFFF00"/>
      </patternFill>
    </fill>
    <fill>
      <patternFill patternType="solid">
        <fgColor rgb="FFE8EEF7"/>
        <bgColor rgb="FFF3F6FB"/>
      </patternFill>
    </fill>
    <fill>
      <patternFill patternType="solid">
        <fgColor rgb="FFF3F6FB"/>
        <bgColor rgb="FFE8EEF7"/>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7" fontId="6" fillId="2"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5" fontId="6" fillId="2"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6" fillId="2" borderId="1" xfId="0" applyFont="true" applyBorder="true" applyAlignment="false" applyProtection="false">
      <alignment horizontal="general" vertical="bottom" textRotation="0" wrapText="false" indent="0" shrinkToFit="false"/>
      <protection locked="true" hidden="false"/>
    </xf>
    <xf numFmtId="165" fontId="6" fillId="4"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3F6FB"/>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E8EEF7"/>
      <rgbColor rgb="FF660066"/>
      <rgbColor rgb="FFFF8080"/>
      <rgbColor rgb="FF2F5D9E"/>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2" min="2" style="0" width="110"/>
  </cols>
  <sheetData>
    <row r="1" customFormat="false" ht="16.15" hidden="false" customHeight="false" outlineLevel="0" collapsed="false">
      <c r="A1" s="1" t="s">
        <v>0</v>
      </c>
    </row>
    <row r="3" customFormat="false" ht="61.5" hidden="false" customHeight="true" outlineLevel="0" collapsed="false">
      <c r="A3" s="2" t="s">
        <v>1</v>
      </c>
      <c r="B3" s="3" t="s">
        <v>2</v>
      </c>
    </row>
    <row r="4" customFormat="false" ht="61.5" hidden="false" customHeight="true" outlineLevel="0" collapsed="false">
      <c r="A4" s="2" t="s">
        <v>3</v>
      </c>
      <c r="B4" s="3" t="s">
        <v>4</v>
      </c>
    </row>
    <row r="5" customFormat="false" ht="61.5" hidden="false" customHeight="true" outlineLevel="0" collapsed="false">
      <c r="A5" s="2" t="s">
        <v>5</v>
      </c>
      <c r="B5" s="3" t="s">
        <v>6</v>
      </c>
    </row>
    <row r="6" customFormat="false" ht="61.5" hidden="false" customHeight="true" outlineLevel="0" collapsed="false">
      <c r="A6" s="2" t="s">
        <v>7</v>
      </c>
      <c r="B6" s="3" t="s">
        <v>8</v>
      </c>
    </row>
    <row r="7" customFormat="false" ht="61.5" hidden="false" customHeight="true" outlineLevel="0" collapsed="false">
      <c r="A7" s="2" t="s">
        <v>9</v>
      </c>
      <c r="B7" s="3" t="s">
        <v>10</v>
      </c>
    </row>
    <row r="8" customFormat="false" ht="61.5" hidden="false" customHeight="true" outlineLevel="0" collapsed="false">
      <c r="A8" s="2" t="s">
        <v>11</v>
      </c>
      <c r="B8" s="3" t="s">
        <v>12</v>
      </c>
    </row>
    <row r="10" customFormat="false" ht="15" hidden="false" customHeight="false" outlineLevel="0" collapsed="false">
      <c r="A10" s="4" t="s">
        <v>13</v>
      </c>
      <c r="B10" s="4" t="s">
        <v>14</v>
      </c>
    </row>
    <row r="11" customFormat="false" ht="15" hidden="false" customHeight="false" outlineLevel="0" collapsed="false">
      <c r="A11" s="5" t="s">
        <v>15</v>
      </c>
      <c r="B11" s="6" t="s">
        <v>16</v>
      </c>
    </row>
    <row r="12" customFormat="false" ht="15" hidden="false" customHeight="false" outlineLevel="0" collapsed="false">
      <c r="A12" s="7" t="s">
        <v>17</v>
      </c>
      <c r="B12" s="6" t="s">
        <v>18</v>
      </c>
    </row>
    <row r="13" customFormat="false" ht="15" hidden="false" customHeight="false" outlineLevel="0" collapsed="false">
      <c r="A13" s="6" t="s">
        <v>19</v>
      </c>
      <c r="B13" s="6" t="s">
        <v>20</v>
      </c>
    </row>
    <row r="15" customFormat="false" ht="15" hidden="false" customHeight="false" outlineLevel="0" collapsed="false">
      <c r="A15" s="4" t="s">
        <v>21</v>
      </c>
      <c r="B15" s="4" t="s">
        <v>22</v>
      </c>
    </row>
    <row r="16" customFormat="false" ht="15" hidden="false" customHeight="false" outlineLevel="0" collapsed="false">
      <c r="A16" s="6" t="s">
        <v>23</v>
      </c>
      <c r="B16" s="6" t="s">
        <v>24</v>
      </c>
    </row>
    <row r="17" customFormat="false" ht="15" hidden="false" customHeight="false" outlineLevel="0" collapsed="false">
      <c r="A17" s="6" t="s">
        <v>25</v>
      </c>
      <c r="B17" s="6" t="s">
        <v>26</v>
      </c>
    </row>
    <row r="18" customFormat="false" ht="15" hidden="false" customHeight="false" outlineLevel="0" collapsed="false">
      <c r="A18" s="6" t="s">
        <v>27</v>
      </c>
      <c r="B18" s="6" t="s">
        <v>28</v>
      </c>
    </row>
    <row r="19" customFormat="false" ht="15" hidden="false" customHeight="false" outlineLevel="0" collapsed="false">
      <c r="A19" s="6" t="s">
        <v>29</v>
      </c>
      <c r="B19" s="6" t="s">
        <v>30</v>
      </c>
    </row>
    <row r="20" customFormat="false" ht="15" hidden="false" customHeight="false" outlineLevel="0" collapsed="false">
      <c r="A20" s="6" t="s">
        <v>31</v>
      </c>
      <c r="B20" s="6" t="s">
        <v>32</v>
      </c>
    </row>
    <row r="21" customFormat="false" ht="15" hidden="false" customHeight="false" outlineLevel="0" collapsed="false">
      <c r="A21" s="6" t="s">
        <v>33</v>
      </c>
      <c r="B21" s="6" t="s">
        <v>34</v>
      </c>
    </row>
    <row r="22" customFormat="false" ht="15" hidden="false" customHeight="false" outlineLevel="0" collapsed="false">
      <c r="A22" s="6" t="s">
        <v>35</v>
      </c>
      <c r="B22" s="6" t="s">
        <v>36</v>
      </c>
    </row>
    <row r="23" customFormat="false" ht="15" hidden="false" customHeight="false" outlineLevel="0" collapsed="false">
      <c r="A23" s="6" t="s">
        <v>37</v>
      </c>
      <c r="B23" s="6" t="s">
        <v>38</v>
      </c>
    </row>
    <row r="24" customFormat="false" ht="15" hidden="false" customHeight="false" outlineLevel="0" collapsed="false">
      <c r="A24" s="6" t="s">
        <v>39</v>
      </c>
      <c r="B24" s="6" t="s">
        <v>40</v>
      </c>
    </row>
    <row r="25" customFormat="false" ht="15" hidden="false" customHeight="false" outlineLevel="0" collapsed="false">
      <c r="A25" s="6" t="s">
        <v>41</v>
      </c>
      <c r="B25" s="6" t="s">
        <v>42</v>
      </c>
    </row>
    <row r="26" customFormat="false" ht="15" hidden="false" customHeight="false" outlineLevel="0" collapsed="false">
      <c r="A26" s="6" t="s">
        <v>43</v>
      </c>
      <c r="B26" s="6" t="s">
        <v>44</v>
      </c>
    </row>
    <row r="27" customFormat="false" ht="15" hidden="false" customHeight="false" outlineLevel="0" collapsed="false">
      <c r="A27" s="6" t="s">
        <v>45</v>
      </c>
      <c r="B27" s="6" t="s">
        <v>46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7"/>
    <col collapsed="false" customWidth="true" hidden="false" outlineLevel="0" max="3" min="3" style="0" width="30"/>
    <col collapsed="false" customWidth="true" hidden="false" outlineLevel="0" max="4" min="4" style="0" width="8"/>
    <col collapsed="false" customWidth="true" hidden="false" outlineLevel="0" max="5" min="5" style="0" width="44"/>
    <col collapsed="false" customWidth="true" hidden="false" outlineLevel="0" max="6" min="6" style="0" width="18"/>
    <col collapsed="false" customWidth="true" hidden="false" outlineLevel="0" max="7" min="7" style="0" width="22"/>
    <col collapsed="false" customWidth="true" hidden="false" outlineLevel="0" max="8" min="8" style="0" width="24"/>
    <col collapsed="false" customWidth="true" hidden="false" outlineLevel="0" max="9" min="9" style="0" width="16"/>
    <col collapsed="false" customWidth="true" hidden="false" outlineLevel="0" max="10" min="10" style="0" width="28"/>
    <col collapsed="false" customWidth="true" hidden="false" outlineLevel="0" max="11" min="11" style="0" width="16"/>
    <col collapsed="false" customWidth="true" hidden="false" outlineLevel="0" max="13" min="12" style="0" width="18"/>
    <col collapsed="false" customWidth="true" hidden="false" outlineLevel="0" max="14" min="14" style="0" width="14"/>
    <col collapsed="false" customWidth="true" hidden="false" outlineLevel="0" max="15" min="15" style="0" width="12"/>
    <col collapsed="false" customWidth="true" hidden="false" outlineLevel="0" max="16" min="16" style="0" width="10"/>
    <col collapsed="false" customWidth="true" hidden="false" outlineLevel="0" max="19" min="17" style="0" width="11"/>
    <col collapsed="false" customWidth="true" hidden="false" outlineLevel="0" max="21" min="20" style="0" width="9"/>
    <col collapsed="false" customWidth="true" hidden="false" outlineLevel="0" max="22" min="22" style="0" width="10"/>
    <col collapsed="false" customWidth="true" hidden="false" outlineLevel="0" max="25" min="23" style="0" width="12"/>
    <col collapsed="false" customWidth="true" hidden="false" outlineLevel="0" max="26" min="26" style="0" width="18"/>
    <col collapsed="false" customWidth="true" hidden="false" outlineLevel="0" max="27" min="27" style="0" width="14"/>
    <col collapsed="false" customWidth="true" hidden="false" outlineLevel="0" max="28" min="28" style="0" width="22"/>
    <col collapsed="false" customWidth="true" hidden="false" outlineLevel="0" max="29" min="29" style="0" width="18"/>
    <col collapsed="false" customWidth="true" hidden="false" outlineLevel="0" max="31" min="30" style="0" width="16"/>
    <col collapsed="false" customWidth="true" hidden="false" outlineLevel="0" max="32" min="32" style="0" width="14"/>
    <col collapsed="false" customWidth="true" hidden="false" outlineLevel="0" max="33" min="33" style="0" width="16"/>
    <col collapsed="false" customWidth="true" hidden="false" outlineLevel="0" max="35" min="34" style="0" width="40"/>
  </cols>
  <sheetData>
    <row r="1" customFormat="false" ht="78" hidden="false" customHeight="true" outlineLevel="0" collapsed="false">
      <c r="A1" s="8" t="s">
        <v>47</v>
      </c>
      <c r="B1" s="8" t="s">
        <v>48</v>
      </c>
      <c r="C1" s="8" t="s">
        <v>49</v>
      </c>
      <c r="D1" s="8" t="s">
        <v>21</v>
      </c>
      <c r="E1" s="8" t="s">
        <v>50</v>
      </c>
      <c r="F1" s="8" t="s">
        <v>51</v>
      </c>
      <c r="G1" s="8" t="s">
        <v>52</v>
      </c>
      <c r="H1" s="8" t="s">
        <v>53</v>
      </c>
      <c r="I1" s="8" t="s">
        <v>54</v>
      </c>
      <c r="J1" s="8" t="s">
        <v>55</v>
      </c>
      <c r="K1" s="8" t="s">
        <v>56</v>
      </c>
      <c r="L1" s="8" t="s">
        <v>57</v>
      </c>
      <c r="M1" s="8" t="s">
        <v>58</v>
      </c>
      <c r="N1" s="8" t="s">
        <v>59</v>
      </c>
      <c r="O1" s="8" t="s">
        <v>60</v>
      </c>
      <c r="P1" s="8" t="s">
        <v>61</v>
      </c>
      <c r="Q1" s="8" t="s">
        <v>62</v>
      </c>
      <c r="R1" s="8" t="s">
        <v>63</v>
      </c>
      <c r="S1" s="8" t="s">
        <v>64</v>
      </c>
      <c r="T1" s="8" t="s">
        <v>65</v>
      </c>
      <c r="U1" s="8" t="s">
        <v>66</v>
      </c>
      <c r="V1" s="8" t="s">
        <v>67</v>
      </c>
      <c r="W1" s="8" t="s">
        <v>68</v>
      </c>
      <c r="X1" s="8" t="s">
        <v>69</v>
      </c>
      <c r="Y1" s="8" t="s">
        <v>70</v>
      </c>
      <c r="Z1" s="8" t="s">
        <v>71</v>
      </c>
      <c r="AA1" s="8" t="s">
        <v>72</v>
      </c>
      <c r="AB1" s="8" t="s">
        <v>73</v>
      </c>
      <c r="AC1" s="8" t="s">
        <v>74</v>
      </c>
      <c r="AD1" s="8" t="s">
        <v>75</v>
      </c>
      <c r="AE1" s="8" t="s">
        <v>76</v>
      </c>
      <c r="AF1" s="8" t="s">
        <v>77</v>
      </c>
      <c r="AG1" s="8" t="s">
        <v>78</v>
      </c>
      <c r="AH1" s="8" t="s">
        <v>79</v>
      </c>
      <c r="AI1" s="8" t="s">
        <v>80</v>
      </c>
    </row>
    <row r="2" customFormat="false" ht="60" hidden="false" customHeight="true" outlineLevel="0" collapsed="false">
      <c r="A2" s="3" t="n">
        <v>1</v>
      </c>
      <c r="B2" s="3" t="n">
        <v>3</v>
      </c>
      <c r="C2" s="9" t="s">
        <v>81</v>
      </c>
      <c r="D2" s="3" t="s">
        <v>23</v>
      </c>
      <c r="E2" s="9" t="s">
        <v>82</v>
      </c>
      <c r="F2" s="10"/>
      <c r="G2" s="10"/>
      <c r="H2" s="10"/>
      <c r="I2" s="10"/>
      <c r="J2" s="10"/>
      <c r="K2" s="9" t="s">
        <v>83</v>
      </c>
      <c r="L2" s="9" t="s">
        <v>84</v>
      </c>
      <c r="M2" s="9" t="s">
        <v>85</v>
      </c>
      <c r="N2" s="10"/>
      <c r="O2" s="10"/>
      <c r="P2" s="9" t="s">
        <v>86</v>
      </c>
      <c r="Q2" s="11" t="n">
        <v>0.01</v>
      </c>
      <c r="R2" s="11" t="n">
        <v>0.01</v>
      </c>
      <c r="S2" s="11" t="n">
        <v>0</v>
      </c>
      <c r="T2" s="10"/>
      <c r="U2" s="10"/>
      <c r="V2" s="10"/>
      <c r="W2" s="10"/>
      <c r="X2" s="11" t="n">
        <v>0.006</v>
      </c>
      <c r="Y2" s="11" t="n">
        <v>0.004</v>
      </c>
      <c r="Z2" s="3" t="s">
        <v>87</v>
      </c>
      <c r="AA2" s="10"/>
      <c r="AB2" s="10"/>
      <c r="AC2" s="10"/>
      <c r="AD2" s="10"/>
      <c r="AE2" s="10"/>
      <c r="AF2" s="10"/>
      <c r="AG2" s="10"/>
      <c r="AH2" s="9" t="s">
        <v>88</v>
      </c>
      <c r="AI2" s="3" t="s">
        <v>89</v>
      </c>
    </row>
    <row r="3" customFormat="false" ht="60" hidden="false" customHeight="true" outlineLevel="0" collapsed="false">
      <c r="A3" s="3" t="n">
        <v>2</v>
      </c>
      <c r="B3" s="3" t="n">
        <v>4</v>
      </c>
      <c r="C3" s="9" t="s">
        <v>81</v>
      </c>
      <c r="D3" s="3" t="s">
        <v>23</v>
      </c>
      <c r="E3" s="9" t="s">
        <v>90</v>
      </c>
      <c r="F3" s="10"/>
      <c r="G3" s="10"/>
      <c r="H3" s="10"/>
      <c r="I3" s="10"/>
      <c r="J3" s="10"/>
      <c r="K3" s="9" t="s">
        <v>91</v>
      </c>
      <c r="L3" s="9" t="s">
        <v>84</v>
      </c>
      <c r="M3" s="9" t="s">
        <v>85</v>
      </c>
      <c r="N3" s="10"/>
      <c r="O3" s="10"/>
      <c r="P3" s="9" t="s">
        <v>86</v>
      </c>
      <c r="Q3" s="11" t="n">
        <v>0.008</v>
      </c>
      <c r="R3" s="11" t="n">
        <v>0.008</v>
      </c>
      <c r="S3" s="11" t="n">
        <v>0</v>
      </c>
      <c r="T3" s="10"/>
      <c r="U3" s="10"/>
      <c r="V3" s="10"/>
      <c r="W3" s="10"/>
      <c r="X3" s="11" t="n">
        <v>0.005</v>
      </c>
      <c r="Y3" s="11" t="n">
        <v>0.003</v>
      </c>
      <c r="Z3" s="3" t="s">
        <v>87</v>
      </c>
      <c r="AA3" s="10"/>
      <c r="AB3" s="10"/>
      <c r="AC3" s="10"/>
      <c r="AD3" s="10"/>
      <c r="AE3" s="10"/>
      <c r="AF3" s="10"/>
      <c r="AG3" s="10"/>
      <c r="AH3" s="9" t="s">
        <v>88</v>
      </c>
      <c r="AI3" s="3" t="s">
        <v>89</v>
      </c>
    </row>
    <row r="4" customFormat="false" ht="60" hidden="false" customHeight="true" outlineLevel="0" collapsed="false">
      <c r="A4" s="3" t="n">
        <v>3</v>
      </c>
      <c r="B4" s="3" t="n">
        <v>5</v>
      </c>
      <c r="C4" s="9" t="s">
        <v>81</v>
      </c>
      <c r="D4" s="3" t="s">
        <v>25</v>
      </c>
      <c r="E4" s="9" t="s">
        <v>92</v>
      </c>
      <c r="F4" s="10"/>
      <c r="G4" s="10"/>
      <c r="H4" s="10"/>
      <c r="I4" s="10"/>
      <c r="J4" s="10"/>
      <c r="K4" s="9" t="s">
        <v>93</v>
      </c>
      <c r="L4" s="9" t="s">
        <v>94</v>
      </c>
      <c r="M4" s="9" t="s">
        <v>85</v>
      </c>
      <c r="N4" s="10"/>
      <c r="O4" s="10"/>
      <c r="P4" s="9" t="s">
        <v>86</v>
      </c>
      <c r="Q4" s="11" t="n">
        <v>0.014</v>
      </c>
      <c r="R4" s="11" t="n">
        <v>0.014</v>
      </c>
      <c r="S4" s="11" t="n">
        <v>0</v>
      </c>
      <c r="T4" s="10"/>
      <c r="U4" s="10"/>
      <c r="V4" s="10"/>
      <c r="W4" s="10"/>
      <c r="X4" s="11" t="n">
        <v>0.01</v>
      </c>
      <c r="Y4" s="11" t="n">
        <v>0.004</v>
      </c>
      <c r="Z4" s="3" t="s">
        <v>95</v>
      </c>
      <c r="AA4" s="10"/>
      <c r="AB4" s="10"/>
      <c r="AC4" s="10"/>
      <c r="AD4" s="10"/>
      <c r="AE4" s="10"/>
      <c r="AF4" s="10"/>
      <c r="AG4" s="10"/>
      <c r="AH4" s="3"/>
      <c r="AI4" s="3" t="s">
        <v>96</v>
      </c>
    </row>
    <row r="5" customFormat="false" ht="60" hidden="false" customHeight="true" outlineLevel="0" collapsed="false">
      <c r="A5" s="3" t="n">
        <v>4</v>
      </c>
      <c r="B5" s="3" t="n">
        <v>6</v>
      </c>
      <c r="C5" s="9" t="s">
        <v>97</v>
      </c>
      <c r="D5" s="3" t="s">
        <v>23</v>
      </c>
      <c r="E5" s="9" t="s">
        <v>98</v>
      </c>
      <c r="F5" s="10"/>
      <c r="G5" s="10"/>
      <c r="H5" s="10"/>
      <c r="I5" s="10"/>
      <c r="J5" s="10"/>
      <c r="K5" s="9" t="s">
        <v>83</v>
      </c>
      <c r="L5" s="9" t="s">
        <v>84</v>
      </c>
      <c r="M5" s="9" t="s">
        <v>85</v>
      </c>
      <c r="N5" s="10"/>
      <c r="O5" s="10"/>
      <c r="P5" s="9" t="s">
        <v>86</v>
      </c>
      <c r="Q5" s="11" t="n">
        <v>0.01</v>
      </c>
      <c r="R5" s="11" t="n">
        <v>0.01</v>
      </c>
      <c r="S5" s="11" t="n">
        <v>0</v>
      </c>
      <c r="T5" s="10"/>
      <c r="U5" s="10"/>
      <c r="V5" s="10"/>
      <c r="W5" s="10"/>
      <c r="X5" s="11" t="n">
        <v>0.006</v>
      </c>
      <c r="Y5" s="11" t="n">
        <v>0.004</v>
      </c>
      <c r="Z5" s="3" t="s">
        <v>87</v>
      </c>
      <c r="AA5" s="10"/>
      <c r="AB5" s="10"/>
      <c r="AC5" s="10"/>
      <c r="AD5" s="10"/>
      <c r="AE5" s="10"/>
      <c r="AF5" s="10"/>
      <c r="AG5" s="10"/>
      <c r="AH5" s="9" t="s">
        <v>88</v>
      </c>
      <c r="AI5" s="3" t="s">
        <v>89</v>
      </c>
    </row>
    <row r="6" customFormat="false" ht="60" hidden="false" customHeight="true" outlineLevel="0" collapsed="false">
      <c r="A6" s="3" t="n">
        <v>5</v>
      </c>
      <c r="B6" s="3" t="n">
        <v>7</v>
      </c>
      <c r="C6" s="9" t="s">
        <v>97</v>
      </c>
      <c r="D6" s="3" t="s">
        <v>25</v>
      </c>
      <c r="E6" s="9" t="s">
        <v>99</v>
      </c>
      <c r="F6" s="10"/>
      <c r="G6" s="10"/>
      <c r="H6" s="10"/>
      <c r="I6" s="10"/>
      <c r="J6" s="10"/>
      <c r="K6" s="9" t="s">
        <v>93</v>
      </c>
      <c r="L6" s="9" t="s">
        <v>94</v>
      </c>
      <c r="M6" s="9" t="s">
        <v>85</v>
      </c>
      <c r="N6" s="10"/>
      <c r="O6" s="10"/>
      <c r="P6" s="9" t="s">
        <v>86</v>
      </c>
      <c r="Q6" s="11" t="n">
        <v>0.014</v>
      </c>
      <c r="R6" s="11" t="n">
        <v>0.014</v>
      </c>
      <c r="S6" s="11" t="n">
        <v>0</v>
      </c>
      <c r="T6" s="10"/>
      <c r="U6" s="10"/>
      <c r="V6" s="10"/>
      <c r="W6" s="10"/>
      <c r="X6" s="11" t="n">
        <v>0.01</v>
      </c>
      <c r="Y6" s="11" t="n">
        <v>0.004</v>
      </c>
      <c r="Z6" s="3" t="s">
        <v>95</v>
      </c>
      <c r="AA6" s="10"/>
      <c r="AB6" s="10"/>
      <c r="AC6" s="10"/>
      <c r="AD6" s="10"/>
      <c r="AE6" s="10"/>
      <c r="AF6" s="10"/>
      <c r="AG6" s="10"/>
      <c r="AH6" s="3"/>
      <c r="AI6" s="3" t="s">
        <v>96</v>
      </c>
    </row>
    <row r="7" customFormat="false" ht="60" hidden="false" customHeight="true" outlineLevel="0" collapsed="false">
      <c r="A7" s="3" t="n">
        <v>6</v>
      </c>
      <c r="B7" s="3" t="n">
        <v>8</v>
      </c>
      <c r="C7" s="9" t="s">
        <v>100</v>
      </c>
      <c r="D7" s="3" t="s">
        <v>29</v>
      </c>
      <c r="E7" s="10"/>
      <c r="F7" s="10"/>
      <c r="G7" s="10"/>
      <c r="H7" s="10"/>
      <c r="I7" s="10"/>
      <c r="J7" s="10"/>
      <c r="K7" s="9" t="s">
        <v>83</v>
      </c>
      <c r="L7" s="9" t="s">
        <v>84</v>
      </c>
      <c r="M7" s="9" t="s">
        <v>85</v>
      </c>
      <c r="N7" s="10"/>
      <c r="O7" s="10"/>
      <c r="P7" s="9" t="s">
        <v>86</v>
      </c>
      <c r="Q7" s="11" t="n">
        <v>0.01</v>
      </c>
      <c r="R7" s="11" t="n">
        <v>0.01</v>
      </c>
      <c r="S7" s="11" t="n">
        <v>0</v>
      </c>
      <c r="T7" s="10"/>
      <c r="U7" s="10"/>
      <c r="V7" s="10"/>
      <c r="W7" s="10"/>
      <c r="X7" s="11" t="n">
        <v>0.005</v>
      </c>
      <c r="Y7" s="11" t="n">
        <v>0.004</v>
      </c>
      <c r="Z7" s="3" t="s">
        <v>87</v>
      </c>
      <c r="AA7" s="10"/>
      <c r="AB7" s="10"/>
      <c r="AC7" s="10"/>
      <c r="AD7" s="10"/>
      <c r="AE7" s="10"/>
      <c r="AF7" s="10"/>
      <c r="AG7" s="10"/>
      <c r="AH7" s="9" t="s">
        <v>88</v>
      </c>
      <c r="AI7" s="3" t="s">
        <v>89</v>
      </c>
    </row>
    <row r="8" customFormat="false" ht="60" hidden="false" customHeight="true" outlineLevel="0" collapsed="false">
      <c r="A8" s="3" t="n">
        <v>7</v>
      </c>
      <c r="B8" s="3" t="n">
        <v>9</v>
      </c>
      <c r="C8" s="9" t="s">
        <v>101</v>
      </c>
      <c r="D8" s="3" t="s">
        <v>23</v>
      </c>
      <c r="E8" s="9" t="s">
        <v>102</v>
      </c>
      <c r="F8" s="10"/>
      <c r="G8" s="10"/>
      <c r="H8" s="10"/>
      <c r="I8" s="10"/>
      <c r="J8" s="10"/>
      <c r="K8" s="9" t="s">
        <v>83</v>
      </c>
      <c r="L8" s="9" t="s">
        <v>84</v>
      </c>
      <c r="M8" s="9" t="s">
        <v>85</v>
      </c>
      <c r="N8" s="10"/>
      <c r="O8" s="10"/>
      <c r="P8" s="9" t="s">
        <v>86</v>
      </c>
      <c r="Q8" s="11" t="n">
        <v>0.01</v>
      </c>
      <c r="R8" s="11" t="n">
        <v>0.01</v>
      </c>
      <c r="S8" s="11" t="n">
        <v>0</v>
      </c>
      <c r="T8" s="10"/>
      <c r="U8" s="10"/>
      <c r="V8" s="10"/>
      <c r="W8" s="10"/>
      <c r="X8" s="11" t="n">
        <v>0.006</v>
      </c>
      <c r="Y8" s="11" t="n">
        <v>0.004</v>
      </c>
      <c r="Z8" s="3" t="s">
        <v>87</v>
      </c>
      <c r="AA8" s="10"/>
      <c r="AB8" s="10"/>
      <c r="AC8" s="10"/>
      <c r="AD8" s="10"/>
      <c r="AE8" s="10"/>
      <c r="AF8" s="10"/>
      <c r="AG8" s="10"/>
      <c r="AH8" s="9" t="s">
        <v>88</v>
      </c>
      <c r="AI8" s="3" t="s">
        <v>89</v>
      </c>
    </row>
    <row r="9" customFormat="false" ht="60" hidden="false" customHeight="true" outlineLevel="0" collapsed="false">
      <c r="A9" s="3" t="n">
        <v>8</v>
      </c>
      <c r="B9" s="3" t="n">
        <v>10</v>
      </c>
      <c r="C9" s="9" t="s">
        <v>103</v>
      </c>
      <c r="D9" s="3" t="s">
        <v>23</v>
      </c>
      <c r="E9" s="9" t="s">
        <v>104</v>
      </c>
      <c r="F9" s="10"/>
      <c r="G9" s="10"/>
      <c r="H9" s="10"/>
      <c r="I9" s="10"/>
      <c r="J9" s="10"/>
      <c r="K9" s="9" t="s">
        <v>83</v>
      </c>
      <c r="L9" s="9" t="s">
        <v>84</v>
      </c>
      <c r="M9" s="9" t="s">
        <v>85</v>
      </c>
      <c r="N9" s="10"/>
      <c r="O9" s="10"/>
      <c r="P9" s="9" t="s">
        <v>86</v>
      </c>
      <c r="Q9" s="11" t="n">
        <v>0.01</v>
      </c>
      <c r="R9" s="11" t="n">
        <v>0.01</v>
      </c>
      <c r="S9" s="11" t="n">
        <v>0</v>
      </c>
      <c r="T9" s="10"/>
      <c r="U9" s="10"/>
      <c r="V9" s="10"/>
      <c r="W9" s="10"/>
      <c r="X9" s="11" t="n">
        <v>0.006</v>
      </c>
      <c r="Y9" s="11" t="n">
        <v>0.004</v>
      </c>
      <c r="Z9" s="3" t="s">
        <v>87</v>
      </c>
      <c r="AA9" s="10"/>
      <c r="AB9" s="10"/>
      <c r="AC9" s="10"/>
      <c r="AD9" s="10"/>
      <c r="AE9" s="10"/>
      <c r="AF9" s="10"/>
      <c r="AG9" s="10"/>
      <c r="AH9" s="9" t="s">
        <v>88</v>
      </c>
      <c r="AI9" s="3" t="s">
        <v>89</v>
      </c>
    </row>
    <row r="10" customFormat="false" ht="60" hidden="false" customHeight="true" outlineLevel="0" collapsed="false">
      <c r="A10" s="3" t="n">
        <v>9</v>
      </c>
      <c r="B10" s="3" t="n">
        <v>11</v>
      </c>
      <c r="C10" s="9" t="s">
        <v>103</v>
      </c>
      <c r="D10" s="3" t="s">
        <v>23</v>
      </c>
      <c r="E10" s="9" t="s">
        <v>105</v>
      </c>
      <c r="F10" s="10"/>
      <c r="G10" s="10"/>
      <c r="H10" s="10"/>
      <c r="I10" s="10"/>
      <c r="J10" s="10"/>
      <c r="K10" s="9" t="s">
        <v>91</v>
      </c>
      <c r="L10" s="9" t="s">
        <v>84</v>
      </c>
      <c r="M10" s="9" t="s">
        <v>85</v>
      </c>
      <c r="N10" s="10"/>
      <c r="O10" s="10"/>
      <c r="P10" s="9" t="s">
        <v>86</v>
      </c>
      <c r="Q10" s="11" t="n">
        <v>0.008</v>
      </c>
      <c r="R10" s="11" t="n">
        <v>0.008</v>
      </c>
      <c r="S10" s="11" t="n">
        <v>0</v>
      </c>
      <c r="T10" s="10"/>
      <c r="U10" s="10"/>
      <c r="V10" s="10"/>
      <c r="W10" s="10"/>
      <c r="X10" s="11" t="n">
        <v>0.005</v>
      </c>
      <c r="Y10" s="11" t="n">
        <v>0.003</v>
      </c>
      <c r="Z10" s="3" t="s">
        <v>87</v>
      </c>
      <c r="AA10" s="10"/>
      <c r="AB10" s="10"/>
      <c r="AC10" s="10"/>
      <c r="AD10" s="10"/>
      <c r="AE10" s="10"/>
      <c r="AF10" s="10"/>
      <c r="AG10" s="10"/>
      <c r="AH10" s="9" t="s">
        <v>88</v>
      </c>
      <c r="AI10" s="3" t="s">
        <v>89</v>
      </c>
    </row>
    <row r="11" customFormat="false" ht="60" hidden="false" customHeight="true" outlineLevel="0" collapsed="false">
      <c r="A11" s="3" t="n">
        <v>10</v>
      </c>
      <c r="B11" s="3" t="n">
        <v>12</v>
      </c>
      <c r="C11" s="9" t="s">
        <v>103</v>
      </c>
      <c r="D11" s="3" t="s">
        <v>25</v>
      </c>
      <c r="E11" s="9" t="s">
        <v>106</v>
      </c>
      <c r="F11" s="10"/>
      <c r="G11" s="10"/>
      <c r="H11" s="10"/>
      <c r="I11" s="10"/>
      <c r="J11" s="10"/>
      <c r="K11" s="9" t="s">
        <v>93</v>
      </c>
      <c r="L11" s="9" t="s">
        <v>94</v>
      </c>
      <c r="M11" s="9" t="s">
        <v>85</v>
      </c>
      <c r="N11" s="10"/>
      <c r="O11" s="10"/>
      <c r="P11" s="9" t="s">
        <v>86</v>
      </c>
      <c r="Q11" s="11" t="n">
        <v>0.014</v>
      </c>
      <c r="R11" s="11" t="n">
        <v>0.014</v>
      </c>
      <c r="S11" s="11" t="n">
        <v>0</v>
      </c>
      <c r="T11" s="10"/>
      <c r="U11" s="10"/>
      <c r="V11" s="10"/>
      <c r="W11" s="10"/>
      <c r="X11" s="11" t="n">
        <v>0.01</v>
      </c>
      <c r="Y11" s="11" t="n">
        <v>0.004</v>
      </c>
      <c r="Z11" s="3" t="s">
        <v>95</v>
      </c>
      <c r="AA11" s="10"/>
      <c r="AB11" s="10"/>
      <c r="AC11" s="10"/>
      <c r="AD11" s="10"/>
      <c r="AE11" s="10"/>
      <c r="AF11" s="10"/>
      <c r="AG11" s="10"/>
      <c r="AH11" s="3"/>
      <c r="AI11" s="3" t="s">
        <v>96</v>
      </c>
    </row>
    <row r="12" customFormat="false" ht="60" hidden="false" customHeight="true" outlineLevel="0" collapsed="false">
      <c r="A12" s="3" t="n">
        <v>11</v>
      </c>
      <c r="B12" s="3" t="n">
        <v>13</v>
      </c>
      <c r="C12" s="9" t="s">
        <v>107</v>
      </c>
      <c r="D12" s="3" t="s">
        <v>23</v>
      </c>
      <c r="E12" s="9" t="s">
        <v>108</v>
      </c>
      <c r="F12" s="10"/>
      <c r="G12" s="10"/>
      <c r="H12" s="10"/>
      <c r="I12" s="10"/>
      <c r="J12" s="10"/>
      <c r="K12" s="9" t="s">
        <v>83</v>
      </c>
      <c r="L12" s="9" t="s">
        <v>84</v>
      </c>
      <c r="M12" s="9" t="s">
        <v>85</v>
      </c>
      <c r="N12" s="10"/>
      <c r="O12" s="10"/>
      <c r="P12" s="9" t="s">
        <v>86</v>
      </c>
      <c r="Q12" s="11" t="n">
        <v>0.01</v>
      </c>
      <c r="R12" s="11" t="n">
        <v>0.01</v>
      </c>
      <c r="S12" s="11" t="n">
        <v>0</v>
      </c>
      <c r="T12" s="10"/>
      <c r="U12" s="10"/>
      <c r="V12" s="10"/>
      <c r="W12" s="10"/>
      <c r="X12" s="11" t="n">
        <v>0.006</v>
      </c>
      <c r="Y12" s="11" t="n">
        <v>0.004</v>
      </c>
      <c r="Z12" s="3" t="s">
        <v>87</v>
      </c>
      <c r="AA12" s="10"/>
      <c r="AB12" s="10"/>
      <c r="AC12" s="10"/>
      <c r="AD12" s="10"/>
      <c r="AE12" s="10"/>
      <c r="AF12" s="10"/>
      <c r="AG12" s="10"/>
      <c r="AH12" s="9" t="s">
        <v>88</v>
      </c>
      <c r="AI12" s="3" t="s">
        <v>89</v>
      </c>
    </row>
    <row r="13" customFormat="false" ht="60" hidden="false" customHeight="true" outlineLevel="0" collapsed="false">
      <c r="A13" s="3" t="n">
        <v>12</v>
      </c>
      <c r="B13" s="3" t="n">
        <v>14</v>
      </c>
      <c r="C13" s="9" t="s">
        <v>109</v>
      </c>
      <c r="D13" s="3" t="s">
        <v>33</v>
      </c>
      <c r="E13" s="9" t="s">
        <v>110</v>
      </c>
      <c r="F13" s="10"/>
      <c r="G13" s="10"/>
      <c r="H13" s="10"/>
      <c r="I13" s="10"/>
      <c r="J13" s="10"/>
      <c r="K13" s="9" t="s">
        <v>91</v>
      </c>
      <c r="L13" s="9" t="s">
        <v>84</v>
      </c>
      <c r="M13" s="9" t="s">
        <v>85</v>
      </c>
      <c r="N13" s="10"/>
      <c r="O13" s="10"/>
      <c r="P13" s="9" t="s">
        <v>86</v>
      </c>
      <c r="Q13" s="11" t="n">
        <v>0.01</v>
      </c>
      <c r="R13" s="11" t="n">
        <v>0.01</v>
      </c>
      <c r="S13" s="11" t="n">
        <v>0</v>
      </c>
      <c r="T13" s="10"/>
      <c r="U13" s="10"/>
      <c r="V13" s="10"/>
      <c r="W13" s="10"/>
      <c r="X13" s="11" t="n">
        <v>0.005</v>
      </c>
      <c r="Y13" s="11" t="n">
        <v>0.003</v>
      </c>
      <c r="Z13" s="3" t="s">
        <v>87</v>
      </c>
      <c r="AA13" s="10"/>
      <c r="AB13" s="9" t="s">
        <v>111</v>
      </c>
      <c r="AC13" s="10"/>
      <c r="AD13" s="10"/>
      <c r="AE13" s="10"/>
      <c r="AF13" s="10"/>
      <c r="AG13" s="10"/>
      <c r="AH13" s="9" t="s">
        <v>88</v>
      </c>
      <c r="AI13" s="3" t="s">
        <v>89</v>
      </c>
    </row>
    <row r="14" customFormat="false" ht="60" hidden="false" customHeight="true" outlineLevel="0" collapsed="false">
      <c r="A14" s="3" t="n">
        <v>13</v>
      </c>
      <c r="B14" s="3" t="n">
        <v>15</v>
      </c>
      <c r="C14" s="9" t="s">
        <v>107</v>
      </c>
      <c r="D14" s="3" t="s">
        <v>25</v>
      </c>
      <c r="E14" s="9" t="s">
        <v>112</v>
      </c>
      <c r="F14" s="10"/>
      <c r="G14" s="10"/>
      <c r="H14" s="10"/>
      <c r="I14" s="10"/>
      <c r="J14" s="10"/>
      <c r="K14" s="9" t="s">
        <v>93</v>
      </c>
      <c r="L14" s="9" t="s">
        <v>94</v>
      </c>
      <c r="M14" s="9" t="s">
        <v>85</v>
      </c>
      <c r="N14" s="10"/>
      <c r="O14" s="10"/>
      <c r="P14" s="9" t="s">
        <v>86</v>
      </c>
      <c r="Q14" s="11" t="n">
        <v>0.014</v>
      </c>
      <c r="R14" s="11" t="n">
        <v>0.014</v>
      </c>
      <c r="S14" s="11" t="n">
        <v>0</v>
      </c>
      <c r="T14" s="10"/>
      <c r="U14" s="10"/>
      <c r="V14" s="10"/>
      <c r="W14" s="10"/>
      <c r="X14" s="11" t="n">
        <v>0.01</v>
      </c>
      <c r="Y14" s="11" t="n">
        <v>0.004</v>
      </c>
      <c r="Z14" s="3" t="s">
        <v>95</v>
      </c>
      <c r="AA14" s="10"/>
      <c r="AB14" s="10"/>
      <c r="AC14" s="10"/>
      <c r="AD14" s="10"/>
      <c r="AE14" s="10"/>
      <c r="AF14" s="10"/>
      <c r="AG14" s="10"/>
      <c r="AH14" s="3"/>
      <c r="AI14" s="3" t="s">
        <v>96</v>
      </c>
    </row>
    <row r="15" customFormat="false" ht="60" hidden="false" customHeight="true" outlineLevel="0" collapsed="false">
      <c r="A15" s="3" t="n">
        <v>14</v>
      </c>
      <c r="B15" s="3" t="n">
        <v>16</v>
      </c>
      <c r="C15" s="9" t="s">
        <v>113</v>
      </c>
      <c r="D15" s="3" t="s">
        <v>33</v>
      </c>
      <c r="E15" s="9" t="s">
        <v>114</v>
      </c>
      <c r="F15" s="10"/>
      <c r="G15" s="10"/>
      <c r="H15" s="10"/>
      <c r="I15" s="10"/>
      <c r="J15" s="10"/>
      <c r="K15" s="9" t="s">
        <v>91</v>
      </c>
      <c r="L15" s="9" t="s">
        <v>84</v>
      </c>
      <c r="M15" s="9" t="s">
        <v>85</v>
      </c>
      <c r="N15" s="10"/>
      <c r="O15" s="10"/>
      <c r="P15" s="9" t="s">
        <v>86</v>
      </c>
      <c r="Q15" s="11" t="n">
        <v>0.04</v>
      </c>
      <c r="R15" s="11" t="n">
        <v>0.04</v>
      </c>
      <c r="S15" s="11" t="n">
        <v>0</v>
      </c>
      <c r="T15" s="10"/>
      <c r="U15" s="10"/>
      <c r="V15" s="10"/>
      <c r="W15" s="10"/>
      <c r="X15" s="11" t="n">
        <v>0.005</v>
      </c>
      <c r="Y15" s="11" t="n">
        <v>0.02</v>
      </c>
      <c r="Z15" s="3" t="s">
        <v>115</v>
      </c>
      <c r="AA15" s="10"/>
      <c r="AB15" s="9" t="s">
        <v>116</v>
      </c>
      <c r="AC15" s="10"/>
      <c r="AD15" s="10"/>
      <c r="AE15" s="10"/>
      <c r="AF15" s="10"/>
      <c r="AG15" s="10"/>
      <c r="AH15" s="3"/>
      <c r="AI15" s="3" t="s">
        <v>89</v>
      </c>
    </row>
    <row r="16" customFormat="false" ht="60" hidden="false" customHeight="true" outlineLevel="0" collapsed="false">
      <c r="A16" s="3" t="n">
        <v>15</v>
      </c>
      <c r="B16" s="3" t="n">
        <v>17</v>
      </c>
      <c r="C16" s="9" t="s">
        <v>117</v>
      </c>
      <c r="D16" s="3" t="s">
        <v>23</v>
      </c>
      <c r="E16" s="9" t="s">
        <v>118</v>
      </c>
      <c r="F16" s="10"/>
      <c r="G16" s="10"/>
      <c r="H16" s="10"/>
      <c r="I16" s="10"/>
      <c r="J16" s="10"/>
      <c r="K16" s="9" t="s">
        <v>83</v>
      </c>
      <c r="L16" s="9" t="s">
        <v>84</v>
      </c>
      <c r="M16" s="9" t="s">
        <v>85</v>
      </c>
      <c r="N16" s="10"/>
      <c r="O16" s="10"/>
      <c r="P16" s="9" t="s">
        <v>86</v>
      </c>
      <c r="Q16" s="11" t="n">
        <v>0.009</v>
      </c>
      <c r="R16" s="11" t="n">
        <v>0.009</v>
      </c>
      <c r="S16" s="11" t="n">
        <v>0</v>
      </c>
      <c r="T16" s="10"/>
      <c r="U16" s="10"/>
      <c r="V16" s="10"/>
      <c r="W16" s="10"/>
      <c r="X16" s="11" t="n">
        <v>0.006</v>
      </c>
      <c r="Y16" s="11" t="n">
        <v>0.003</v>
      </c>
      <c r="Z16" s="3" t="s">
        <v>87</v>
      </c>
      <c r="AA16" s="10"/>
      <c r="AB16" s="10"/>
      <c r="AC16" s="10"/>
      <c r="AD16" s="10"/>
      <c r="AE16" s="10"/>
      <c r="AF16" s="10"/>
      <c r="AG16" s="10"/>
      <c r="AH16" s="9" t="s">
        <v>88</v>
      </c>
      <c r="AI16" s="3" t="s">
        <v>89</v>
      </c>
    </row>
    <row r="17" customFormat="false" ht="60" hidden="false" customHeight="true" outlineLevel="0" collapsed="false">
      <c r="A17" s="3" t="n">
        <v>16</v>
      </c>
      <c r="B17" s="3" t="n">
        <v>18</v>
      </c>
      <c r="C17" s="9" t="s">
        <v>117</v>
      </c>
      <c r="D17" s="3" t="s">
        <v>23</v>
      </c>
      <c r="E17" s="9" t="s">
        <v>105</v>
      </c>
      <c r="F17" s="10"/>
      <c r="G17" s="10"/>
      <c r="H17" s="10"/>
      <c r="I17" s="10"/>
      <c r="J17" s="10"/>
      <c r="K17" s="9" t="s">
        <v>91</v>
      </c>
      <c r="L17" s="9" t="s">
        <v>84</v>
      </c>
      <c r="M17" s="9" t="s">
        <v>85</v>
      </c>
      <c r="N17" s="10"/>
      <c r="O17" s="10"/>
      <c r="P17" s="9" t="s">
        <v>86</v>
      </c>
      <c r="Q17" s="11" t="n">
        <v>0.008</v>
      </c>
      <c r="R17" s="11" t="n">
        <v>0.008</v>
      </c>
      <c r="S17" s="11" t="n">
        <v>0</v>
      </c>
      <c r="T17" s="10"/>
      <c r="U17" s="10"/>
      <c r="V17" s="10"/>
      <c r="W17" s="10"/>
      <c r="X17" s="11" t="n">
        <v>0.005</v>
      </c>
      <c r="Y17" s="11" t="n">
        <v>0.003</v>
      </c>
      <c r="Z17" s="3" t="s">
        <v>87</v>
      </c>
      <c r="AA17" s="10"/>
      <c r="AB17" s="10"/>
      <c r="AC17" s="10"/>
      <c r="AD17" s="10"/>
      <c r="AE17" s="10"/>
      <c r="AF17" s="10"/>
      <c r="AG17" s="10"/>
      <c r="AH17" s="9" t="s">
        <v>88</v>
      </c>
      <c r="AI17" s="3" t="s">
        <v>89</v>
      </c>
    </row>
    <row r="18" customFormat="false" ht="60" hidden="false" customHeight="true" outlineLevel="0" collapsed="false">
      <c r="A18" s="3" t="n">
        <v>17</v>
      </c>
      <c r="B18" s="3" t="n">
        <v>19</v>
      </c>
      <c r="C18" s="9" t="s">
        <v>117</v>
      </c>
      <c r="D18" s="3" t="s">
        <v>25</v>
      </c>
      <c r="E18" s="9" t="s">
        <v>119</v>
      </c>
      <c r="F18" s="10"/>
      <c r="G18" s="10"/>
      <c r="H18" s="10"/>
      <c r="I18" s="10"/>
      <c r="J18" s="10"/>
      <c r="K18" s="9" t="s">
        <v>93</v>
      </c>
      <c r="L18" s="9" t="s">
        <v>94</v>
      </c>
      <c r="M18" s="9" t="s">
        <v>85</v>
      </c>
      <c r="N18" s="10"/>
      <c r="O18" s="10"/>
      <c r="P18" s="9" t="s">
        <v>86</v>
      </c>
      <c r="Q18" s="11" t="n">
        <v>0.013</v>
      </c>
      <c r="R18" s="11" t="n">
        <v>0.013</v>
      </c>
      <c r="S18" s="11" t="n">
        <v>0</v>
      </c>
      <c r="T18" s="10"/>
      <c r="U18" s="10"/>
      <c r="V18" s="10"/>
      <c r="W18" s="10"/>
      <c r="X18" s="11" t="n">
        <v>0.01</v>
      </c>
      <c r="Y18" s="11" t="n">
        <v>0.003</v>
      </c>
      <c r="Z18" s="3" t="s">
        <v>95</v>
      </c>
      <c r="AA18" s="10"/>
      <c r="AB18" s="10"/>
      <c r="AC18" s="10"/>
      <c r="AD18" s="10"/>
      <c r="AE18" s="10"/>
      <c r="AF18" s="10"/>
      <c r="AG18" s="10"/>
      <c r="AH18" s="9" t="s">
        <v>88</v>
      </c>
      <c r="AI18" s="3" t="s">
        <v>96</v>
      </c>
    </row>
    <row r="19" customFormat="false" ht="60" hidden="false" customHeight="true" outlineLevel="0" collapsed="false">
      <c r="A19" s="3" t="n">
        <v>18</v>
      </c>
      <c r="B19" s="3" t="n">
        <v>20</v>
      </c>
      <c r="C19" s="9" t="s">
        <v>120</v>
      </c>
      <c r="D19" s="3" t="s">
        <v>39</v>
      </c>
      <c r="E19" s="9" t="s">
        <v>121</v>
      </c>
      <c r="F19" s="10"/>
      <c r="G19" s="10"/>
      <c r="H19" s="10"/>
      <c r="I19" s="10"/>
      <c r="J19" s="10"/>
      <c r="K19" s="9" t="s">
        <v>83</v>
      </c>
      <c r="L19" s="9" t="s">
        <v>84</v>
      </c>
      <c r="M19" s="9" t="s">
        <v>122</v>
      </c>
      <c r="N19" s="10"/>
      <c r="O19" s="10"/>
      <c r="P19" s="9" t="s">
        <v>123</v>
      </c>
      <c r="Q19" s="11" t="n">
        <v>0.01</v>
      </c>
      <c r="R19" s="11" t="n">
        <v>0.01</v>
      </c>
      <c r="S19" s="11" t="n">
        <v>0</v>
      </c>
      <c r="T19" s="10"/>
      <c r="U19" s="10"/>
      <c r="V19" s="10"/>
      <c r="W19" s="10"/>
      <c r="X19" s="11" t="n">
        <v>0.006</v>
      </c>
      <c r="Y19" s="11" t="n">
        <v>0.004</v>
      </c>
      <c r="Z19" s="3" t="s">
        <v>87</v>
      </c>
      <c r="AA19" s="10"/>
      <c r="AB19" s="10"/>
      <c r="AC19" s="10"/>
      <c r="AD19" s="10"/>
      <c r="AE19" s="10"/>
      <c r="AF19" s="10"/>
      <c r="AG19" s="10"/>
      <c r="AH19" s="9" t="s">
        <v>124</v>
      </c>
      <c r="AI19" s="3" t="s">
        <v>125</v>
      </c>
    </row>
    <row r="20" customFormat="false" ht="60" hidden="false" customHeight="true" outlineLevel="0" collapsed="false">
      <c r="A20" s="3" t="n">
        <v>19</v>
      </c>
      <c r="B20" s="3" t="n">
        <v>21</v>
      </c>
      <c r="C20" s="9" t="s">
        <v>126</v>
      </c>
      <c r="D20" s="3" t="s">
        <v>27</v>
      </c>
      <c r="E20" s="9" t="s">
        <v>127</v>
      </c>
      <c r="F20" s="10"/>
      <c r="G20" s="10"/>
      <c r="H20" s="10"/>
      <c r="I20" s="10"/>
      <c r="J20" s="10"/>
      <c r="K20" s="9" t="s">
        <v>93</v>
      </c>
      <c r="L20" s="9" t="s">
        <v>94</v>
      </c>
      <c r="M20" s="9" t="s">
        <v>85</v>
      </c>
      <c r="N20" s="10"/>
      <c r="O20" s="10"/>
      <c r="P20" s="9" t="s">
        <v>86</v>
      </c>
      <c r="Q20" s="11" t="n">
        <v>0.02</v>
      </c>
      <c r="R20" s="11" t="n">
        <v>0.014</v>
      </c>
      <c r="S20" s="11" t="n">
        <v>0.006</v>
      </c>
      <c r="T20" s="10"/>
      <c r="U20" s="10"/>
      <c r="V20" s="10"/>
      <c r="W20" s="10"/>
      <c r="X20" s="11" t="n">
        <v>0.0085</v>
      </c>
      <c r="Y20" s="11" t="n">
        <v>0.0115</v>
      </c>
      <c r="Z20" s="3" t="s">
        <v>95</v>
      </c>
      <c r="AA20" s="10"/>
      <c r="AB20" s="10"/>
      <c r="AC20" s="10"/>
      <c r="AD20" s="10"/>
      <c r="AE20" s="10"/>
      <c r="AF20" s="10"/>
      <c r="AG20" s="10"/>
      <c r="AH20" s="9" t="s">
        <v>128</v>
      </c>
      <c r="AI20" s="3"/>
    </row>
    <row r="21" customFormat="false" ht="60" hidden="false" customHeight="true" outlineLevel="0" collapsed="false">
      <c r="A21" s="3" t="n">
        <v>20</v>
      </c>
      <c r="B21" s="3" t="n">
        <v>22</v>
      </c>
      <c r="C21" s="9" t="s">
        <v>126</v>
      </c>
      <c r="D21" s="3" t="s">
        <v>27</v>
      </c>
      <c r="E21" s="9" t="s">
        <v>127</v>
      </c>
      <c r="F21" s="10"/>
      <c r="G21" s="10"/>
      <c r="H21" s="10"/>
      <c r="I21" s="10"/>
      <c r="J21" s="10"/>
      <c r="K21" s="9" t="s">
        <v>83</v>
      </c>
      <c r="L21" s="9" t="s">
        <v>84</v>
      </c>
      <c r="M21" s="9" t="s">
        <v>85</v>
      </c>
      <c r="N21" s="10"/>
      <c r="O21" s="10"/>
      <c r="P21" s="9" t="s">
        <v>86</v>
      </c>
      <c r="Q21" s="11" t="n">
        <v>0.02</v>
      </c>
      <c r="R21" s="11" t="n">
        <v>0.014</v>
      </c>
      <c r="S21" s="11" t="n">
        <v>0.006</v>
      </c>
      <c r="T21" s="10"/>
      <c r="U21" s="10"/>
      <c r="V21" s="10"/>
      <c r="W21" s="10"/>
      <c r="X21" s="11" t="n">
        <v>0.0085</v>
      </c>
      <c r="Y21" s="11" t="n">
        <v>0.0115</v>
      </c>
      <c r="Z21" s="3" t="s">
        <v>115</v>
      </c>
      <c r="AA21" s="10"/>
      <c r="AB21" s="10"/>
      <c r="AC21" s="10"/>
      <c r="AD21" s="10"/>
      <c r="AE21" s="10"/>
      <c r="AF21" s="10"/>
      <c r="AG21" s="10"/>
      <c r="AH21" s="9" t="s">
        <v>128</v>
      </c>
      <c r="AI21" s="3" t="s">
        <v>89</v>
      </c>
    </row>
    <row r="22" customFormat="false" ht="60" hidden="false" customHeight="true" outlineLevel="0" collapsed="false">
      <c r="A22" s="3" t="n">
        <v>21</v>
      </c>
      <c r="B22" s="3" t="n">
        <v>23</v>
      </c>
      <c r="C22" s="9" t="s">
        <v>129</v>
      </c>
      <c r="D22" s="3" t="s">
        <v>27</v>
      </c>
      <c r="E22" s="9" t="s">
        <v>130</v>
      </c>
      <c r="F22" s="10"/>
      <c r="G22" s="10"/>
      <c r="H22" s="10"/>
      <c r="I22" s="10"/>
      <c r="J22" s="10"/>
      <c r="K22" s="9" t="s">
        <v>93</v>
      </c>
      <c r="L22" s="9" t="s">
        <v>94</v>
      </c>
      <c r="M22" s="9" t="s">
        <v>85</v>
      </c>
      <c r="N22" s="10"/>
      <c r="O22" s="10"/>
      <c r="P22" s="9" t="s">
        <v>86</v>
      </c>
      <c r="Q22" s="11" t="n">
        <v>0.016</v>
      </c>
      <c r="R22" s="11" t="n">
        <v>0.01</v>
      </c>
      <c r="S22" s="11" t="n">
        <v>0.006</v>
      </c>
      <c r="T22" s="10"/>
      <c r="U22" s="10"/>
      <c r="V22" s="10"/>
      <c r="W22" s="10"/>
      <c r="X22" s="11" t="n">
        <v>0.0075</v>
      </c>
      <c r="Y22" s="11" t="n">
        <v>0.0085</v>
      </c>
      <c r="Z22" s="3" t="s">
        <v>95</v>
      </c>
      <c r="AA22" s="10"/>
      <c r="AB22" s="10"/>
      <c r="AC22" s="10"/>
      <c r="AD22" s="10"/>
      <c r="AE22" s="10"/>
      <c r="AF22" s="10"/>
      <c r="AG22" s="10"/>
      <c r="AH22" s="9" t="s">
        <v>131</v>
      </c>
      <c r="AI22" s="3"/>
    </row>
    <row r="23" customFormat="false" ht="60" hidden="false" customHeight="true" outlineLevel="0" collapsed="false">
      <c r="A23" s="3" t="n">
        <v>22</v>
      </c>
      <c r="B23" s="3" t="n">
        <v>24</v>
      </c>
      <c r="C23" s="9" t="s">
        <v>129</v>
      </c>
      <c r="D23" s="3" t="s">
        <v>27</v>
      </c>
      <c r="E23" s="9" t="s">
        <v>132</v>
      </c>
      <c r="F23" s="10"/>
      <c r="G23" s="10"/>
      <c r="H23" s="10"/>
      <c r="I23" s="10"/>
      <c r="J23" s="10"/>
      <c r="K23" s="9" t="s">
        <v>83</v>
      </c>
      <c r="L23" s="9" t="s">
        <v>84</v>
      </c>
      <c r="M23" s="9" t="s">
        <v>85</v>
      </c>
      <c r="N23" s="10"/>
      <c r="O23" s="10"/>
      <c r="P23" s="9" t="s">
        <v>86</v>
      </c>
      <c r="Q23" s="11" t="n">
        <v>0.016</v>
      </c>
      <c r="R23" s="11" t="n">
        <v>0.01</v>
      </c>
      <c r="S23" s="11" t="n">
        <v>0.006</v>
      </c>
      <c r="T23" s="10"/>
      <c r="U23" s="10"/>
      <c r="V23" s="10"/>
      <c r="W23" s="10"/>
      <c r="X23" s="11" t="n">
        <v>0.0075</v>
      </c>
      <c r="Y23" s="11" t="n">
        <v>0.0085</v>
      </c>
      <c r="Z23" s="3" t="s">
        <v>115</v>
      </c>
      <c r="AA23" s="10"/>
      <c r="AB23" s="10"/>
      <c r="AC23" s="10"/>
      <c r="AD23" s="10"/>
      <c r="AE23" s="10"/>
      <c r="AF23" s="10"/>
      <c r="AG23" s="10"/>
      <c r="AH23" s="9" t="s">
        <v>131</v>
      </c>
      <c r="AI23" s="3" t="s">
        <v>89</v>
      </c>
    </row>
    <row r="24" customFormat="false" ht="60" hidden="false" customHeight="true" outlineLevel="0" collapsed="false">
      <c r="A24" s="3" t="n">
        <v>23</v>
      </c>
      <c r="B24" s="3" t="n">
        <v>25</v>
      </c>
      <c r="C24" s="9" t="s">
        <v>133</v>
      </c>
      <c r="D24" s="3" t="s">
        <v>29</v>
      </c>
      <c r="E24" s="9" t="s">
        <v>134</v>
      </c>
      <c r="F24" s="10"/>
      <c r="G24" s="10"/>
      <c r="H24" s="10"/>
      <c r="I24" s="10"/>
      <c r="J24" s="10"/>
      <c r="K24" s="9" t="s">
        <v>93</v>
      </c>
      <c r="L24" s="9" t="s">
        <v>94</v>
      </c>
      <c r="M24" s="9" t="s">
        <v>135</v>
      </c>
      <c r="N24" s="10"/>
      <c r="O24" s="10"/>
      <c r="P24" s="9" t="s">
        <v>123</v>
      </c>
      <c r="Q24" s="11" t="n">
        <v>0.0675</v>
      </c>
      <c r="R24" s="11" t="n">
        <v>0.0675</v>
      </c>
      <c r="S24" s="11" t="n">
        <v>0</v>
      </c>
      <c r="T24" s="10"/>
      <c r="U24" s="10"/>
      <c r="V24" s="10"/>
      <c r="W24" s="10"/>
      <c r="X24" s="11" t="n">
        <v>0.035</v>
      </c>
      <c r="Y24" s="11" t="n">
        <v>0.01</v>
      </c>
      <c r="Z24" s="3" t="s">
        <v>95</v>
      </c>
      <c r="AA24" s="10"/>
      <c r="AB24" s="10"/>
      <c r="AC24" s="10"/>
      <c r="AD24" s="10"/>
      <c r="AE24" s="10"/>
      <c r="AF24" s="10"/>
      <c r="AG24" s="10"/>
      <c r="AH24" s="9" t="s">
        <v>136</v>
      </c>
      <c r="AI24" s="3"/>
    </row>
    <row r="25" customFormat="false" ht="60" hidden="false" customHeight="true" outlineLevel="0" collapsed="false">
      <c r="A25" s="3" t="n">
        <v>24</v>
      </c>
      <c r="B25" s="3" t="n">
        <v>26</v>
      </c>
      <c r="C25" s="9" t="s">
        <v>137</v>
      </c>
      <c r="D25" s="3" t="s">
        <v>29</v>
      </c>
      <c r="E25" s="9" t="s">
        <v>138</v>
      </c>
      <c r="F25" s="10"/>
      <c r="G25" s="10"/>
      <c r="H25" s="10"/>
      <c r="I25" s="10"/>
      <c r="J25" s="10"/>
      <c r="K25" s="9" t="s">
        <v>93</v>
      </c>
      <c r="L25" s="9" t="s">
        <v>94</v>
      </c>
      <c r="M25" s="9" t="s">
        <v>139</v>
      </c>
      <c r="N25" s="10"/>
      <c r="O25" s="10"/>
      <c r="P25" s="9" t="s">
        <v>86</v>
      </c>
      <c r="Q25" s="11" t="n">
        <v>0.032</v>
      </c>
      <c r="R25" s="11" t="n">
        <v>0.032</v>
      </c>
      <c r="S25" s="11" t="n">
        <v>0</v>
      </c>
      <c r="T25" s="10"/>
      <c r="U25" s="10"/>
      <c r="V25" s="10"/>
      <c r="W25" s="10"/>
      <c r="X25" s="11" t="n">
        <v>0.015</v>
      </c>
      <c r="Y25" s="11" t="n">
        <v>0.007</v>
      </c>
      <c r="Z25" s="3" t="s">
        <v>95</v>
      </c>
      <c r="AA25" s="10"/>
      <c r="AB25" s="10"/>
      <c r="AC25" s="10"/>
      <c r="AD25" s="10"/>
      <c r="AE25" s="10"/>
      <c r="AF25" s="10"/>
      <c r="AG25" s="10"/>
      <c r="AH25" s="9" t="s">
        <v>140</v>
      </c>
      <c r="AI25" s="3"/>
    </row>
    <row r="26" customFormat="false" ht="60" hidden="false" customHeight="true" outlineLevel="0" collapsed="false">
      <c r="A26" s="3" t="n">
        <v>25</v>
      </c>
      <c r="B26" s="3" t="n">
        <v>27</v>
      </c>
      <c r="C26" s="9" t="s">
        <v>141</v>
      </c>
      <c r="D26" s="3" t="s">
        <v>45</v>
      </c>
      <c r="E26" s="10"/>
      <c r="F26" s="10"/>
      <c r="G26" s="10"/>
      <c r="H26" s="10"/>
      <c r="I26" s="10"/>
      <c r="J26" s="10"/>
      <c r="K26" s="9" t="s">
        <v>93</v>
      </c>
      <c r="L26" s="9" t="s">
        <v>94</v>
      </c>
      <c r="M26" s="9" t="s">
        <v>142</v>
      </c>
      <c r="N26" s="10"/>
      <c r="O26" s="10"/>
      <c r="P26" s="9" t="s">
        <v>86</v>
      </c>
      <c r="Q26" s="11" t="n">
        <v>0.028</v>
      </c>
      <c r="R26" s="11" t="n">
        <v>0.028</v>
      </c>
      <c r="S26" s="11" t="n">
        <v>0</v>
      </c>
      <c r="T26" s="10"/>
      <c r="U26" s="10"/>
      <c r="V26" s="10"/>
      <c r="W26" s="10"/>
      <c r="X26" s="9" t="s">
        <v>143</v>
      </c>
      <c r="Y26" s="9" t="s">
        <v>143</v>
      </c>
      <c r="Z26" s="3" t="s">
        <v>95</v>
      </c>
      <c r="AA26" s="10"/>
      <c r="AB26" s="10"/>
      <c r="AC26" s="10"/>
      <c r="AD26" s="10"/>
      <c r="AE26" s="10"/>
      <c r="AF26" s="10"/>
      <c r="AG26" s="10"/>
      <c r="AH26" s="9" t="s">
        <v>144</v>
      </c>
      <c r="AI26" s="3" t="s">
        <v>145</v>
      </c>
    </row>
    <row r="27" customFormat="false" ht="60" hidden="false" customHeight="true" outlineLevel="0" collapsed="false">
      <c r="A27" s="3" t="n">
        <v>26</v>
      </c>
      <c r="B27" s="3" t="n">
        <v>28</v>
      </c>
      <c r="C27" s="9" t="s">
        <v>146</v>
      </c>
      <c r="D27" s="3" t="s">
        <v>41</v>
      </c>
      <c r="E27" s="10"/>
      <c r="F27" s="10"/>
      <c r="G27" s="10"/>
      <c r="H27" s="10"/>
      <c r="I27" s="10"/>
      <c r="J27" s="10"/>
      <c r="K27" s="9" t="s">
        <v>93</v>
      </c>
      <c r="L27" s="9" t="s">
        <v>94</v>
      </c>
      <c r="M27" s="9" t="s">
        <v>147</v>
      </c>
      <c r="N27" s="10"/>
      <c r="O27" s="10"/>
      <c r="P27" s="9" t="s">
        <v>86</v>
      </c>
      <c r="Q27" s="11" t="n">
        <v>0.055</v>
      </c>
      <c r="R27" s="11" t="n">
        <v>0.055</v>
      </c>
      <c r="S27" s="11" t="n">
        <v>0</v>
      </c>
      <c r="T27" s="10"/>
      <c r="U27" s="10"/>
      <c r="V27" s="10"/>
      <c r="W27" s="10"/>
      <c r="X27" s="9" t="s">
        <v>143</v>
      </c>
      <c r="Y27" s="9" t="s">
        <v>143</v>
      </c>
      <c r="Z27" s="3" t="s">
        <v>95</v>
      </c>
      <c r="AA27" s="10"/>
      <c r="AB27" s="10"/>
      <c r="AC27" s="10"/>
      <c r="AD27" s="10"/>
      <c r="AE27" s="10"/>
      <c r="AF27" s="10"/>
      <c r="AG27" s="10"/>
      <c r="AH27" s="9" t="s">
        <v>148</v>
      </c>
      <c r="AI27" s="3" t="s">
        <v>145</v>
      </c>
    </row>
    <row r="28" customFormat="false" ht="60" hidden="false" customHeight="true" outlineLevel="0" collapsed="false">
      <c r="A28" s="3" t="n">
        <v>27</v>
      </c>
      <c r="B28" s="3" t="n">
        <v>29</v>
      </c>
      <c r="C28" s="9" t="s">
        <v>149</v>
      </c>
      <c r="D28" s="3" t="s">
        <v>29</v>
      </c>
      <c r="E28" s="9" t="s">
        <v>150</v>
      </c>
      <c r="F28" s="10"/>
      <c r="G28" s="10"/>
      <c r="H28" s="10"/>
      <c r="I28" s="10"/>
      <c r="J28" s="10"/>
      <c r="K28" s="9" t="s">
        <v>93</v>
      </c>
      <c r="L28" s="9" t="s">
        <v>94</v>
      </c>
      <c r="M28" s="9" t="s">
        <v>151</v>
      </c>
      <c r="N28" s="10"/>
      <c r="O28" s="10"/>
      <c r="P28" s="9" t="s">
        <v>123</v>
      </c>
      <c r="Q28" s="11" t="n">
        <v>0.07</v>
      </c>
      <c r="R28" s="11" t="n">
        <v>0.07</v>
      </c>
      <c r="S28" s="11" t="n">
        <v>0</v>
      </c>
      <c r="T28" s="10"/>
      <c r="U28" s="10"/>
      <c r="V28" s="10"/>
      <c r="W28" s="10"/>
      <c r="X28" s="11" t="n">
        <v>0.0525</v>
      </c>
      <c r="Y28" s="11" t="n">
        <v>0.0175</v>
      </c>
      <c r="Z28" s="3" t="s">
        <v>95</v>
      </c>
      <c r="AA28" s="10"/>
      <c r="AB28" s="10"/>
      <c r="AC28" s="10"/>
      <c r="AD28" s="10"/>
      <c r="AE28" s="10"/>
      <c r="AF28" s="10"/>
      <c r="AG28" s="10"/>
      <c r="AH28" s="9" t="s">
        <v>152</v>
      </c>
      <c r="AI28" s="3"/>
    </row>
    <row r="29" customFormat="false" ht="60" hidden="false" customHeight="true" outlineLevel="0" collapsed="false">
      <c r="A29" s="3" t="n">
        <v>28</v>
      </c>
      <c r="B29" s="3" t="n">
        <v>30</v>
      </c>
      <c r="C29" s="9" t="s">
        <v>153</v>
      </c>
      <c r="D29" s="3" t="s">
        <v>25</v>
      </c>
      <c r="E29" s="9" t="s">
        <v>154</v>
      </c>
      <c r="F29" s="10"/>
      <c r="G29" s="10"/>
      <c r="H29" s="10"/>
      <c r="I29" s="10"/>
      <c r="J29" s="10"/>
      <c r="K29" s="9" t="s">
        <v>93</v>
      </c>
      <c r="L29" s="9" t="s">
        <v>94</v>
      </c>
      <c r="M29" s="9" t="s">
        <v>155</v>
      </c>
      <c r="N29" s="10"/>
      <c r="O29" s="10"/>
      <c r="P29" s="9" t="s">
        <v>86</v>
      </c>
      <c r="Q29" s="11" t="n">
        <v>0.015</v>
      </c>
      <c r="R29" s="11" t="n">
        <v>0.015</v>
      </c>
      <c r="S29" s="11" t="n">
        <v>0</v>
      </c>
      <c r="T29" s="10"/>
      <c r="U29" s="10"/>
      <c r="V29" s="10"/>
      <c r="W29" s="10"/>
      <c r="X29" s="11" t="n">
        <v>0.004</v>
      </c>
      <c r="Y29" s="11" t="n">
        <v>0.011</v>
      </c>
      <c r="Z29" s="3" t="s">
        <v>95</v>
      </c>
      <c r="AA29" s="10"/>
      <c r="AB29" s="10"/>
      <c r="AC29" s="10"/>
      <c r="AD29" s="10"/>
      <c r="AE29" s="10"/>
      <c r="AF29" s="10"/>
      <c r="AG29" s="10"/>
      <c r="AH29" s="9" t="s">
        <v>88</v>
      </c>
      <c r="AI29" s="3" t="s">
        <v>96</v>
      </c>
    </row>
    <row r="30" customFormat="false" ht="60" hidden="false" customHeight="true" outlineLevel="0" collapsed="false">
      <c r="A30" s="3" t="n">
        <v>29</v>
      </c>
      <c r="B30" s="3" t="n">
        <v>31</v>
      </c>
      <c r="C30" s="9" t="s">
        <v>156</v>
      </c>
      <c r="D30" s="3" t="s">
        <v>25</v>
      </c>
      <c r="E30" s="9" t="s">
        <v>157</v>
      </c>
      <c r="F30" s="10"/>
      <c r="G30" s="10"/>
      <c r="H30" s="10"/>
      <c r="I30" s="10"/>
      <c r="J30" s="10"/>
      <c r="K30" s="9" t="s">
        <v>93</v>
      </c>
      <c r="L30" s="9" t="s">
        <v>94</v>
      </c>
      <c r="M30" s="9" t="s">
        <v>158</v>
      </c>
      <c r="N30" s="10"/>
      <c r="O30" s="10"/>
      <c r="P30" s="9" t="s">
        <v>86</v>
      </c>
      <c r="Q30" s="11" t="n">
        <v>0.0225</v>
      </c>
      <c r="R30" s="11" t="n">
        <v>0.0225</v>
      </c>
      <c r="S30" s="11" t="n">
        <v>0</v>
      </c>
      <c r="T30" s="10"/>
      <c r="U30" s="10"/>
      <c r="V30" s="10"/>
      <c r="W30" s="10"/>
      <c r="X30" s="11" t="n">
        <v>0.0122</v>
      </c>
      <c r="Y30" s="11" t="n">
        <v>0.0103</v>
      </c>
      <c r="Z30" s="3" t="s">
        <v>95</v>
      </c>
      <c r="AA30" s="10"/>
      <c r="AB30" s="10"/>
      <c r="AC30" s="10"/>
      <c r="AD30" s="10"/>
      <c r="AE30" s="10"/>
      <c r="AF30" s="10"/>
      <c r="AG30" s="10"/>
      <c r="AH30" s="9" t="s">
        <v>88</v>
      </c>
      <c r="AI30" s="3" t="s">
        <v>96</v>
      </c>
    </row>
    <row r="31" customFormat="false" ht="60" hidden="false" customHeight="true" outlineLevel="0" collapsed="false">
      <c r="A31" s="3" t="n">
        <v>30</v>
      </c>
      <c r="B31" s="3" t="n">
        <v>32</v>
      </c>
      <c r="C31" s="9" t="s">
        <v>159</v>
      </c>
      <c r="D31" s="3" t="s">
        <v>31</v>
      </c>
      <c r="E31" s="9" t="s">
        <v>160</v>
      </c>
      <c r="F31" s="10"/>
      <c r="G31" s="10"/>
      <c r="H31" s="10"/>
      <c r="I31" s="10"/>
      <c r="J31" s="10"/>
      <c r="K31" s="9" t="s">
        <v>93</v>
      </c>
      <c r="L31" s="9" t="s">
        <v>94</v>
      </c>
      <c r="M31" s="9" t="s">
        <v>155</v>
      </c>
      <c r="N31" s="10"/>
      <c r="O31" s="10"/>
      <c r="P31" s="9" t="s">
        <v>86</v>
      </c>
      <c r="Q31" s="11" t="n">
        <v>0.025</v>
      </c>
      <c r="R31" s="11" t="n">
        <v>0.025</v>
      </c>
      <c r="S31" s="11" t="n">
        <v>0</v>
      </c>
      <c r="T31" s="10"/>
      <c r="U31" s="10"/>
      <c r="V31" s="10"/>
      <c r="W31" s="10"/>
      <c r="X31" s="11" t="n">
        <v>0.004</v>
      </c>
      <c r="Y31" s="11" t="n">
        <v>0.021</v>
      </c>
      <c r="Z31" s="3" t="s">
        <v>95</v>
      </c>
      <c r="AA31" s="10"/>
      <c r="AB31" s="10"/>
      <c r="AC31" s="10"/>
      <c r="AD31" s="10"/>
      <c r="AE31" s="10"/>
      <c r="AF31" s="10"/>
      <c r="AG31" s="10"/>
      <c r="AH31" s="3"/>
      <c r="AI31" s="3"/>
    </row>
    <row r="32" customFormat="false" ht="60" hidden="false" customHeight="true" outlineLevel="0" collapsed="false">
      <c r="A32" s="3" t="n">
        <v>31</v>
      </c>
      <c r="B32" s="3" t="n">
        <v>33</v>
      </c>
      <c r="C32" s="9" t="s">
        <v>161</v>
      </c>
      <c r="D32" s="3" t="s">
        <v>31</v>
      </c>
      <c r="E32" s="9" t="s">
        <v>162</v>
      </c>
      <c r="F32" s="10"/>
      <c r="G32" s="10"/>
      <c r="H32" s="10"/>
      <c r="I32" s="10"/>
      <c r="J32" s="10"/>
      <c r="K32" s="9" t="s">
        <v>93</v>
      </c>
      <c r="L32" s="9" t="s">
        <v>94</v>
      </c>
      <c r="M32" s="9" t="s">
        <v>155</v>
      </c>
      <c r="N32" s="10"/>
      <c r="O32" s="10"/>
      <c r="P32" s="9" t="s">
        <v>86</v>
      </c>
      <c r="Q32" s="11" t="n">
        <v>0.0225</v>
      </c>
      <c r="R32" s="11" t="n">
        <v>0.0225</v>
      </c>
      <c r="S32" s="11" t="n">
        <v>0</v>
      </c>
      <c r="T32" s="10"/>
      <c r="U32" s="10"/>
      <c r="V32" s="10"/>
      <c r="W32" s="10"/>
      <c r="X32" s="11" t="n">
        <v>0.004</v>
      </c>
      <c r="Y32" s="11" t="n">
        <v>0.0185</v>
      </c>
      <c r="Z32" s="3" t="s">
        <v>95</v>
      </c>
      <c r="AA32" s="10"/>
      <c r="AB32" s="10"/>
      <c r="AC32" s="10"/>
      <c r="AD32" s="10"/>
      <c r="AE32" s="10"/>
      <c r="AF32" s="10"/>
      <c r="AG32" s="10"/>
      <c r="AH32" s="9" t="s">
        <v>163</v>
      </c>
      <c r="AI32" s="3"/>
    </row>
    <row r="33" customFormat="false" ht="60" hidden="false" customHeight="true" outlineLevel="0" collapsed="false">
      <c r="A33" s="3" t="n">
        <v>32</v>
      </c>
      <c r="B33" s="3" t="n">
        <v>34</v>
      </c>
      <c r="C33" s="9" t="s">
        <v>164</v>
      </c>
      <c r="D33" s="3" t="s">
        <v>29</v>
      </c>
      <c r="E33" s="9" t="s">
        <v>165</v>
      </c>
      <c r="F33" s="10"/>
      <c r="G33" s="10"/>
      <c r="H33" s="10"/>
      <c r="I33" s="10"/>
      <c r="J33" s="10"/>
      <c r="K33" s="9" t="s">
        <v>93</v>
      </c>
      <c r="L33" s="9" t="s">
        <v>94</v>
      </c>
      <c r="M33" s="9" t="s">
        <v>166</v>
      </c>
      <c r="N33" s="10"/>
      <c r="O33" s="10"/>
      <c r="P33" s="9" t="s">
        <v>123</v>
      </c>
      <c r="Q33" s="11" t="n">
        <v>0.01</v>
      </c>
      <c r="R33" s="11" t="n">
        <v>0.01</v>
      </c>
      <c r="S33" s="11" t="n">
        <v>0</v>
      </c>
      <c r="T33" s="10"/>
      <c r="U33" s="10"/>
      <c r="V33" s="10"/>
      <c r="W33" s="10"/>
      <c r="X33" s="11" t="n">
        <v>0.0065</v>
      </c>
      <c r="Y33" s="11" t="n">
        <v>0.0035</v>
      </c>
      <c r="Z33" s="3" t="s">
        <v>95</v>
      </c>
      <c r="AA33" s="10"/>
      <c r="AB33" s="10"/>
      <c r="AC33" s="10"/>
      <c r="AD33" s="10"/>
      <c r="AE33" s="10"/>
      <c r="AF33" s="10"/>
      <c r="AG33" s="10"/>
      <c r="AH33" s="9" t="s">
        <v>167</v>
      </c>
      <c r="AI33" s="3" t="s">
        <v>168</v>
      </c>
    </row>
    <row r="34" customFormat="false" ht="60" hidden="false" customHeight="true" outlineLevel="0" collapsed="false">
      <c r="A34" s="3" t="n">
        <v>33</v>
      </c>
      <c r="B34" s="3" t="n">
        <v>35</v>
      </c>
      <c r="C34" s="9" t="s">
        <v>169</v>
      </c>
      <c r="D34" s="3" t="s">
        <v>25</v>
      </c>
      <c r="E34" s="9" t="s">
        <v>170</v>
      </c>
      <c r="F34" s="10"/>
      <c r="G34" s="10"/>
      <c r="H34" s="10"/>
      <c r="I34" s="10"/>
      <c r="J34" s="10"/>
      <c r="K34" s="9" t="s">
        <v>93</v>
      </c>
      <c r="L34" s="9" t="s">
        <v>94</v>
      </c>
      <c r="M34" s="9" t="s">
        <v>155</v>
      </c>
      <c r="N34" s="10"/>
      <c r="O34" s="10"/>
      <c r="P34" s="9" t="s">
        <v>86</v>
      </c>
      <c r="Q34" s="11" t="n">
        <v>0.009</v>
      </c>
      <c r="R34" s="11" t="n">
        <v>0.009</v>
      </c>
      <c r="S34" s="11" t="n">
        <v>0</v>
      </c>
      <c r="T34" s="10"/>
      <c r="U34" s="10"/>
      <c r="V34" s="10"/>
      <c r="W34" s="10"/>
      <c r="X34" s="11" t="n">
        <v>0.004</v>
      </c>
      <c r="Y34" s="11" t="n">
        <v>0.005</v>
      </c>
      <c r="Z34" s="3" t="s">
        <v>95</v>
      </c>
      <c r="AA34" s="10"/>
      <c r="AB34" s="10"/>
      <c r="AC34" s="10"/>
      <c r="AD34" s="10"/>
      <c r="AE34" s="10"/>
      <c r="AF34" s="10"/>
      <c r="AG34" s="10"/>
      <c r="AH34" s="9" t="s">
        <v>88</v>
      </c>
      <c r="AI34" s="3" t="s">
        <v>96</v>
      </c>
    </row>
    <row r="35" customFormat="false" ht="60" hidden="false" customHeight="true" outlineLevel="0" collapsed="false">
      <c r="A35" s="3" t="n">
        <v>34</v>
      </c>
      <c r="B35" s="3" t="n">
        <v>36</v>
      </c>
      <c r="C35" s="9" t="s">
        <v>171</v>
      </c>
      <c r="D35" s="3" t="s">
        <v>29</v>
      </c>
      <c r="E35" s="9" t="s">
        <v>172</v>
      </c>
      <c r="F35" s="10"/>
      <c r="G35" s="10"/>
      <c r="H35" s="10"/>
      <c r="I35" s="10"/>
      <c r="J35" s="10"/>
      <c r="K35" s="9" t="s">
        <v>93</v>
      </c>
      <c r="L35" s="9" t="s">
        <v>94</v>
      </c>
      <c r="M35" s="9" t="s">
        <v>173</v>
      </c>
      <c r="N35" s="10"/>
      <c r="O35" s="10"/>
      <c r="P35" s="9" t="s">
        <v>123</v>
      </c>
      <c r="Q35" s="11" t="n">
        <v>0.0075</v>
      </c>
      <c r="R35" s="11" t="n">
        <v>0.0075</v>
      </c>
      <c r="S35" s="11" t="n">
        <v>0</v>
      </c>
      <c r="T35" s="10"/>
      <c r="U35" s="10"/>
      <c r="V35" s="10"/>
      <c r="W35" s="10"/>
      <c r="X35" s="11" t="n">
        <v>0.004</v>
      </c>
      <c r="Y35" s="11" t="n">
        <v>0.0035</v>
      </c>
      <c r="Z35" s="3" t="s">
        <v>95</v>
      </c>
      <c r="AA35" s="10"/>
      <c r="AB35" s="10"/>
      <c r="AC35" s="10"/>
      <c r="AD35" s="10"/>
      <c r="AE35" s="10"/>
      <c r="AF35" s="10"/>
      <c r="AG35" s="10"/>
      <c r="AH35" s="9" t="s">
        <v>174</v>
      </c>
      <c r="AI35" s="3" t="s">
        <v>168</v>
      </c>
    </row>
    <row r="36" customFormat="false" ht="60" hidden="false" customHeight="true" outlineLevel="0" collapsed="false">
      <c r="A36" s="3" t="n">
        <v>35</v>
      </c>
      <c r="B36" s="3" t="n">
        <v>37</v>
      </c>
      <c r="C36" s="9" t="s">
        <v>175</v>
      </c>
      <c r="D36" s="3" t="s">
        <v>37</v>
      </c>
      <c r="E36" s="9" t="s">
        <v>176</v>
      </c>
      <c r="F36" s="10"/>
      <c r="G36" s="10"/>
      <c r="H36" s="10"/>
      <c r="I36" s="10"/>
      <c r="J36" s="10"/>
      <c r="K36" s="9" t="s">
        <v>93</v>
      </c>
      <c r="L36" s="9" t="s">
        <v>94</v>
      </c>
      <c r="M36" s="9" t="s">
        <v>177</v>
      </c>
      <c r="N36" s="10"/>
      <c r="O36" s="10"/>
      <c r="P36" s="9" t="s">
        <v>86</v>
      </c>
      <c r="Q36" s="11" t="n">
        <v>0.02</v>
      </c>
      <c r="R36" s="11" t="n">
        <v>0.02</v>
      </c>
      <c r="S36" s="11" t="n">
        <v>0</v>
      </c>
      <c r="T36" s="10"/>
      <c r="U36" s="10"/>
      <c r="V36" s="10"/>
      <c r="W36" s="10"/>
      <c r="X36" s="11" t="n">
        <v>0.005</v>
      </c>
      <c r="Y36" s="11" t="n">
        <v>0.015</v>
      </c>
      <c r="Z36" s="3" t="s">
        <v>95</v>
      </c>
      <c r="AA36" s="10"/>
      <c r="AB36" s="10"/>
      <c r="AC36" s="10"/>
      <c r="AD36" s="10"/>
      <c r="AE36" s="10"/>
      <c r="AF36" s="10"/>
      <c r="AG36" s="10"/>
      <c r="AH36" s="9" t="s">
        <v>178</v>
      </c>
      <c r="AI36" s="3"/>
    </row>
    <row r="37" customFormat="false" ht="60" hidden="false" customHeight="true" outlineLevel="0" collapsed="false">
      <c r="A37" s="3" t="n">
        <v>36</v>
      </c>
      <c r="B37" s="3" t="n">
        <v>38</v>
      </c>
      <c r="C37" s="9" t="s">
        <v>179</v>
      </c>
      <c r="D37" s="3" t="s">
        <v>35</v>
      </c>
      <c r="E37" s="9" t="s">
        <v>180</v>
      </c>
      <c r="F37" s="10"/>
      <c r="G37" s="10"/>
      <c r="H37" s="10"/>
      <c r="I37" s="10"/>
      <c r="J37" s="10"/>
      <c r="K37" s="9" t="s">
        <v>181</v>
      </c>
      <c r="L37" s="9" t="s">
        <v>182</v>
      </c>
      <c r="M37" s="9" t="s">
        <v>85</v>
      </c>
      <c r="N37" s="10"/>
      <c r="O37" s="10"/>
      <c r="P37" s="9" t="s">
        <v>86</v>
      </c>
      <c r="Q37" s="11" t="n">
        <v>0.02</v>
      </c>
      <c r="R37" s="11" t="n">
        <v>0.02</v>
      </c>
      <c r="S37" s="11" t="n">
        <v>0</v>
      </c>
      <c r="T37" s="10"/>
      <c r="U37" s="10"/>
      <c r="V37" s="10"/>
      <c r="W37" s="10"/>
      <c r="X37" s="11" t="n">
        <v>0</v>
      </c>
      <c r="Y37" s="11" t="n">
        <v>0.02</v>
      </c>
      <c r="Z37" s="3" t="s">
        <v>183</v>
      </c>
      <c r="AA37" s="10"/>
      <c r="AB37" s="10"/>
      <c r="AC37" s="10"/>
      <c r="AD37" s="10"/>
      <c r="AE37" s="10"/>
      <c r="AF37" s="10"/>
      <c r="AG37" s="10"/>
      <c r="AH37" s="9" t="s">
        <v>184</v>
      </c>
      <c r="AI37" s="3"/>
    </row>
    <row r="38" customFormat="false" ht="60" hidden="false" customHeight="true" outlineLevel="0" collapsed="false">
      <c r="A38" s="3" t="n">
        <v>37</v>
      </c>
      <c r="B38" s="3" t="n">
        <v>39</v>
      </c>
      <c r="C38" s="9" t="s">
        <v>185</v>
      </c>
      <c r="D38" s="3" t="s">
        <v>35</v>
      </c>
      <c r="E38" s="9" t="s">
        <v>186</v>
      </c>
      <c r="F38" s="10"/>
      <c r="G38" s="10"/>
      <c r="H38" s="10"/>
      <c r="I38" s="10"/>
      <c r="J38" s="10"/>
      <c r="K38" s="9" t="s">
        <v>181</v>
      </c>
      <c r="L38" s="9" t="s">
        <v>182</v>
      </c>
      <c r="M38" s="9" t="s">
        <v>85</v>
      </c>
      <c r="N38" s="10"/>
      <c r="O38" s="10"/>
      <c r="P38" s="9" t="s">
        <v>86</v>
      </c>
      <c r="Q38" s="11" t="n">
        <v>0.0075</v>
      </c>
      <c r="R38" s="11" t="n">
        <v>0.0075</v>
      </c>
      <c r="S38" s="11" t="n">
        <v>0</v>
      </c>
      <c r="T38" s="10"/>
      <c r="U38" s="10"/>
      <c r="V38" s="10"/>
      <c r="W38" s="10"/>
      <c r="X38" s="11" t="n">
        <v>0</v>
      </c>
      <c r="Y38" s="11" t="n">
        <v>0.0075</v>
      </c>
      <c r="Z38" s="3" t="s">
        <v>183</v>
      </c>
      <c r="AA38" s="10"/>
      <c r="AB38" s="10"/>
      <c r="AC38" s="10"/>
      <c r="AD38" s="10"/>
      <c r="AE38" s="10"/>
      <c r="AF38" s="10"/>
      <c r="AG38" s="10"/>
      <c r="AH38" s="9" t="s">
        <v>184</v>
      </c>
      <c r="AI38" s="3"/>
    </row>
    <row r="39" customFormat="false" ht="60" hidden="false" customHeight="true" outlineLevel="0" collapsed="false">
      <c r="A39" s="3" t="n">
        <v>38</v>
      </c>
      <c r="B39" s="3" t="n">
        <v>40</v>
      </c>
      <c r="C39" s="9" t="s">
        <v>187</v>
      </c>
      <c r="D39" s="3" t="s">
        <v>35</v>
      </c>
      <c r="E39" s="9" t="s">
        <v>188</v>
      </c>
      <c r="F39" s="10"/>
      <c r="G39" s="10"/>
      <c r="H39" s="10"/>
      <c r="I39" s="10"/>
      <c r="J39" s="10"/>
      <c r="K39" s="9" t="s">
        <v>181</v>
      </c>
      <c r="L39" s="9" t="s">
        <v>182</v>
      </c>
      <c r="M39" s="9" t="s">
        <v>85</v>
      </c>
      <c r="N39" s="10"/>
      <c r="O39" s="10"/>
      <c r="P39" s="9" t="s">
        <v>86</v>
      </c>
      <c r="Q39" s="11" t="n">
        <v>0.015</v>
      </c>
      <c r="R39" s="11" t="n">
        <v>0.015</v>
      </c>
      <c r="S39" s="11" t="n">
        <v>0</v>
      </c>
      <c r="T39" s="10"/>
      <c r="U39" s="10"/>
      <c r="V39" s="10"/>
      <c r="W39" s="10"/>
      <c r="X39" s="11" t="n">
        <v>0</v>
      </c>
      <c r="Y39" s="11" t="n">
        <v>0.015</v>
      </c>
      <c r="Z39" s="3" t="s">
        <v>183</v>
      </c>
      <c r="AA39" s="10"/>
      <c r="AB39" s="10"/>
      <c r="AC39" s="10"/>
      <c r="AD39" s="10"/>
      <c r="AE39" s="10"/>
      <c r="AF39" s="10"/>
      <c r="AG39" s="10"/>
      <c r="AH39" s="9" t="s">
        <v>184</v>
      </c>
      <c r="AI39" s="3"/>
    </row>
    <row r="40" customFormat="false" ht="60" hidden="false" customHeight="true" outlineLevel="0" collapsed="false">
      <c r="A40" s="3" t="n">
        <v>39</v>
      </c>
      <c r="B40" s="3" t="n">
        <v>41</v>
      </c>
      <c r="C40" s="9" t="s">
        <v>189</v>
      </c>
      <c r="D40" s="3" t="s">
        <v>35</v>
      </c>
      <c r="E40" s="9" t="s">
        <v>190</v>
      </c>
      <c r="F40" s="10"/>
      <c r="G40" s="10"/>
      <c r="H40" s="10"/>
      <c r="I40" s="10"/>
      <c r="J40" s="10"/>
      <c r="K40" s="9" t="s">
        <v>181</v>
      </c>
      <c r="L40" s="9" t="s">
        <v>182</v>
      </c>
      <c r="M40" s="9" t="s">
        <v>85</v>
      </c>
      <c r="N40" s="10"/>
      <c r="O40" s="10"/>
      <c r="P40" s="9" t="s">
        <v>86</v>
      </c>
      <c r="Q40" s="11" t="n">
        <v>0.015</v>
      </c>
      <c r="R40" s="11" t="n">
        <v>0.015</v>
      </c>
      <c r="S40" s="11" t="n">
        <v>0</v>
      </c>
      <c r="T40" s="10"/>
      <c r="U40" s="10"/>
      <c r="V40" s="10"/>
      <c r="W40" s="10"/>
      <c r="X40" s="11" t="n">
        <v>0</v>
      </c>
      <c r="Y40" s="11" t="n">
        <v>0.015</v>
      </c>
      <c r="Z40" s="3" t="s">
        <v>183</v>
      </c>
      <c r="AA40" s="10"/>
      <c r="AB40" s="10"/>
      <c r="AC40" s="10"/>
      <c r="AD40" s="10"/>
      <c r="AE40" s="10"/>
      <c r="AF40" s="10"/>
      <c r="AG40" s="10"/>
      <c r="AH40" s="9" t="s">
        <v>184</v>
      </c>
      <c r="AI40" s="3"/>
    </row>
    <row r="41" customFormat="false" ht="60" hidden="false" customHeight="true" outlineLevel="0" collapsed="false">
      <c r="A41" s="3" t="n">
        <v>40</v>
      </c>
      <c r="B41" s="3" t="n">
        <v>42</v>
      </c>
      <c r="C41" s="9" t="s">
        <v>191</v>
      </c>
      <c r="D41" s="3" t="s">
        <v>35</v>
      </c>
      <c r="E41" s="9" t="s">
        <v>192</v>
      </c>
      <c r="F41" s="10"/>
      <c r="G41" s="10"/>
      <c r="H41" s="10"/>
      <c r="I41" s="10"/>
      <c r="J41" s="10"/>
      <c r="K41" s="9" t="s">
        <v>181</v>
      </c>
      <c r="L41" s="9" t="s">
        <v>182</v>
      </c>
      <c r="M41" s="9" t="s">
        <v>85</v>
      </c>
      <c r="N41" s="10"/>
      <c r="O41" s="10"/>
      <c r="P41" s="9" t="s">
        <v>86</v>
      </c>
      <c r="Q41" s="11" t="n">
        <v>0.015</v>
      </c>
      <c r="R41" s="11" t="n">
        <v>0.015</v>
      </c>
      <c r="S41" s="11" t="n">
        <v>0</v>
      </c>
      <c r="T41" s="10"/>
      <c r="U41" s="10"/>
      <c r="V41" s="10"/>
      <c r="W41" s="10"/>
      <c r="X41" s="11" t="n">
        <v>0</v>
      </c>
      <c r="Y41" s="11" t="n">
        <v>0.015</v>
      </c>
      <c r="Z41" s="3" t="s">
        <v>183</v>
      </c>
      <c r="AA41" s="10"/>
      <c r="AB41" s="10"/>
      <c r="AC41" s="10"/>
      <c r="AD41" s="10"/>
      <c r="AE41" s="10"/>
      <c r="AF41" s="10"/>
      <c r="AG41" s="10"/>
      <c r="AH41" s="9" t="s">
        <v>184</v>
      </c>
      <c r="AI41" s="3"/>
    </row>
    <row r="42" customFormat="false" ht="60" hidden="false" customHeight="true" outlineLevel="0" collapsed="false">
      <c r="A42" s="3" t="n">
        <v>41</v>
      </c>
      <c r="B42" s="3" t="n">
        <v>43</v>
      </c>
      <c r="C42" s="9" t="s">
        <v>193</v>
      </c>
      <c r="D42" s="3" t="s">
        <v>29</v>
      </c>
      <c r="E42" s="9" t="s">
        <v>194</v>
      </c>
      <c r="F42" s="10"/>
      <c r="G42" s="10"/>
      <c r="H42" s="10"/>
      <c r="I42" s="10"/>
      <c r="J42" s="10"/>
      <c r="K42" s="9" t="s">
        <v>93</v>
      </c>
      <c r="L42" s="9" t="s">
        <v>94</v>
      </c>
      <c r="M42" s="9" t="s">
        <v>195</v>
      </c>
      <c r="N42" s="10"/>
      <c r="O42" s="10"/>
      <c r="P42" s="9" t="s">
        <v>123</v>
      </c>
      <c r="Q42" s="11" t="n">
        <v>0.005</v>
      </c>
      <c r="R42" s="11" t="n">
        <v>0.005</v>
      </c>
      <c r="S42" s="11" t="n">
        <v>0</v>
      </c>
      <c r="T42" s="10"/>
      <c r="U42" s="10"/>
      <c r="V42" s="10"/>
      <c r="W42" s="10"/>
      <c r="X42" s="11" t="n">
        <v>0.0083</v>
      </c>
      <c r="Y42" s="11" t="n">
        <v>0.005</v>
      </c>
      <c r="Z42" s="3" t="s">
        <v>95</v>
      </c>
      <c r="AA42" s="10"/>
      <c r="AB42" s="10"/>
      <c r="AC42" s="10"/>
      <c r="AD42" s="10"/>
      <c r="AE42" s="10"/>
      <c r="AF42" s="10"/>
      <c r="AG42" s="10"/>
      <c r="AH42" s="9" t="s">
        <v>196</v>
      </c>
      <c r="AI42" s="3" t="s">
        <v>168</v>
      </c>
    </row>
    <row r="43" customFormat="false" ht="60" hidden="false" customHeight="true" outlineLevel="0" collapsed="false">
      <c r="A43" s="3" t="n">
        <v>42</v>
      </c>
      <c r="B43" s="3" t="n">
        <v>44</v>
      </c>
      <c r="C43" s="9" t="s">
        <v>197</v>
      </c>
      <c r="D43" s="3" t="s">
        <v>29</v>
      </c>
      <c r="E43" s="9" t="s">
        <v>198</v>
      </c>
      <c r="F43" s="10"/>
      <c r="G43" s="10"/>
      <c r="H43" s="10"/>
      <c r="I43" s="10"/>
      <c r="J43" s="10"/>
      <c r="K43" s="9" t="s">
        <v>93</v>
      </c>
      <c r="L43" s="9" t="s">
        <v>94</v>
      </c>
      <c r="M43" s="9" t="s">
        <v>199</v>
      </c>
      <c r="N43" s="10"/>
      <c r="O43" s="10"/>
      <c r="P43" s="9" t="s">
        <v>86</v>
      </c>
      <c r="Q43" s="11" t="n">
        <v>0.04</v>
      </c>
      <c r="R43" s="11" t="n">
        <v>0.04</v>
      </c>
      <c r="S43" s="11" t="n">
        <v>0</v>
      </c>
      <c r="T43" s="10"/>
      <c r="U43" s="10"/>
      <c r="V43" s="10"/>
      <c r="W43" s="10"/>
      <c r="X43" s="11" t="n">
        <v>0.03</v>
      </c>
      <c r="Y43" s="11" t="n">
        <v>0.01</v>
      </c>
      <c r="Z43" s="3" t="s">
        <v>95</v>
      </c>
      <c r="AA43" s="10"/>
      <c r="AB43" s="10"/>
      <c r="AC43" s="10"/>
      <c r="AD43" s="10"/>
      <c r="AE43" s="10"/>
      <c r="AF43" s="10"/>
      <c r="AG43" s="10"/>
      <c r="AH43" s="9" t="s">
        <v>88</v>
      </c>
      <c r="AI43" s="3"/>
    </row>
    <row r="44" customFormat="false" ht="60" hidden="false" customHeight="true" outlineLevel="0" collapsed="false">
      <c r="A44" s="3" t="n">
        <v>43</v>
      </c>
      <c r="B44" s="3" t="n">
        <v>45</v>
      </c>
      <c r="C44" s="9" t="s">
        <v>200</v>
      </c>
      <c r="D44" s="3" t="s">
        <v>41</v>
      </c>
      <c r="E44" s="9" t="s">
        <v>201</v>
      </c>
      <c r="F44" s="10"/>
      <c r="G44" s="10"/>
      <c r="H44" s="10"/>
      <c r="I44" s="10"/>
      <c r="J44" s="10"/>
      <c r="K44" s="9" t="s">
        <v>93</v>
      </c>
      <c r="L44" s="9" t="s">
        <v>94</v>
      </c>
      <c r="M44" s="9" t="s">
        <v>202</v>
      </c>
      <c r="N44" s="10"/>
      <c r="O44" s="10"/>
      <c r="P44" s="9" t="s">
        <v>86</v>
      </c>
      <c r="Q44" s="11" t="n">
        <v>0.005</v>
      </c>
      <c r="R44" s="11" t="n">
        <v>0.005</v>
      </c>
      <c r="S44" s="11" t="n">
        <v>0</v>
      </c>
      <c r="T44" s="10"/>
      <c r="U44" s="10"/>
      <c r="V44" s="10"/>
      <c r="W44" s="10"/>
      <c r="X44" s="11" t="n">
        <v>0.055</v>
      </c>
      <c r="Y44" s="11" t="n">
        <v>0</v>
      </c>
      <c r="Z44" s="3" t="s">
        <v>95</v>
      </c>
      <c r="AA44" s="10"/>
      <c r="AB44" s="10"/>
      <c r="AC44" s="10"/>
      <c r="AD44" s="10"/>
      <c r="AE44" s="10"/>
      <c r="AF44" s="10"/>
      <c r="AG44" s="10"/>
      <c r="AH44" s="3"/>
      <c r="AI44" s="3"/>
    </row>
    <row r="45" customFormat="false" ht="60" hidden="false" customHeight="true" outlineLevel="0" collapsed="false">
      <c r="A45" s="3" t="n">
        <v>44</v>
      </c>
      <c r="B45" s="3" t="n">
        <v>46</v>
      </c>
      <c r="C45" s="9" t="s">
        <v>203</v>
      </c>
      <c r="D45" s="3" t="s">
        <v>43</v>
      </c>
      <c r="E45" s="9" t="s">
        <v>204</v>
      </c>
      <c r="F45" s="10"/>
      <c r="G45" s="10"/>
      <c r="H45" s="10"/>
      <c r="I45" s="10"/>
      <c r="J45" s="10"/>
      <c r="K45" s="9" t="s">
        <v>93</v>
      </c>
      <c r="L45" s="9" t="s">
        <v>94</v>
      </c>
      <c r="M45" s="9" t="s">
        <v>151</v>
      </c>
      <c r="N45" s="10"/>
      <c r="O45" s="10"/>
      <c r="P45" s="9" t="s">
        <v>86</v>
      </c>
      <c r="Q45" s="11" t="n">
        <v>0</v>
      </c>
      <c r="R45" s="11" t="n">
        <v>0</v>
      </c>
      <c r="S45" s="11" t="n">
        <v>0</v>
      </c>
      <c r="T45" s="10"/>
      <c r="U45" s="10"/>
      <c r="V45" s="10"/>
      <c r="W45" s="10"/>
      <c r="X45" s="11" t="n">
        <v>0.055</v>
      </c>
      <c r="Y45" s="11" t="n">
        <v>0</v>
      </c>
      <c r="Z45" s="3" t="s">
        <v>95</v>
      </c>
      <c r="AA45" s="10"/>
      <c r="AB45" s="10"/>
      <c r="AC45" s="10"/>
      <c r="AD45" s="10"/>
      <c r="AE45" s="10"/>
      <c r="AF45" s="10"/>
      <c r="AG45" s="10"/>
      <c r="AH45" s="9" t="s">
        <v>205</v>
      </c>
      <c r="AI45" s="3"/>
    </row>
    <row r="46" customFormat="false" ht="60" hidden="false" customHeight="true" outlineLevel="0" collapsed="false">
      <c r="A46" s="3" t="n">
        <v>45</v>
      </c>
      <c r="B46" s="3" t="n">
        <v>47</v>
      </c>
      <c r="C46" s="9" t="s">
        <v>206</v>
      </c>
      <c r="D46" s="3" t="s">
        <v>43</v>
      </c>
      <c r="E46" s="9" t="s">
        <v>207</v>
      </c>
      <c r="F46" s="10"/>
      <c r="G46" s="10"/>
      <c r="H46" s="10"/>
      <c r="I46" s="10"/>
      <c r="J46" s="10"/>
      <c r="K46" s="9" t="s">
        <v>93</v>
      </c>
      <c r="L46" s="9" t="s">
        <v>94</v>
      </c>
      <c r="M46" s="9" t="s">
        <v>208</v>
      </c>
      <c r="N46" s="10"/>
      <c r="O46" s="10"/>
      <c r="P46" s="9" t="s">
        <v>86</v>
      </c>
      <c r="Q46" s="11" t="n">
        <v>0</v>
      </c>
      <c r="R46" s="11" t="n">
        <v>0</v>
      </c>
      <c r="S46" s="11" t="n">
        <v>0</v>
      </c>
      <c r="T46" s="10"/>
      <c r="U46" s="10"/>
      <c r="V46" s="10"/>
      <c r="W46" s="10"/>
      <c r="X46" s="11" t="n">
        <v>0.004</v>
      </c>
      <c r="Y46" s="11" t="n">
        <v>0</v>
      </c>
      <c r="Z46" s="3" t="s">
        <v>95</v>
      </c>
      <c r="AA46" s="10"/>
      <c r="AB46" s="10"/>
      <c r="AC46" s="10"/>
      <c r="AD46" s="10"/>
      <c r="AE46" s="10"/>
      <c r="AF46" s="10"/>
      <c r="AG46" s="10"/>
      <c r="AH46" s="9" t="s">
        <v>205</v>
      </c>
      <c r="AI46" s="3"/>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1" style="0" width="34"/>
    <col collapsed="false" customWidth="true" hidden="false" outlineLevel="0" max="3" min="3" style="0" width="22"/>
    <col collapsed="false" customWidth="true" hidden="false" outlineLevel="0" max="4" min="4" style="0" width="18"/>
    <col collapsed="false" customWidth="true" hidden="false" outlineLevel="0" max="5" min="5" style="0" width="48"/>
  </cols>
  <sheetData>
    <row r="1" customFormat="false" ht="16.15" hidden="false" customHeight="false" outlineLevel="0" collapsed="false">
      <c r="A1" s="1" t="s">
        <v>209</v>
      </c>
    </row>
    <row r="2" customFormat="false" ht="15" hidden="false" customHeight="false" outlineLevel="0" collapsed="false">
      <c r="A2" s="12" t="s">
        <v>210</v>
      </c>
      <c r="B2" s="13" t="s">
        <v>211</v>
      </c>
    </row>
    <row r="3" customFormat="false" ht="30" hidden="false" customHeight="true" outlineLevel="0" collapsed="false">
      <c r="A3" s="12" t="s">
        <v>212</v>
      </c>
      <c r="B3" s="14" t="s">
        <v>213</v>
      </c>
    </row>
    <row r="5" customFormat="false" ht="15" hidden="false" customHeight="false" outlineLevel="0" collapsed="false">
      <c r="A5" s="15" t="s">
        <v>214</v>
      </c>
    </row>
    <row r="6" customFormat="false" ht="15" hidden="false" customHeight="false" outlineLevel="0" collapsed="false">
      <c r="A6" s="16" t="s">
        <v>215</v>
      </c>
      <c r="B6" s="16" t="s">
        <v>216</v>
      </c>
      <c r="C6" s="16" t="s">
        <v>217</v>
      </c>
      <c r="D6" s="16" t="s">
        <v>218</v>
      </c>
      <c r="E6" s="16" t="s">
        <v>219</v>
      </c>
    </row>
    <row r="7" customFormat="false" ht="30" hidden="false" customHeight="true" outlineLevel="0" collapsed="false">
      <c r="A7" s="3" t="s">
        <v>220</v>
      </c>
      <c r="B7" s="3" t="s">
        <v>221</v>
      </c>
      <c r="C7" s="9" t="s">
        <v>81</v>
      </c>
      <c r="D7" s="3" t="s">
        <v>222</v>
      </c>
      <c r="E7" s="17" t="s">
        <v>223</v>
      </c>
    </row>
    <row r="8" customFormat="false" ht="30" hidden="false" customHeight="true" outlineLevel="0" collapsed="false">
      <c r="A8" s="3" t="s">
        <v>224</v>
      </c>
      <c r="B8" s="3" t="s">
        <v>225</v>
      </c>
      <c r="C8" s="10"/>
      <c r="D8" s="3" t="s">
        <v>226</v>
      </c>
      <c r="E8" s="17" t="s">
        <v>227</v>
      </c>
    </row>
    <row r="9" customFormat="false" ht="30" hidden="false" customHeight="true" outlineLevel="0" collapsed="false">
      <c r="A9" s="3" t="s">
        <v>228</v>
      </c>
      <c r="B9" s="3" t="s">
        <v>229</v>
      </c>
      <c r="C9" s="10"/>
      <c r="D9" s="3" t="s">
        <v>226</v>
      </c>
      <c r="E9" s="17" t="s">
        <v>230</v>
      </c>
    </row>
    <row r="10" customFormat="false" ht="30" hidden="false" customHeight="true" outlineLevel="0" collapsed="false">
      <c r="A10" s="3" t="s">
        <v>231</v>
      </c>
      <c r="B10" s="3" t="s">
        <v>232</v>
      </c>
      <c r="C10" s="10"/>
      <c r="D10" s="3" t="s">
        <v>226</v>
      </c>
      <c r="E10" s="17" t="s">
        <v>233</v>
      </c>
    </row>
    <row r="11" customFormat="false" ht="15.75" hidden="false" customHeight="true" outlineLevel="0" collapsed="false">
      <c r="A11" s="3" t="s">
        <v>234</v>
      </c>
      <c r="B11" s="3" t="s">
        <v>235</v>
      </c>
      <c r="C11" s="9" t="s">
        <v>236</v>
      </c>
      <c r="D11" s="3" t="s">
        <v>222</v>
      </c>
      <c r="E11" s="17" t="s">
        <v>237</v>
      </c>
    </row>
    <row r="12" customFormat="false" ht="30" hidden="false" customHeight="true" outlineLevel="0" collapsed="false">
      <c r="A12" s="3" t="s">
        <v>238</v>
      </c>
      <c r="B12" s="3" t="s">
        <v>239</v>
      </c>
      <c r="C12" s="9" t="s">
        <v>240</v>
      </c>
      <c r="D12" s="3" t="s">
        <v>222</v>
      </c>
      <c r="E12" s="17" t="s">
        <v>241</v>
      </c>
    </row>
    <row r="13" customFormat="false" ht="15.75" hidden="false" customHeight="true" outlineLevel="0" collapsed="false">
      <c r="A13" s="3" t="s">
        <v>242</v>
      </c>
      <c r="B13" s="3" t="s">
        <v>243</v>
      </c>
      <c r="C13" s="9" t="s">
        <v>83</v>
      </c>
      <c r="D13" s="3" t="s">
        <v>222</v>
      </c>
      <c r="E13" s="17"/>
    </row>
    <row r="14" customFormat="false" ht="30" hidden="false" customHeight="true" outlineLevel="0" collapsed="false">
      <c r="A14" s="3" t="s">
        <v>244</v>
      </c>
      <c r="B14" s="3" t="s">
        <v>245</v>
      </c>
      <c r="C14" s="9" t="s">
        <v>84</v>
      </c>
      <c r="D14" s="3" t="s">
        <v>222</v>
      </c>
      <c r="E14" s="17" t="s">
        <v>246</v>
      </c>
    </row>
    <row r="15" customFormat="false" ht="15.75" hidden="false" customHeight="true" outlineLevel="0" collapsed="false">
      <c r="A15" s="3" t="s">
        <v>247</v>
      </c>
      <c r="B15" s="3" t="s">
        <v>248</v>
      </c>
      <c r="C15" s="9" t="s">
        <v>85</v>
      </c>
      <c r="D15" s="3" t="s">
        <v>222</v>
      </c>
      <c r="E15" s="17" t="s">
        <v>249</v>
      </c>
    </row>
    <row r="16" customFormat="false" ht="30" hidden="false" customHeight="true" outlineLevel="0" collapsed="false">
      <c r="A16" s="3" t="s">
        <v>250</v>
      </c>
      <c r="B16" s="3" t="s">
        <v>251</v>
      </c>
      <c r="C16" s="9" t="s">
        <v>252</v>
      </c>
      <c r="D16" s="3" t="s">
        <v>222</v>
      </c>
      <c r="E16" s="17" t="s">
        <v>253</v>
      </c>
    </row>
    <row r="17" customFormat="false" ht="30" hidden="false" customHeight="true" outlineLevel="0" collapsed="false">
      <c r="A17" s="3" t="s">
        <v>254</v>
      </c>
      <c r="B17" s="3" t="s">
        <v>255</v>
      </c>
      <c r="C17" s="9" t="s">
        <v>256</v>
      </c>
      <c r="D17" s="3" t="s">
        <v>222</v>
      </c>
      <c r="E17" s="17" t="s">
        <v>257</v>
      </c>
    </row>
    <row r="18" customFormat="false" ht="15.75" hidden="false" customHeight="true" outlineLevel="0" collapsed="false">
      <c r="A18" s="3" t="s">
        <v>258</v>
      </c>
      <c r="B18" s="3" t="s">
        <v>259</v>
      </c>
      <c r="C18" s="9" t="s">
        <v>86</v>
      </c>
      <c r="D18" s="3" t="s">
        <v>222</v>
      </c>
      <c r="E18" s="17" t="s">
        <v>260</v>
      </c>
    </row>
    <row r="19" customFormat="false" ht="15.75" hidden="false" customHeight="true" outlineLevel="0" collapsed="false">
      <c r="A19" s="3" t="s">
        <v>261</v>
      </c>
      <c r="B19" s="3" t="s">
        <v>262</v>
      </c>
      <c r="C19" s="11" t="n">
        <v>0.01</v>
      </c>
      <c r="D19" s="3" t="s">
        <v>222</v>
      </c>
      <c r="E19" s="17" t="s">
        <v>263</v>
      </c>
    </row>
    <row r="20" customFormat="false" ht="15.75" hidden="false" customHeight="true" outlineLevel="0" collapsed="false">
      <c r="A20" s="3" t="s">
        <v>264</v>
      </c>
      <c r="B20" s="3" t="s">
        <v>265</v>
      </c>
      <c r="C20" s="11" t="n">
        <v>0.01</v>
      </c>
      <c r="D20" s="3" t="s">
        <v>222</v>
      </c>
      <c r="E20" s="17"/>
    </row>
    <row r="21" customFormat="false" ht="30" hidden="false" customHeight="true" outlineLevel="0" collapsed="false">
      <c r="A21" s="3" t="s">
        <v>266</v>
      </c>
      <c r="B21" s="3" t="s">
        <v>267</v>
      </c>
      <c r="C21" s="11" t="n">
        <v>0</v>
      </c>
      <c r="D21" s="3" t="s">
        <v>222</v>
      </c>
      <c r="E21" s="17" t="s">
        <v>268</v>
      </c>
    </row>
    <row r="22" customFormat="false" ht="15.75" hidden="false" customHeight="true" outlineLevel="0" collapsed="false">
      <c r="A22" s="3" t="s">
        <v>269</v>
      </c>
      <c r="B22" s="3" t="s">
        <v>270</v>
      </c>
      <c r="C22" s="10"/>
      <c r="D22" s="3" t="s">
        <v>226</v>
      </c>
      <c r="E22" s="17" t="s">
        <v>271</v>
      </c>
    </row>
    <row r="23" customFormat="false" ht="15.75" hidden="false" customHeight="true" outlineLevel="0" collapsed="false">
      <c r="A23" s="3" t="s">
        <v>272</v>
      </c>
      <c r="B23" s="3" t="s">
        <v>273</v>
      </c>
      <c r="C23" s="10"/>
      <c r="D23" s="3" t="s">
        <v>226</v>
      </c>
      <c r="E23" s="17" t="s">
        <v>271</v>
      </c>
    </row>
    <row r="24" customFormat="false" ht="15.75" hidden="false" customHeight="true" outlineLevel="0" collapsed="false">
      <c r="A24" s="3" t="s">
        <v>274</v>
      </c>
      <c r="B24" s="3" t="s">
        <v>275</v>
      </c>
      <c r="C24" s="10"/>
      <c r="D24" s="3" t="s">
        <v>226</v>
      </c>
      <c r="E24" s="17" t="s">
        <v>276</v>
      </c>
    </row>
    <row r="25" customFormat="false" ht="30" hidden="false" customHeight="true" outlineLevel="0" collapsed="false">
      <c r="A25" s="3" t="s">
        <v>277</v>
      </c>
      <c r="B25" s="3" t="s">
        <v>278</v>
      </c>
      <c r="C25" s="10"/>
      <c r="D25" s="3" t="s">
        <v>279</v>
      </c>
      <c r="E25" s="17" t="s">
        <v>280</v>
      </c>
    </row>
    <row r="26" customFormat="false" ht="15.75" hidden="false" customHeight="true" outlineLevel="0" collapsed="false">
      <c r="A26" s="3" t="s">
        <v>281</v>
      </c>
      <c r="B26" s="3" t="s">
        <v>282</v>
      </c>
      <c r="C26" s="9" t="s">
        <v>283</v>
      </c>
      <c r="D26" s="3" t="s">
        <v>80</v>
      </c>
      <c r="E26" s="17" t="s">
        <v>284</v>
      </c>
    </row>
    <row r="27" customFormat="false" ht="15.75" hidden="false" customHeight="true" outlineLevel="0" collapsed="false">
      <c r="A27" s="3" t="s">
        <v>285</v>
      </c>
      <c r="B27" s="3" t="s">
        <v>286</v>
      </c>
      <c r="C27" s="11" t="n">
        <v>0.4</v>
      </c>
      <c r="D27" s="3" t="s">
        <v>287</v>
      </c>
      <c r="E27" s="17" t="s">
        <v>288</v>
      </c>
    </row>
    <row r="28" customFormat="false" ht="15.75" hidden="false" customHeight="true" outlineLevel="0" collapsed="false">
      <c r="A28" s="3" t="s">
        <v>289</v>
      </c>
      <c r="B28" s="3" t="s">
        <v>290</v>
      </c>
      <c r="C28" s="9"/>
      <c r="D28" s="3" t="s">
        <v>279</v>
      </c>
      <c r="E28" s="17" t="s">
        <v>291</v>
      </c>
    </row>
    <row r="29" customFormat="false" ht="30" hidden="false" customHeight="true" outlineLevel="0" collapsed="false">
      <c r="A29" s="3" t="s">
        <v>292</v>
      </c>
      <c r="B29" s="3" t="s">
        <v>293</v>
      </c>
      <c r="C29" s="9" t="s">
        <v>294</v>
      </c>
      <c r="D29" s="3" t="s">
        <v>222</v>
      </c>
      <c r="E29" s="17" t="s">
        <v>295</v>
      </c>
    </row>
    <row r="30" customFormat="false" ht="15.75" hidden="false" customHeight="true" outlineLevel="0" collapsed="false">
      <c r="A30" s="3" t="s">
        <v>296</v>
      </c>
      <c r="B30" s="3" t="s">
        <v>297</v>
      </c>
      <c r="C30" s="10"/>
      <c r="D30" s="3" t="s">
        <v>226</v>
      </c>
      <c r="E30" s="17"/>
    </row>
    <row r="31" customFormat="false" ht="15.75" hidden="false" customHeight="true" outlineLevel="0" collapsed="false">
      <c r="A31" s="3" t="s">
        <v>298</v>
      </c>
      <c r="B31" s="3" t="s">
        <v>299</v>
      </c>
      <c r="C31" s="10"/>
      <c r="D31" s="3" t="s">
        <v>226</v>
      </c>
      <c r="E31" s="17" t="s">
        <v>300</v>
      </c>
    </row>
    <row r="32" customFormat="false" ht="30" hidden="false" customHeight="true" outlineLevel="0" collapsed="false">
      <c r="A32" s="3" t="s">
        <v>301</v>
      </c>
      <c r="B32" s="3" t="s">
        <v>302</v>
      </c>
      <c r="C32" s="10"/>
      <c r="D32" s="3" t="s">
        <v>226</v>
      </c>
      <c r="E32" s="17" t="s">
        <v>303</v>
      </c>
    </row>
    <row r="34" customFormat="false" ht="15" hidden="false" customHeight="false" outlineLevel="0" collapsed="false">
      <c r="A34" s="15" t="s">
        <v>304</v>
      </c>
    </row>
    <row r="35" customFormat="false" ht="15" hidden="false" customHeight="false" outlineLevel="0" collapsed="false">
      <c r="A35" s="16" t="s">
        <v>305</v>
      </c>
      <c r="B35" s="16" t="s">
        <v>306</v>
      </c>
      <c r="C35" s="16" t="s">
        <v>217</v>
      </c>
      <c r="D35" s="16" t="s">
        <v>307</v>
      </c>
      <c r="E35" s="16" t="s">
        <v>308</v>
      </c>
    </row>
    <row r="36" customFormat="false" ht="15" hidden="false" customHeight="false" outlineLevel="0" collapsed="false">
      <c r="A36" s="3" t="s">
        <v>309</v>
      </c>
      <c r="B36" s="18" t="s">
        <v>310</v>
      </c>
      <c r="C36" s="19" t="n">
        <v>661060</v>
      </c>
      <c r="D36" s="18" t="s">
        <v>311</v>
      </c>
      <c r="E36" s="17" t="s">
        <v>312</v>
      </c>
    </row>
    <row r="37" customFormat="false" ht="15" hidden="false" customHeight="false" outlineLevel="0" collapsed="false">
      <c r="A37" s="3" t="s">
        <v>313</v>
      </c>
      <c r="B37" s="18" t="s">
        <v>314</v>
      </c>
      <c r="C37" s="7" t="s">
        <v>315</v>
      </c>
      <c r="D37" s="18" t="s">
        <v>316</v>
      </c>
      <c r="E37" s="17"/>
    </row>
    <row r="38" customFormat="false" ht="15" hidden="false" customHeight="false" outlineLevel="0" collapsed="false">
      <c r="A38" s="3" t="s">
        <v>317</v>
      </c>
      <c r="B38" s="18" t="s">
        <v>318</v>
      </c>
      <c r="C38" s="7" t="s">
        <v>319</v>
      </c>
      <c r="D38" s="18" t="s">
        <v>316</v>
      </c>
      <c r="E38" s="17"/>
    </row>
    <row r="39" customFormat="false" ht="15" hidden="false" customHeight="false" outlineLevel="0" collapsed="false">
      <c r="A39" s="3" t="s">
        <v>320</v>
      </c>
      <c r="B39" s="18" t="s">
        <v>321</v>
      </c>
      <c r="C39" s="7" t="s">
        <v>322</v>
      </c>
      <c r="D39" s="18" t="s">
        <v>316</v>
      </c>
      <c r="E39" s="17" t="s">
        <v>323</v>
      </c>
    </row>
    <row r="40" customFormat="false" ht="15" hidden="false" customHeight="false" outlineLevel="0" collapsed="false">
      <c r="A40" s="3" t="s">
        <v>324</v>
      </c>
      <c r="B40" s="18" t="s">
        <v>325</v>
      </c>
      <c r="C40" s="20" t="n">
        <v>0.857097</v>
      </c>
      <c r="D40" s="18" t="s">
        <v>326</v>
      </c>
      <c r="E40" s="17" t="s">
        <v>327</v>
      </c>
    </row>
    <row r="41" customFormat="false" ht="22.35" hidden="false" customHeight="false" outlineLevel="0" collapsed="false">
      <c r="A41" s="3" t="s">
        <v>328</v>
      </c>
      <c r="B41" s="18" t="s">
        <v>329</v>
      </c>
      <c r="C41" s="21"/>
      <c r="D41" s="18" t="s">
        <v>326</v>
      </c>
      <c r="E41" s="17" t="s">
        <v>330</v>
      </c>
    </row>
    <row r="42" customFormat="false" ht="22.35" hidden="false" customHeight="false" outlineLevel="0" collapsed="false">
      <c r="A42" s="3" t="s">
        <v>331</v>
      </c>
      <c r="B42" s="18" t="s">
        <v>332</v>
      </c>
      <c r="C42" s="22" t="n">
        <v>0.01</v>
      </c>
      <c r="D42" s="18" t="s">
        <v>333</v>
      </c>
      <c r="E42" s="17" t="s">
        <v>334</v>
      </c>
    </row>
    <row r="43" customFormat="false" ht="15" hidden="false" customHeight="false" outlineLevel="0" collapsed="false">
      <c r="A43" s="3" t="s">
        <v>335</v>
      </c>
      <c r="B43" s="18" t="s">
        <v>336</v>
      </c>
      <c r="C43" s="22" t="n">
        <v>0.01</v>
      </c>
      <c r="D43" s="18" t="s">
        <v>333</v>
      </c>
      <c r="E43" s="17" t="s">
        <v>262</v>
      </c>
    </row>
    <row r="44" customFormat="false" ht="15" hidden="false" customHeight="false" outlineLevel="0" collapsed="false">
      <c r="A44" s="3" t="s">
        <v>337</v>
      </c>
      <c r="B44" s="18" t="s">
        <v>338</v>
      </c>
      <c r="C44" s="22" t="n">
        <v>0.01</v>
      </c>
      <c r="D44" s="18" t="s">
        <v>333</v>
      </c>
      <c r="E44" s="17" t="s">
        <v>265</v>
      </c>
    </row>
    <row r="45" customFormat="false" ht="15" hidden="false" customHeight="false" outlineLevel="0" collapsed="false">
      <c r="A45" s="3" t="s">
        <v>339</v>
      </c>
      <c r="B45" s="18" t="s">
        <v>340</v>
      </c>
      <c r="C45" s="22" t="n">
        <v>0</v>
      </c>
      <c r="D45" s="18" t="s">
        <v>333</v>
      </c>
      <c r="E45" s="17" t="s">
        <v>267</v>
      </c>
    </row>
    <row r="46" customFormat="false" ht="15" hidden="false" customHeight="false" outlineLevel="0" collapsed="false">
      <c r="A46" s="3" t="s">
        <v>254</v>
      </c>
      <c r="B46" s="18" t="s">
        <v>341</v>
      </c>
      <c r="C46" s="7" t="s">
        <v>256</v>
      </c>
      <c r="D46" s="18" t="s">
        <v>316</v>
      </c>
      <c r="E46" s="17" t="s">
        <v>342</v>
      </c>
    </row>
    <row r="47" customFormat="false" ht="15" hidden="false" customHeight="false" outlineLevel="0" collapsed="false">
      <c r="A47" s="3" t="s">
        <v>244</v>
      </c>
      <c r="B47" s="18" t="s">
        <v>343</v>
      </c>
      <c r="C47" s="7" t="s">
        <v>84</v>
      </c>
      <c r="D47" s="18" t="s">
        <v>316</v>
      </c>
      <c r="E47" s="17" t="s">
        <v>344</v>
      </c>
    </row>
    <row r="48" customFormat="false" ht="15" hidden="false" customHeight="false" outlineLevel="0" collapsed="false">
      <c r="A48" s="3" t="s">
        <v>250</v>
      </c>
      <c r="B48" s="18" t="s">
        <v>345</v>
      </c>
      <c r="C48" s="7" t="s">
        <v>252</v>
      </c>
      <c r="D48" s="18" t="s">
        <v>316</v>
      </c>
      <c r="E48" s="17" t="s">
        <v>346</v>
      </c>
    </row>
    <row r="49" customFormat="false" ht="15" hidden="false" customHeight="false" outlineLevel="0" collapsed="false">
      <c r="A49" s="3" t="s">
        <v>347</v>
      </c>
      <c r="B49" s="18" t="s">
        <v>348</v>
      </c>
      <c r="C49" s="7" t="s">
        <v>349</v>
      </c>
      <c r="D49" s="18" t="s">
        <v>316</v>
      </c>
      <c r="E49" s="17" t="s">
        <v>350</v>
      </c>
    </row>
    <row r="50" customFormat="false" ht="15" hidden="false" customHeight="false" outlineLevel="0" collapsed="false">
      <c r="A50" s="3" t="s">
        <v>351</v>
      </c>
      <c r="B50" s="18" t="s">
        <v>352</v>
      </c>
      <c r="C50" s="19" t="n">
        <v>1</v>
      </c>
      <c r="D50" s="18" t="s">
        <v>311</v>
      </c>
      <c r="E50" s="17" t="s">
        <v>353</v>
      </c>
    </row>
    <row r="51" customFormat="false" ht="15" hidden="false" customHeight="false" outlineLevel="0" collapsed="false">
      <c r="A51" s="3" t="s">
        <v>354</v>
      </c>
      <c r="B51" s="18" t="s">
        <v>355</v>
      </c>
      <c r="C51" s="22" t="n">
        <v>0.003</v>
      </c>
      <c r="D51" s="18" t="s">
        <v>333</v>
      </c>
      <c r="E51" s="17" t="s">
        <v>275</v>
      </c>
    </row>
    <row r="52" customFormat="false" ht="15" hidden="false" customHeight="false" outlineLevel="0" collapsed="false">
      <c r="A52" s="3" t="s">
        <v>356</v>
      </c>
      <c r="B52" s="18" t="s">
        <v>357</v>
      </c>
      <c r="C52" s="23"/>
      <c r="D52" s="18" t="s">
        <v>333</v>
      </c>
      <c r="E52" s="17" t="s">
        <v>358</v>
      </c>
    </row>
    <row r="53" customFormat="false" ht="15" hidden="false" customHeight="false" outlineLevel="0" collapsed="false">
      <c r="A53" s="3" t="s">
        <v>281</v>
      </c>
      <c r="B53" s="18" t="s">
        <v>359</v>
      </c>
      <c r="C53" s="7" t="s">
        <v>360</v>
      </c>
      <c r="D53" s="18" t="s">
        <v>316</v>
      </c>
      <c r="E53" s="17" t="s">
        <v>361</v>
      </c>
    </row>
    <row r="54" customFormat="false" ht="15" hidden="false" customHeight="false" outlineLevel="0" collapsed="false">
      <c r="A54" s="3" t="s">
        <v>285</v>
      </c>
      <c r="B54" s="18" t="s">
        <v>360</v>
      </c>
      <c r="C54" s="22" t="n">
        <v>0.4</v>
      </c>
      <c r="D54" s="18" t="s">
        <v>333</v>
      </c>
      <c r="E54" s="17" t="s">
        <v>362</v>
      </c>
    </row>
    <row r="55" customFormat="false" ht="15" hidden="false" customHeight="false" outlineLevel="0" collapsed="false">
      <c r="A55" s="3" t="s">
        <v>363</v>
      </c>
      <c r="B55" s="18" t="s">
        <v>364</v>
      </c>
      <c r="C55" s="22" t="n">
        <v>0</v>
      </c>
      <c r="D55" s="18" t="s">
        <v>333</v>
      </c>
      <c r="E55" s="17" t="s">
        <v>365</v>
      </c>
    </row>
    <row r="57" customFormat="false" ht="15" hidden="false" customHeight="false" outlineLevel="0" collapsed="false">
      <c r="A57" s="15" t="s">
        <v>366</v>
      </c>
    </row>
    <row r="58" customFormat="false" ht="15" hidden="false" customHeight="false" outlineLevel="0" collapsed="false">
      <c r="A58" s="16" t="s">
        <v>367</v>
      </c>
      <c r="B58" s="16" t="s">
        <v>368</v>
      </c>
      <c r="C58" s="16" t="s">
        <v>217</v>
      </c>
      <c r="D58" s="16"/>
      <c r="E58" s="16" t="s">
        <v>369</v>
      </c>
    </row>
    <row r="59" customFormat="false" ht="22.35" hidden="false" customHeight="false" outlineLevel="0" collapsed="false">
      <c r="A59" s="3" t="s">
        <v>370</v>
      </c>
      <c r="B59" s="17" t="s">
        <v>371</v>
      </c>
      <c r="C59" s="24" t="n">
        <f aca="false">IF($C$46="market",$C$40,$C$41)</f>
        <v>0.857097</v>
      </c>
      <c r="E59" s="17" t="s">
        <v>372</v>
      </c>
    </row>
    <row r="60" customFormat="false" ht="32.8" hidden="false" customHeight="false" outlineLevel="0" collapsed="false">
      <c r="A60" s="3" t="s">
        <v>373</v>
      </c>
      <c r="B60" s="17" t="s">
        <v>374</v>
      </c>
      <c r="C60" s="24" t="n">
        <f aca="false">IF($C$48="in_per_out",$C$59/(1+$C$44),$C$59*(1-$C$44))</f>
        <v>0.84852603</v>
      </c>
      <c r="E60" s="17" t="s">
        <v>375</v>
      </c>
    </row>
    <row r="61" customFormat="false" ht="23.85" hidden="false" customHeight="false" outlineLevel="0" collapsed="false">
      <c r="A61" s="3" t="s">
        <v>376</v>
      </c>
      <c r="B61" s="17" t="s">
        <v>377</v>
      </c>
      <c r="C61" s="25" t="n">
        <f aca="false">$C$36*$C$60</f>
        <v>560926.6173918</v>
      </c>
      <c r="E61" s="17" t="s">
        <v>378</v>
      </c>
    </row>
    <row r="62" customFormat="false" ht="15" hidden="false" customHeight="false" outlineLevel="0" collapsed="false">
      <c r="A62" s="3" t="s">
        <v>379</v>
      </c>
      <c r="B62" s="17" t="s">
        <v>380</v>
      </c>
      <c r="C62" s="25" t="n">
        <f aca="false">$C$61*$C$45</f>
        <v>0</v>
      </c>
      <c r="E62" s="17" t="s">
        <v>378</v>
      </c>
    </row>
    <row r="63" customFormat="false" ht="15" hidden="false" customHeight="false" outlineLevel="0" collapsed="false">
      <c r="A63" s="3" t="s">
        <v>381</v>
      </c>
      <c r="B63" s="17" t="s">
        <v>382</v>
      </c>
      <c r="C63" s="25" t="n">
        <f aca="false">$C$61-$C$62</f>
        <v>560926.6173918</v>
      </c>
      <c r="E63" s="17" t="s">
        <v>383</v>
      </c>
    </row>
    <row r="64" customFormat="false" ht="32.8" hidden="false" customHeight="false" outlineLevel="0" collapsed="false">
      <c r="A64" s="3" t="s">
        <v>384</v>
      </c>
      <c r="B64" s="17" t="s">
        <v>385</v>
      </c>
      <c r="C64" s="25" t="n">
        <f aca="false">IF($C$47="own_desk",$C$36*$C$40,IF($C$47="market_plus_pct",$C$36*$C$40*(1-$C$42),$C$36*$C$41))</f>
        <v>560926.6173918</v>
      </c>
      <c r="E64" s="17" t="s">
        <v>386</v>
      </c>
    </row>
    <row r="65" customFormat="false" ht="22.35" hidden="false" customHeight="false" outlineLevel="0" collapsed="false">
      <c r="A65" s="3" t="s">
        <v>387</v>
      </c>
      <c r="B65" s="17" t="s">
        <v>388</v>
      </c>
      <c r="C65" s="25" t="n">
        <f aca="false">$C$36*$C$40-$C$64</f>
        <v>5665.92542820005</v>
      </c>
      <c r="E65" s="17" t="s">
        <v>383</v>
      </c>
    </row>
    <row r="66" customFormat="false" ht="15" hidden="false" customHeight="false" outlineLevel="0" collapsed="false">
      <c r="A66" s="3" t="s">
        <v>389</v>
      </c>
      <c r="B66" s="17" t="s">
        <v>390</v>
      </c>
      <c r="C66" s="25" t="n">
        <f aca="false">$C$64-$C$63</f>
        <v>0</v>
      </c>
      <c r="E66" s="17" t="s">
        <v>391</v>
      </c>
    </row>
    <row r="67" customFormat="false" ht="15" hidden="false" customHeight="false" outlineLevel="0" collapsed="false">
      <c r="A67" s="3" t="s">
        <v>392</v>
      </c>
      <c r="B67" s="17" t="s">
        <v>393</v>
      </c>
      <c r="C67" s="26" t="n">
        <f aca="false">IF($C$36*$C$40=0,0,$C$66/($C$36*$C$40))</f>
        <v>0</v>
      </c>
      <c r="E67" s="17" t="s">
        <v>383</v>
      </c>
    </row>
    <row r="68" customFormat="false" ht="22.35" hidden="false" customHeight="false" outlineLevel="0" collapsed="false">
      <c r="A68" s="3" t="s">
        <v>394</v>
      </c>
      <c r="B68" s="17" t="s">
        <v>395</v>
      </c>
      <c r="C68" s="6" t="str">
        <f aca="false">IF($C$67&lt;$C$51,"YES — Finance approval","no")</f>
        <v>YES — Finance approval</v>
      </c>
      <c r="E68" s="17" t="s">
        <v>396</v>
      </c>
    </row>
    <row r="69" customFormat="false" ht="22.35" hidden="false" customHeight="false" outlineLevel="0" collapsed="false">
      <c r="A69" s="3" t="s">
        <v>397</v>
      </c>
      <c r="B69" s="17" t="s">
        <v>398</v>
      </c>
      <c r="C69" s="25" t="n">
        <f aca="false">IF($C$49="round_up_unit",CEILING($C$63,$C$50),IF($C$49="nearest_unit",MROUND($C$63,$C$50),IF($C$49="nearest_n",MROUND($C$63,$C$50),FLOOR($C$63,$C$50))))</f>
        <v>560926</v>
      </c>
      <c r="E69" s="17" t="s">
        <v>399</v>
      </c>
    </row>
    <row r="70" customFormat="false" ht="23.85" hidden="false" customHeight="false" outlineLevel="0" collapsed="false">
      <c r="A70" s="3" t="s">
        <v>400</v>
      </c>
      <c r="B70" s="17" t="s">
        <v>401</v>
      </c>
      <c r="C70" s="25" t="n">
        <f aca="false">$C$63-$C$69</f>
        <v>0.617391800042242</v>
      </c>
      <c r="E70" s="17" t="s">
        <v>402</v>
      </c>
    </row>
    <row r="71" customFormat="false" ht="22.35" hidden="false" customHeight="false" outlineLevel="0" collapsed="false">
      <c r="A71" s="3" t="s">
        <v>403</v>
      </c>
      <c r="B71" s="17" t="s">
        <v>404</v>
      </c>
      <c r="C71" s="24" t="n">
        <f aca="false">IF($C$52="",$C$59,$C$60/(1-$C$52))</f>
        <v>0.857097</v>
      </c>
      <c r="E71" s="17" t="s">
        <v>358</v>
      </c>
    </row>
    <row r="72" customFormat="false" ht="15" hidden="false" customHeight="false" outlineLevel="0" collapsed="false">
      <c r="A72" s="3" t="s">
        <v>405</v>
      </c>
      <c r="B72" s="17" t="s">
        <v>406</v>
      </c>
      <c r="C72" s="25" t="n">
        <f aca="false">IF($C$53="rebate",$C$65*$C$54,0)</f>
        <v>2266.37017128002</v>
      </c>
      <c r="E72" s="17" t="s">
        <v>407</v>
      </c>
    </row>
    <row r="73" customFormat="false" ht="15" hidden="false" customHeight="false" outlineLevel="0" collapsed="false">
      <c r="A73" s="3" t="s">
        <v>408</v>
      </c>
      <c r="B73" s="17" t="s">
        <v>409</v>
      </c>
      <c r="C73" s="25" t="n">
        <f aca="false">$C$36*$C$40*$C$55</f>
        <v>0</v>
      </c>
      <c r="E73" s="17" t="s">
        <v>410</v>
      </c>
    </row>
    <row r="74" customFormat="false" ht="23.85" hidden="false" customHeight="false" outlineLevel="0" collapsed="false">
      <c r="A74" s="3" t="s">
        <v>411</v>
      </c>
      <c r="B74" s="17" t="s">
        <v>412</v>
      </c>
      <c r="C74" s="25" t="n">
        <f aca="false">ROUND($C$63+$C$65+$C$66-$C$36*$C$40,6)</f>
        <v>0</v>
      </c>
      <c r="E74" s="17" t="s">
        <v>413</v>
      </c>
    </row>
    <row r="76" customFormat="false" ht="15" hidden="false" customHeight="false" outlineLevel="0" collapsed="false">
      <c r="A76" s="15" t="s">
        <v>414</v>
      </c>
    </row>
    <row r="77" customFormat="false" ht="15" hidden="false" customHeight="false" outlineLevel="0" collapsed="false">
      <c r="A77" s="16" t="s">
        <v>415</v>
      </c>
      <c r="B77" s="16" t="s">
        <v>416</v>
      </c>
      <c r="C77" s="16" t="s">
        <v>417</v>
      </c>
      <c r="D77" s="16" t="s">
        <v>418</v>
      </c>
      <c r="E77" s="16" t="s">
        <v>419</v>
      </c>
    </row>
    <row r="78" customFormat="false" ht="15" hidden="false" customHeight="false" outlineLevel="0" collapsed="false">
      <c r="A78" s="6" t="str">
        <f aca="false">"CL."&amp;$C$39&amp;"."&amp;$C$37&amp;".COLLECTED"</f>
        <v>CL.JETON.USDT.COLLECTED</v>
      </c>
      <c r="B78" s="6" t="s">
        <v>420</v>
      </c>
      <c r="C78" s="25" t="n">
        <f aca="false">$C$36</f>
        <v>661060</v>
      </c>
      <c r="D78" s="18" t="s">
        <v>421</v>
      </c>
      <c r="E78" s="18" t="s">
        <v>422</v>
      </c>
    </row>
    <row r="79" customFormat="false" ht="15" hidden="false" customHeight="false" outlineLevel="0" collapsed="false">
      <c r="A79" s="6" t="str">
        <f aca="false">"CL.PROJECT."&amp;$C$37&amp;".PAYABLE"</f>
        <v>CL.PROJECT.USDT.PAYABLE</v>
      </c>
      <c r="B79" s="6" t="s">
        <v>423</v>
      </c>
      <c r="C79" s="25" t="n">
        <f aca="false">$C$36</f>
        <v>661060</v>
      </c>
      <c r="D79" s="18" t="s">
        <v>421</v>
      </c>
      <c r="E79" s="18" t="s">
        <v>422</v>
      </c>
    </row>
    <row r="80" customFormat="false" ht="15" hidden="false" customHeight="false" outlineLevel="0" collapsed="false">
      <c r="A80" s="6" t="str">
        <f aca="false">"CL.PROJECT."&amp;$C$37&amp;".PAYABLE"</f>
        <v>CL.PROJECT.USDT.PAYABLE</v>
      </c>
      <c r="B80" s="6" t="s">
        <v>420</v>
      </c>
      <c r="C80" s="25" t="n">
        <f aca="false">$C$36</f>
        <v>661060</v>
      </c>
      <c r="D80" s="18" t="s">
        <v>421</v>
      </c>
      <c r="E80" s="18" t="s">
        <v>424</v>
      </c>
    </row>
    <row r="81" customFormat="false" ht="15" hidden="false" customHeight="false" outlineLevel="0" collapsed="false">
      <c r="A81" s="6" t="str">
        <f aca="false">"CL."&amp;$C$39&amp;"."&amp;$C$37&amp;".COLLECTED"</f>
        <v>CL.JETON.USDT.COLLECTED</v>
      </c>
      <c r="B81" s="6" t="s">
        <v>423</v>
      </c>
      <c r="C81" s="25" t="n">
        <f aca="false">$C$36</f>
        <v>661060</v>
      </c>
      <c r="D81" s="18" t="s">
        <v>421</v>
      </c>
      <c r="E81" s="18" t="s">
        <v>424</v>
      </c>
    </row>
    <row r="82" customFormat="false" ht="15" hidden="false" customHeight="false" outlineLevel="0" collapsed="false">
      <c r="A82" s="6" t="str">
        <f aca="false">"CL."&amp;$C$39&amp;"."&amp;$C$38&amp;".DUE"</f>
        <v>CL.JETON.EUR.DUE</v>
      </c>
      <c r="B82" s="6" t="s">
        <v>420</v>
      </c>
      <c r="C82" s="25" t="n">
        <f aca="false">$C$63</f>
        <v>560926.6173918</v>
      </c>
      <c r="D82" s="18" t="s">
        <v>425</v>
      </c>
      <c r="E82" s="18" t="s">
        <v>426</v>
      </c>
    </row>
    <row r="83" customFormat="false" ht="15" hidden="false" customHeight="false" outlineLevel="0" collapsed="false">
      <c r="A83" s="6" t="str">
        <f aca="false">"CO."&amp;$C$39&amp;"."&amp;$C$38&amp;".POOL"</f>
        <v>CO.JETON.EUR.POOL</v>
      </c>
      <c r="B83" s="6" t="s">
        <v>420</v>
      </c>
      <c r="C83" s="25" t="n">
        <f aca="false">IF($C$53="rebate",0,$C$66)</f>
        <v>0</v>
      </c>
      <c r="D83" s="18" t="s">
        <v>427</v>
      </c>
      <c r="E83" s="18" t="s">
        <v>428</v>
      </c>
    </row>
    <row r="84" customFormat="false" ht="15" hidden="false" customHeight="false" outlineLevel="0" collapsed="false">
      <c r="A84" s="6" t="str">
        <f aca="false">"CO."&amp;$C$39&amp;"."&amp;$C$38&amp;".REBATE_RECEIVABLE"</f>
        <v>CO.JETON.EUR.REBATE_RECEIVABLE</v>
      </c>
      <c r="B84" s="6" t="s">
        <v>420</v>
      </c>
      <c r="C84" s="25" t="n">
        <f aca="false">$C$72</f>
        <v>2266.37017128002</v>
      </c>
      <c r="D84" s="18" t="s">
        <v>427</v>
      </c>
      <c r="E84" s="18" t="s">
        <v>429</v>
      </c>
    </row>
    <row r="85" customFormat="false" ht="15" hidden="false" customHeight="false" outlineLevel="0" collapsed="false">
      <c r="A85" s="6" t="str">
        <f aca="false">"CL.PROJECT."&amp;$C$38&amp;".PAYABLE"</f>
        <v>CL.PROJECT.EUR.PAYABLE</v>
      </c>
      <c r="B85" s="6" t="s">
        <v>423</v>
      </c>
      <c r="C85" s="25" t="n">
        <f aca="false">$C$63</f>
        <v>560926.6173918</v>
      </c>
      <c r="D85" s="18" t="s">
        <v>421</v>
      </c>
      <c r="E85" s="18" t="s">
        <v>426</v>
      </c>
    </row>
    <row r="86" customFormat="false" ht="15" hidden="false" customHeight="false" outlineLevel="0" collapsed="false">
      <c r="A86" s="6" t="str">
        <f aca="false">"CO.NONE."&amp;$C$38&amp;".EARN_GROSS"</f>
        <v>CO.NONE.EUR.EARN_GROSS</v>
      </c>
      <c r="B86" s="6" t="s">
        <v>423</v>
      </c>
      <c r="C86" s="25" t="n">
        <f aca="false">$C$66+$C$72</f>
        <v>2266.37017128002</v>
      </c>
      <c r="D86" s="18" t="s">
        <v>427</v>
      </c>
      <c r="E86" s="18" t="s">
        <v>430</v>
      </c>
    </row>
    <row r="87" customFormat="false" ht="15" hidden="false" customHeight="false" outlineLevel="0" collapsed="false">
      <c r="A87" s="6" t="str">
        <f aca="false">"CL."&amp;$C$39&amp;"."&amp;$C$38&amp;".INTRANSIT"</f>
        <v>CL.JETON.EUR.INTRANSIT</v>
      </c>
      <c r="B87" s="6" t="s">
        <v>420</v>
      </c>
      <c r="C87" s="25" t="n">
        <f aca="false">$C$69</f>
        <v>560926</v>
      </c>
      <c r="D87" s="18" t="s">
        <v>421</v>
      </c>
      <c r="E87" s="18" t="s">
        <v>431</v>
      </c>
    </row>
    <row r="88" customFormat="false" ht="15" hidden="false" customHeight="false" outlineLevel="0" collapsed="false">
      <c r="A88" s="6" t="str">
        <f aca="false">"CL."&amp;$C$39&amp;"."&amp;$C$38&amp;".DUE"</f>
        <v>CL.JETON.EUR.DUE</v>
      </c>
      <c r="B88" s="6" t="s">
        <v>423</v>
      </c>
      <c r="C88" s="25" t="n">
        <f aca="false">$C$69</f>
        <v>560926</v>
      </c>
      <c r="D88" s="18" t="s">
        <v>421</v>
      </c>
      <c r="E88" s="18" t="s">
        <v>432</v>
      </c>
    </row>
    <row r="89" customFormat="false" ht="15" hidden="false" customHeight="false" outlineLevel="0" collapsed="false">
      <c r="A89" s="6" t="str">
        <f aca="false">"CL.PROJECT."&amp;$C$38&amp;".PAYABLE"</f>
        <v>CL.PROJECT.EUR.PAYABLE</v>
      </c>
      <c r="B89" s="6" t="s">
        <v>420</v>
      </c>
      <c r="C89" s="25" t="n">
        <f aca="false">$C$69</f>
        <v>560926</v>
      </c>
      <c r="D89" s="18" t="s">
        <v>421</v>
      </c>
      <c r="E89" s="18" t="s">
        <v>433</v>
      </c>
    </row>
    <row r="90" customFormat="false" ht="15" hidden="false" customHeight="false" outlineLevel="0" collapsed="false">
      <c r="A90" s="6" t="str">
        <f aca="false">"CL."&amp;$C$39&amp;"."&amp;$C$38&amp;".INTRANSIT"</f>
        <v>CL.JETON.EUR.INTRANSIT</v>
      </c>
      <c r="B90" s="6" t="s">
        <v>423</v>
      </c>
      <c r="C90" s="25" t="n">
        <f aca="false">$C$69</f>
        <v>560926</v>
      </c>
      <c r="D90" s="18" t="s">
        <v>421</v>
      </c>
      <c r="E90" s="18" t="s">
        <v>433</v>
      </c>
    </row>
    <row r="91" customFormat="false" ht="15" hidden="false" customHeight="false" outlineLevel="0" collapsed="false">
      <c r="A91" s="6" t="str">
        <f aca="false">"CO.NONE."&amp;$C$38&amp;".EARN_GROSS"</f>
        <v>CO.NONE.EUR.EARN_GROSS</v>
      </c>
      <c r="B91" s="6" t="s">
        <v>420</v>
      </c>
      <c r="C91" s="25" t="n">
        <f aca="false">$C$73</f>
        <v>0</v>
      </c>
      <c r="D91" s="18" t="s">
        <v>434</v>
      </c>
      <c r="E91" s="18" t="s">
        <v>435</v>
      </c>
    </row>
    <row r="92" customFormat="false" ht="15" hidden="false" customHeight="false" outlineLevel="0" collapsed="false">
      <c r="A92" s="6" t="str">
        <f aca="false">"CO.INTRODUCER."&amp;$C$38&amp;".REFERRAL_PAYABLE"</f>
        <v>CO.INTRODUCER.EUR.REFERRAL_PAYABLE</v>
      </c>
      <c r="B92" s="6" t="s">
        <v>423</v>
      </c>
      <c r="C92" s="25" t="n">
        <f aca="false">$C$73</f>
        <v>0</v>
      </c>
      <c r="D92" s="18" t="s">
        <v>434</v>
      </c>
      <c r="E92" s="18" t="s">
        <v>436</v>
      </c>
    </row>
    <row r="93" customFormat="false" ht="30" hidden="false" customHeight="true" outlineLevel="0" collapsed="false">
      <c r="A93" s="27" t="s">
        <v>437</v>
      </c>
      <c r="C93" s="28" t="n">
        <f aca="false">ROUND(SUMIF($B$82:$B$92,"Dr",$C$82:$C$92)-SUMIF($B$82:$B$92,"Cr",$C$82:$C$92),6)</f>
        <v>0</v>
      </c>
      <c r="E93" s="17" t="s">
        <v>438</v>
      </c>
    </row>
    <row r="95" customFormat="false" ht="15" hidden="false" customHeight="false" outlineLevel="0" collapsed="false">
      <c r="A95" s="15" t="s">
        <v>439</v>
      </c>
    </row>
    <row r="96" customFormat="false" ht="15" hidden="false" customHeight="false" outlineLevel="0" collapsed="false">
      <c r="A96" s="16" t="s">
        <v>440</v>
      </c>
      <c r="B96" s="16" t="s">
        <v>441</v>
      </c>
      <c r="C96" s="16" t="s">
        <v>442</v>
      </c>
      <c r="D96" s="16" t="s">
        <v>443</v>
      </c>
      <c r="E96" s="16" t="s">
        <v>444</v>
      </c>
    </row>
    <row r="97" customFormat="false" ht="15.75" hidden="false" customHeight="true" outlineLevel="0" collapsed="false">
      <c r="A97" s="3" t="s">
        <v>445</v>
      </c>
      <c r="B97" s="19" t="n">
        <v>560927</v>
      </c>
      <c r="C97" s="25" t="n">
        <f aca="false">$C$61</f>
        <v>560926.6173918</v>
      </c>
      <c r="D97" s="28" t="n">
        <f aca="false">ROUND(C97-B97,2)</f>
        <v>-0.38</v>
      </c>
      <c r="E97" s="17" t="s">
        <v>446</v>
      </c>
    </row>
    <row r="99" customFormat="false" ht="15" hidden="false" customHeight="false" outlineLevel="0" collapsed="false">
      <c r="A99" s="15" t="s">
        <v>447</v>
      </c>
    </row>
    <row r="100" customFormat="false" ht="31.5" hidden="false" customHeight="true" outlineLevel="0" collapsed="false">
      <c r="A100" s="13" t="s">
        <v>448</v>
      </c>
      <c r="B100" s="29" t="s">
        <v>449</v>
      </c>
      <c r="C100" s="29"/>
      <c r="D100" s="29"/>
      <c r="E100" s="29"/>
    </row>
    <row r="101" customFormat="false" ht="31.5" hidden="false" customHeight="true" outlineLevel="0" collapsed="false">
      <c r="A101" s="13" t="s">
        <v>448</v>
      </c>
      <c r="B101" s="29" t="s">
        <v>450</v>
      </c>
      <c r="C101" s="29"/>
      <c r="D101" s="29"/>
      <c r="E101" s="29"/>
    </row>
    <row r="102" customFormat="false" ht="31.5" hidden="false" customHeight="true" outlineLevel="0" collapsed="false">
      <c r="A102" s="13" t="s">
        <v>448</v>
      </c>
      <c r="B102" s="29" t="s">
        <v>451</v>
      </c>
      <c r="C102" s="29"/>
      <c r="D102" s="29"/>
      <c r="E102" s="29"/>
    </row>
  </sheetData>
  <mergeCells count="3">
    <mergeCell ref="B100:E100"/>
    <mergeCell ref="B101:E101"/>
    <mergeCell ref="B102:E10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1" style="0" width="34"/>
    <col collapsed="false" customWidth="true" hidden="false" outlineLevel="0" max="3" min="3" style="0" width="22"/>
    <col collapsed="false" customWidth="true" hidden="false" outlineLevel="0" max="4" min="4" style="0" width="18"/>
    <col collapsed="false" customWidth="true" hidden="false" outlineLevel="0" max="5" min="5" style="0" width="48"/>
  </cols>
  <sheetData>
    <row r="1" customFormat="false" ht="16.15" hidden="false" customHeight="false" outlineLevel="0" collapsed="false">
      <c r="A1" s="1" t="s">
        <v>452</v>
      </c>
    </row>
    <row r="2" customFormat="false" ht="15" hidden="false" customHeight="false" outlineLevel="0" collapsed="false">
      <c r="A2" s="12" t="s">
        <v>210</v>
      </c>
      <c r="B2" s="13" t="s">
        <v>453</v>
      </c>
    </row>
    <row r="3" customFormat="false" ht="30" hidden="false" customHeight="true" outlineLevel="0" collapsed="false">
      <c r="A3" s="12" t="s">
        <v>212</v>
      </c>
      <c r="B3" s="14" t="s">
        <v>454</v>
      </c>
    </row>
    <row r="5" customFormat="false" ht="15" hidden="false" customHeight="false" outlineLevel="0" collapsed="false">
      <c r="A5" s="15" t="s">
        <v>214</v>
      </c>
    </row>
    <row r="6" customFormat="false" ht="15" hidden="false" customHeight="false" outlineLevel="0" collapsed="false">
      <c r="A6" s="16" t="s">
        <v>215</v>
      </c>
      <c r="B6" s="16" t="s">
        <v>216</v>
      </c>
      <c r="C6" s="16" t="s">
        <v>217</v>
      </c>
      <c r="D6" s="16" t="s">
        <v>218</v>
      </c>
      <c r="E6" s="16" t="s">
        <v>219</v>
      </c>
    </row>
    <row r="7" customFormat="false" ht="30" hidden="false" customHeight="true" outlineLevel="0" collapsed="false">
      <c r="A7" s="3" t="s">
        <v>220</v>
      </c>
      <c r="B7" s="3" t="s">
        <v>221</v>
      </c>
      <c r="C7" s="9" t="s">
        <v>81</v>
      </c>
      <c r="D7" s="3" t="s">
        <v>222</v>
      </c>
      <c r="E7" s="17" t="s">
        <v>223</v>
      </c>
    </row>
    <row r="8" customFormat="false" ht="30" hidden="false" customHeight="true" outlineLevel="0" collapsed="false">
      <c r="A8" s="3" t="s">
        <v>224</v>
      </c>
      <c r="B8" s="3" t="s">
        <v>225</v>
      </c>
      <c r="C8" s="10"/>
      <c r="D8" s="3" t="s">
        <v>226</v>
      </c>
      <c r="E8" s="17" t="s">
        <v>227</v>
      </c>
    </row>
    <row r="9" customFormat="false" ht="30" hidden="false" customHeight="true" outlineLevel="0" collapsed="false">
      <c r="A9" s="3" t="s">
        <v>228</v>
      </c>
      <c r="B9" s="3" t="s">
        <v>229</v>
      </c>
      <c r="C9" s="10"/>
      <c r="D9" s="3" t="s">
        <v>226</v>
      </c>
      <c r="E9" s="17" t="s">
        <v>230</v>
      </c>
    </row>
    <row r="10" customFormat="false" ht="30" hidden="false" customHeight="true" outlineLevel="0" collapsed="false">
      <c r="A10" s="3" t="s">
        <v>231</v>
      </c>
      <c r="B10" s="3" t="s">
        <v>232</v>
      </c>
      <c r="C10" s="10"/>
      <c r="D10" s="3" t="s">
        <v>226</v>
      </c>
      <c r="E10" s="17" t="s">
        <v>233</v>
      </c>
    </row>
    <row r="11" customFormat="false" ht="15.75" hidden="false" customHeight="true" outlineLevel="0" collapsed="false">
      <c r="A11" s="3" t="s">
        <v>234</v>
      </c>
      <c r="B11" s="3" t="s">
        <v>235</v>
      </c>
      <c r="C11" s="9" t="s">
        <v>236</v>
      </c>
      <c r="D11" s="3" t="s">
        <v>222</v>
      </c>
      <c r="E11" s="17" t="s">
        <v>237</v>
      </c>
    </row>
    <row r="12" customFormat="false" ht="30" hidden="false" customHeight="true" outlineLevel="0" collapsed="false">
      <c r="A12" s="3" t="s">
        <v>238</v>
      </c>
      <c r="B12" s="3" t="s">
        <v>239</v>
      </c>
      <c r="C12" s="9" t="s">
        <v>455</v>
      </c>
      <c r="D12" s="3" t="s">
        <v>222</v>
      </c>
      <c r="E12" s="17" t="s">
        <v>241</v>
      </c>
    </row>
    <row r="13" customFormat="false" ht="15.75" hidden="false" customHeight="true" outlineLevel="0" collapsed="false">
      <c r="A13" s="3" t="s">
        <v>242</v>
      </c>
      <c r="B13" s="3" t="s">
        <v>243</v>
      </c>
      <c r="C13" s="9" t="s">
        <v>93</v>
      </c>
      <c r="D13" s="3" t="s">
        <v>222</v>
      </c>
      <c r="E13" s="17"/>
    </row>
    <row r="14" customFormat="false" ht="30" hidden="false" customHeight="true" outlineLevel="0" collapsed="false">
      <c r="A14" s="3" t="s">
        <v>244</v>
      </c>
      <c r="B14" s="3" t="s">
        <v>245</v>
      </c>
      <c r="C14" s="9" t="s">
        <v>94</v>
      </c>
      <c r="D14" s="3" t="s">
        <v>222</v>
      </c>
      <c r="E14" s="17" t="s">
        <v>246</v>
      </c>
    </row>
    <row r="15" customFormat="false" ht="15.75" hidden="false" customHeight="true" outlineLevel="0" collapsed="false">
      <c r="A15" s="3" t="s">
        <v>247</v>
      </c>
      <c r="B15" s="3" t="s">
        <v>248</v>
      </c>
      <c r="C15" s="9" t="s">
        <v>85</v>
      </c>
      <c r="D15" s="3" t="s">
        <v>222</v>
      </c>
      <c r="E15" s="17" t="s">
        <v>249</v>
      </c>
    </row>
    <row r="16" customFormat="false" ht="30" hidden="false" customHeight="true" outlineLevel="0" collapsed="false">
      <c r="A16" s="3" t="s">
        <v>250</v>
      </c>
      <c r="B16" s="3" t="s">
        <v>251</v>
      </c>
      <c r="C16" s="9" t="s">
        <v>252</v>
      </c>
      <c r="D16" s="3" t="s">
        <v>222</v>
      </c>
      <c r="E16" s="17" t="s">
        <v>253</v>
      </c>
    </row>
    <row r="17" customFormat="false" ht="30" hidden="false" customHeight="true" outlineLevel="0" collapsed="false">
      <c r="A17" s="3" t="s">
        <v>254</v>
      </c>
      <c r="B17" s="3" t="s">
        <v>255</v>
      </c>
      <c r="C17" s="9" t="s">
        <v>456</v>
      </c>
      <c r="D17" s="3" t="s">
        <v>222</v>
      </c>
      <c r="E17" s="17" t="s">
        <v>257</v>
      </c>
    </row>
    <row r="18" customFormat="false" ht="15.75" hidden="false" customHeight="true" outlineLevel="0" collapsed="false">
      <c r="A18" s="3" t="s">
        <v>258</v>
      </c>
      <c r="B18" s="3" t="s">
        <v>259</v>
      </c>
      <c r="C18" s="9" t="s">
        <v>86</v>
      </c>
      <c r="D18" s="3" t="s">
        <v>222</v>
      </c>
      <c r="E18" s="17" t="s">
        <v>260</v>
      </c>
    </row>
    <row r="19" customFormat="false" ht="15.75" hidden="false" customHeight="true" outlineLevel="0" collapsed="false">
      <c r="A19" s="3" t="s">
        <v>261</v>
      </c>
      <c r="B19" s="3" t="s">
        <v>262</v>
      </c>
      <c r="C19" s="11" t="n">
        <v>0.004</v>
      </c>
      <c r="D19" s="3" t="s">
        <v>222</v>
      </c>
      <c r="E19" s="17" t="s">
        <v>263</v>
      </c>
    </row>
    <row r="20" customFormat="false" ht="15.75" hidden="false" customHeight="true" outlineLevel="0" collapsed="false">
      <c r="A20" s="3" t="s">
        <v>264</v>
      </c>
      <c r="B20" s="3" t="s">
        <v>265</v>
      </c>
      <c r="C20" s="11" t="n">
        <v>0.004</v>
      </c>
      <c r="D20" s="3" t="s">
        <v>222</v>
      </c>
      <c r="E20" s="17"/>
    </row>
    <row r="21" customFormat="false" ht="30" hidden="false" customHeight="true" outlineLevel="0" collapsed="false">
      <c r="A21" s="3" t="s">
        <v>266</v>
      </c>
      <c r="B21" s="3" t="s">
        <v>267</v>
      </c>
      <c r="C21" s="11" t="n">
        <v>0</v>
      </c>
      <c r="D21" s="3" t="s">
        <v>222</v>
      </c>
      <c r="E21" s="17" t="s">
        <v>268</v>
      </c>
    </row>
    <row r="22" customFormat="false" ht="15.75" hidden="false" customHeight="true" outlineLevel="0" collapsed="false">
      <c r="A22" s="3" t="s">
        <v>269</v>
      </c>
      <c r="B22" s="3" t="s">
        <v>270</v>
      </c>
      <c r="C22" s="10"/>
      <c r="D22" s="3" t="s">
        <v>226</v>
      </c>
      <c r="E22" s="17" t="s">
        <v>271</v>
      </c>
    </row>
    <row r="23" customFormat="false" ht="15.75" hidden="false" customHeight="true" outlineLevel="0" collapsed="false">
      <c r="A23" s="3" t="s">
        <v>272</v>
      </c>
      <c r="B23" s="3" t="s">
        <v>273</v>
      </c>
      <c r="C23" s="10"/>
      <c r="D23" s="3" t="s">
        <v>226</v>
      </c>
      <c r="E23" s="17" t="s">
        <v>271</v>
      </c>
    </row>
    <row r="24" customFormat="false" ht="15.75" hidden="false" customHeight="true" outlineLevel="0" collapsed="false">
      <c r="A24" s="3" t="s">
        <v>274</v>
      </c>
      <c r="B24" s="3" t="s">
        <v>275</v>
      </c>
      <c r="C24" s="10"/>
      <c r="D24" s="3" t="s">
        <v>226</v>
      </c>
      <c r="E24" s="17" t="s">
        <v>276</v>
      </c>
    </row>
    <row r="25" customFormat="false" ht="30" hidden="false" customHeight="true" outlineLevel="0" collapsed="false">
      <c r="A25" s="3" t="s">
        <v>277</v>
      </c>
      <c r="B25" s="3" t="s">
        <v>278</v>
      </c>
      <c r="C25" s="11" t="n">
        <v>0.01</v>
      </c>
      <c r="D25" s="3" t="s">
        <v>222</v>
      </c>
      <c r="E25" s="17" t="s">
        <v>280</v>
      </c>
    </row>
    <row r="26" customFormat="false" ht="15.75" hidden="false" customHeight="true" outlineLevel="0" collapsed="false">
      <c r="A26" s="3" t="s">
        <v>281</v>
      </c>
      <c r="B26" s="3" t="s">
        <v>282</v>
      </c>
      <c r="C26" s="9" t="s">
        <v>95</v>
      </c>
      <c r="D26" s="3" t="s">
        <v>222</v>
      </c>
      <c r="E26" s="17" t="s">
        <v>284</v>
      </c>
    </row>
    <row r="27" customFormat="false" ht="15.75" hidden="false" customHeight="true" outlineLevel="0" collapsed="false">
      <c r="A27" s="3" t="s">
        <v>285</v>
      </c>
      <c r="B27" s="3" t="s">
        <v>286</v>
      </c>
      <c r="C27" s="10"/>
      <c r="D27" s="3" t="s">
        <v>279</v>
      </c>
      <c r="E27" s="17" t="s">
        <v>288</v>
      </c>
    </row>
    <row r="28" customFormat="false" ht="15.75" hidden="false" customHeight="true" outlineLevel="0" collapsed="false">
      <c r="A28" s="3" t="s">
        <v>289</v>
      </c>
      <c r="B28" s="3" t="s">
        <v>290</v>
      </c>
      <c r="C28" s="9"/>
      <c r="D28" s="3" t="s">
        <v>279</v>
      </c>
      <c r="E28" s="17" t="s">
        <v>291</v>
      </c>
    </row>
    <row r="29" customFormat="false" ht="30" hidden="false" customHeight="true" outlineLevel="0" collapsed="false">
      <c r="A29" s="3" t="s">
        <v>292</v>
      </c>
      <c r="B29" s="3" t="s">
        <v>293</v>
      </c>
      <c r="C29" s="9" t="s">
        <v>294</v>
      </c>
      <c r="D29" s="3" t="s">
        <v>222</v>
      </c>
      <c r="E29" s="17" t="s">
        <v>295</v>
      </c>
    </row>
    <row r="30" customFormat="false" ht="15.75" hidden="false" customHeight="true" outlineLevel="0" collapsed="false">
      <c r="A30" s="3" t="s">
        <v>296</v>
      </c>
      <c r="B30" s="3" t="s">
        <v>297</v>
      </c>
      <c r="C30" s="10"/>
      <c r="D30" s="3" t="s">
        <v>226</v>
      </c>
      <c r="E30" s="17"/>
    </row>
    <row r="31" customFormat="false" ht="15.75" hidden="false" customHeight="true" outlineLevel="0" collapsed="false">
      <c r="A31" s="3" t="s">
        <v>298</v>
      </c>
      <c r="B31" s="3" t="s">
        <v>299</v>
      </c>
      <c r="C31" s="10"/>
      <c r="D31" s="3" t="s">
        <v>226</v>
      </c>
      <c r="E31" s="17" t="s">
        <v>300</v>
      </c>
    </row>
    <row r="32" customFormat="false" ht="30" hidden="false" customHeight="true" outlineLevel="0" collapsed="false">
      <c r="A32" s="3" t="s">
        <v>301</v>
      </c>
      <c r="B32" s="3" t="s">
        <v>302</v>
      </c>
      <c r="C32" s="10"/>
      <c r="D32" s="3" t="s">
        <v>226</v>
      </c>
      <c r="E32" s="17" t="s">
        <v>303</v>
      </c>
    </row>
    <row r="34" customFormat="false" ht="15" hidden="false" customHeight="false" outlineLevel="0" collapsed="false">
      <c r="A34" s="15" t="s">
        <v>304</v>
      </c>
    </row>
    <row r="35" customFormat="false" ht="15" hidden="false" customHeight="false" outlineLevel="0" collapsed="false">
      <c r="A35" s="16" t="s">
        <v>305</v>
      </c>
      <c r="B35" s="16" t="s">
        <v>306</v>
      </c>
      <c r="C35" s="16" t="s">
        <v>217</v>
      </c>
      <c r="D35" s="16" t="s">
        <v>307</v>
      </c>
      <c r="E35" s="16" t="s">
        <v>308</v>
      </c>
    </row>
    <row r="36" customFormat="false" ht="15" hidden="false" customHeight="false" outlineLevel="0" collapsed="false">
      <c r="A36" s="3" t="s">
        <v>309</v>
      </c>
      <c r="B36" s="18" t="s">
        <v>310</v>
      </c>
      <c r="C36" s="19" t="n">
        <v>661060</v>
      </c>
      <c r="D36" s="18" t="s">
        <v>311</v>
      </c>
      <c r="E36" s="17" t="s">
        <v>312</v>
      </c>
    </row>
    <row r="37" customFormat="false" ht="15" hidden="false" customHeight="false" outlineLevel="0" collapsed="false">
      <c r="A37" s="3" t="s">
        <v>313</v>
      </c>
      <c r="B37" s="18" t="s">
        <v>314</v>
      </c>
      <c r="C37" s="7" t="s">
        <v>315</v>
      </c>
      <c r="D37" s="18" t="s">
        <v>316</v>
      </c>
      <c r="E37" s="17"/>
    </row>
    <row r="38" customFormat="false" ht="15" hidden="false" customHeight="false" outlineLevel="0" collapsed="false">
      <c r="A38" s="3" t="s">
        <v>317</v>
      </c>
      <c r="B38" s="18" t="s">
        <v>318</v>
      </c>
      <c r="C38" s="7" t="s">
        <v>319</v>
      </c>
      <c r="D38" s="18" t="s">
        <v>316</v>
      </c>
      <c r="E38" s="17"/>
    </row>
    <row r="39" customFormat="false" ht="15" hidden="false" customHeight="false" outlineLevel="0" collapsed="false">
      <c r="A39" s="3" t="s">
        <v>320</v>
      </c>
      <c r="B39" s="18" t="s">
        <v>321</v>
      </c>
      <c r="C39" s="7" t="s">
        <v>457</v>
      </c>
      <c r="D39" s="18" t="s">
        <v>316</v>
      </c>
      <c r="E39" s="17" t="s">
        <v>323</v>
      </c>
    </row>
    <row r="40" customFormat="false" ht="15" hidden="false" customHeight="false" outlineLevel="0" collapsed="false">
      <c r="A40" s="3" t="s">
        <v>324</v>
      </c>
      <c r="B40" s="18" t="s">
        <v>325</v>
      </c>
      <c r="C40" s="21"/>
      <c r="D40" s="18" t="s">
        <v>326</v>
      </c>
      <c r="E40" s="17" t="s">
        <v>327</v>
      </c>
    </row>
    <row r="41" customFormat="false" ht="22.35" hidden="false" customHeight="false" outlineLevel="0" collapsed="false">
      <c r="A41" s="3" t="s">
        <v>328</v>
      </c>
      <c r="B41" s="18" t="s">
        <v>329</v>
      </c>
      <c r="C41" s="20" t="n">
        <v>0.851934</v>
      </c>
      <c r="D41" s="18" t="s">
        <v>326</v>
      </c>
      <c r="E41" s="17" t="s">
        <v>330</v>
      </c>
    </row>
    <row r="42" customFormat="false" ht="22.35" hidden="false" customHeight="false" outlineLevel="0" collapsed="false">
      <c r="A42" s="3" t="s">
        <v>331</v>
      </c>
      <c r="B42" s="18" t="s">
        <v>332</v>
      </c>
      <c r="C42" s="22" t="n">
        <v>0</v>
      </c>
      <c r="D42" s="18" t="s">
        <v>333</v>
      </c>
      <c r="E42" s="17" t="s">
        <v>334</v>
      </c>
    </row>
    <row r="43" customFormat="false" ht="15" hidden="false" customHeight="false" outlineLevel="0" collapsed="false">
      <c r="A43" s="3" t="s">
        <v>335</v>
      </c>
      <c r="B43" s="18" t="s">
        <v>336</v>
      </c>
      <c r="C43" s="22" t="n">
        <v>0.004</v>
      </c>
      <c r="D43" s="18" t="s">
        <v>333</v>
      </c>
      <c r="E43" s="17" t="s">
        <v>262</v>
      </c>
    </row>
    <row r="44" customFormat="false" ht="15" hidden="false" customHeight="false" outlineLevel="0" collapsed="false">
      <c r="A44" s="3" t="s">
        <v>337</v>
      </c>
      <c r="B44" s="18" t="s">
        <v>338</v>
      </c>
      <c r="C44" s="22" t="n">
        <v>0.004</v>
      </c>
      <c r="D44" s="18" t="s">
        <v>333</v>
      </c>
      <c r="E44" s="17" t="s">
        <v>265</v>
      </c>
    </row>
    <row r="45" customFormat="false" ht="15" hidden="false" customHeight="false" outlineLevel="0" collapsed="false">
      <c r="A45" s="3" t="s">
        <v>339</v>
      </c>
      <c r="B45" s="18" t="s">
        <v>340</v>
      </c>
      <c r="C45" s="22" t="n">
        <v>0</v>
      </c>
      <c r="D45" s="18" t="s">
        <v>333</v>
      </c>
      <c r="E45" s="17" t="s">
        <v>267</v>
      </c>
    </row>
    <row r="46" customFormat="false" ht="15" hidden="false" customHeight="false" outlineLevel="0" collapsed="false">
      <c r="A46" s="3" t="s">
        <v>254</v>
      </c>
      <c r="B46" s="18" t="s">
        <v>341</v>
      </c>
      <c r="C46" s="7" t="s">
        <v>456</v>
      </c>
      <c r="D46" s="18" t="s">
        <v>316</v>
      </c>
      <c r="E46" s="17" t="s">
        <v>342</v>
      </c>
    </row>
    <row r="47" customFormat="false" ht="15" hidden="false" customHeight="false" outlineLevel="0" collapsed="false">
      <c r="A47" s="3" t="s">
        <v>244</v>
      </c>
      <c r="B47" s="18" t="s">
        <v>343</v>
      </c>
      <c r="C47" s="7" t="s">
        <v>94</v>
      </c>
      <c r="D47" s="18" t="s">
        <v>316</v>
      </c>
      <c r="E47" s="17" t="s">
        <v>344</v>
      </c>
    </row>
    <row r="48" customFormat="false" ht="15" hidden="false" customHeight="false" outlineLevel="0" collapsed="false">
      <c r="A48" s="3" t="s">
        <v>250</v>
      </c>
      <c r="B48" s="18" t="s">
        <v>345</v>
      </c>
      <c r="C48" s="7" t="s">
        <v>252</v>
      </c>
      <c r="D48" s="18" t="s">
        <v>316</v>
      </c>
      <c r="E48" s="17" t="s">
        <v>346</v>
      </c>
    </row>
    <row r="49" customFormat="false" ht="15" hidden="false" customHeight="false" outlineLevel="0" collapsed="false">
      <c r="A49" s="3" t="s">
        <v>347</v>
      </c>
      <c r="B49" s="18" t="s">
        <v>348</v>
      </c>
      <c r="C49" s="7" t="s">
        <v>349</v>
      </c>
      <c r="D49" s="18" t="s">
        <v>316</v>
      </c>
      <c r="E49" s="17" t="s">
        <v>350</v>
      </c>
    </row>
    <row r="50" customFormat="false" ht="15" hidden="false" customHeight="false" outlineLevel="0" collapsed="false">
      <c r="A50" s="3" t="s">
        <v>351</v>
      </c>
      <c r="B50" s="18" t="s">
        <v>352</v>
      </c>
      <c r="C50" s="19" t="n">
        <v>1</v>
      </c>
      <c r="D50" s="18" t="s">
        <v>311</v>
      </c>
      <c r="E50" s="17" t="s">
        <v>353</v>
      </c>
    </row>
    <row r="51" customFormat="false" ht="15" hidden="false" customHeight="false" outlineLevel="0" collapsed="false">
      <c r="A51" s="3" t="s">
        <v>354</v>
      </c>
      <c r="B51" s="18" t="s">
        <v>355</v>
      </c>
      <c r="C51" s="22" t="n">
        <v>0.003</v>
      </c>
      <c r="D51" s="18" t="s">
        <v>333</v>
      </c>
      <c r="E51" s="17" t="s">
        <v>275</v>
      </c>
    </row>
    <row r="52" customFormat="false" ht="15" hidden="false" customHeight="false" outlineLevel="0" collapsed="false">
      <c r="A52" s="3" t="s">
        <v>356</v>
      </c>
      <c r="B52" s="18" t="s">
        <v>357</v>
      </c>
      <c r="C52" s="22" t="n">
        <v>0.01</v>
      </c>
      <c r="D52" s="18" t="s">
        <v>333</v>
      </c>
      <c r="E52" s="17" t="s">
        <v>358</v>
      </c>
    </row>
    <row r="53" customFormat="false" ht="15" hidden="false" customHeight="false" outlineLevel="0" collapsed="false">
      <c r="A53" s="3" t="s">
        <v>281</v>
      </c>
      <c r="B53" s="18" t="s">
        <v>359</v>
      </c>
      <c r="C53" s="7" t="s">
        <v>458</v>
      </c>
      <c r="D53" s="18" t="s">
        <v>316</v>
      </c>
      <c r="E53" s="17" t="s">
        <v>361</v>
      </c>
    </row>
    <row r="54" customFormat="false" ht="15" hidden="false" customHeight="false" outlineLevel="0" collapsed="false">
      <c r="A54" s="3" t="s">
        <v>285</v>
      </c>
      <c r="B54" s="18" t="s">
        <v>360</v>
      </c>
      <c r="C54" s="22" t="n">
        <v>0</v>
      </c>
      <c r="D54" s="18" t="s">
        <v>333</v>
      </c>
      <c r="E54" s="17" t="s">
        <v>362</v>
      </c>
    </row>
    <row r="55" customFormat="false" ht="15" hidden="false" customHeight="false" outlineLevel="0" collapsed="false">
      <c r="A55" s="3" t="s">
        <v>363</v>
      </c>
      <c r="B55" s="18" t="s">
        <v>364</v>
      </c>
      <c r="C55" s="22" t="n">
        <v>0</v>
      </c>
      <c r="D55" s="18" t="s">
        <v>333</v>
      </c>
      <c r="E55" s="17" t="s">
        <v>365</v>
      </c>
    </row>
    <row r="57" customFormat="false" ht="15" hidden="false" customHeight="false" outlineLevel="0" collapsed="false">
      <c r="A57" s="15" t="s">
        <v>366</v>
      </c>
    </row>
    <row r="58" customFormat="false" ht="15" hidden="false" customHeight="false" outlineLevel="0" collapsed="false">
      <c r="A58" s="16" t="s">
        <v>367</v>
      </c>
      <c r="B58" s="16" t="s">
        <v>368</v>
      </c>
      <c r="C58" s="16" t="s">
        <v>217</v>
      </c>
      <c r="D58" s="16"/>
      <c r="E58" s="16" t="s">
        <v>369</v>
      </c>
    </row>
    <row r="59" customFormat="false" ht="22.35" hidden="false" customHeight="false" outlineLevel="0" collapsed="false">
      <c r="A59" s="3" t="s">
        <v>370</v>
      </c>
      <c r="B59" s="17" t="s">
        <v>371</v>
      </c>
      <c r="C59" s="24" t="n">
        <f aca="false">IF($C$46="market",$C$40,$C$41)</f>
        <v>0.851934</v>
      </c>
      <c r="E59" s="17" t="s">
        <v>372</v>
      </c>
    </row>
    <row r="60" customFormat="false" ht="32.8" hidden="false" customHeight="false" outlineLevel="0" collapsed="false">
      <c r="A60" s="3" t="s">
        <v>373</v>
      </c>
      <c r="B60" s="17" t="s">
        <v>374</v>
      </c>
      <c r="C60" s="24" t="n">
        <f aca="false">IF($C$48="in_per_out",$C$59/(1+$C$44),$C$59*(1-$C$44))</f>
        <v>0.848526264</v>
      </c>
      <c r="E60" s="17" t="s">
        <v>375</v>
      </c>
    </row>
    <row r="61" customFormat="false" ht="23.85" hidden="false" customHeight="false" outlineLevel="0" collapsed="false">
      <c r="A61" s="3" t="s">
        <v>376</v>
      </c>
      <c r="B61" s="17" t="s">
        <v>377</v>
      </c>
      <c r="C61" s="25" t="n">
        <f aca="false">$C$36*$C$60</f>
        <v>560926.77207984</v>
      </c>
      <c r="E61" s="17" t="s">
        <v>378</v>
      </c>
    </row>
    <row r="62" customFormat="false" ht="15" hidden="false" customHeight="false" outlineLevel="0" collapsed="false">
      <c r="A62" s="3" t="s">
        <v>379</v>
      </c>
      <c r="B62" s="17" t="s">
        <v>380</v>
      </c>
      <c r="C62" s="25" t="n">
        <f aca="false">$C$61*$C$45</f>
        <v>0</v>
      </c>
      <c r="E62" s="17" t="s">
        <v>378</v>
      </c>
    </row>
    <row r="63" customFormat="false" ht="15" hidden="false" customHeight="false" outlineLevel="0" collapsed="false">
      <c r="A63" s="3" t="s">
        <v>381</v>
      </c>
      <c r="B63" s="17" t="s">
        <v>382</v>
      </c>
      <c r="C63" s="25" t="n">
        <f aca="false">$C$61-$C$62</f>
        <v>560926.77207984</v>
      </c>
      <c r="E63" s="17" t="s">
        <v>383</v>
      </c>
    </row>
    <row r="64" customFormat="false" ht="32.8" hidden="false" customHeight="false" outlineLevel="0" collapsed="false">
      <c r="A64" s="3" t="s">
        <v>384</v>
      </c>
      <c r="B64" s="17" t="s">
        <v>385</v>
      </c>
      <c r="C64" s="25" t="n">
        <f aca="false">IF($C$47="own_desk",$C$36*$C$40,IF($C$47="market_plus_pct",$C$36*$C$40*(1-$C$42),$C$36*$C$41))</f>
        <v>563179.49004</v>
      </c>
      <c r="E64" s="17" t="s">
        <v>386</v>
      </c>
    </row>
    <row r="65" customFormat="false" ht="22.35" hidden="false" customHeight="false" outlineLevel="0" collapsed="false">
      <c r="A65" s="3" t="s">
        <v>387</v>
      </c>
      <c r="B65" s="17" t="s">
        <v>388</v>
      </c>
      <c r="C65" s="25" t="n">
        <f aca="false">$C$36*$C$40-$C$64</f>
        <v>-563179.49004</v>
      </c>
      <c r="E65" s="17" t="s">
        <v>383</v>
      </c>
    </row>
    <row r="66" customFormat="false" ht="15" hidden="false" customHeight="false" outlineLevel="0" collapsed="false">
      <c r="A66" s="3" t="s">
        <v>389</v>
      </c>
      <c r="B66" s="17" t="s">
        <v>390</v>
      </c>
      <c r="C66" s="25" t="n">
        <f aca="false">$C$64-$C$63</f>
        <v>2252.71796015999</v>
      </c>
      <c r="E66" s="17" t="s">
        <v>391</v>
      </c>
    </row>
    <row r="67" customFormat="false" ht="15" hidden="false" customHeight="false" outlineLevel="0" collapsed="false">
      <c r="A67" s="3" t="s">
        <v>392</v>
      </c>
      <c r="B67" s="17" t="s">
        <v>393</v>
      </c>
      <c r="C67" s="26" t="n">
        <f aca="false">IF($C$36*$C$40=0,0,$C$66/($C$36*$C$40))</f>
        <v>0</v>
      </c>
      <c r="E67" s="17" t="s">
        <v>383</v>
      </c>
    </row>
    <row r="68" customFormat="false" ht="22.35" hidden="false" customHeight="false" outlineLevel="0" collapsed="false">
      <c r="A68" s="3" t="s">
        <v>394</v>
      </c>
      <c r="B68" s="17" t="s">
        <v>395</v>
      </c>
      <c r="C68" s="6" t="str">
        <f aca="false">IF($C$67&lt;$C$51,"YES — Finance approval","no")</f>
        <v>YES — Finance approval</v>
      </c>
      <c r="E68" s="17" t="s">
        <v>396</v>
      </c>
    </row>
    <row r="69" customFormat="false" ht="22.35" hidden="false" customHeight="false" outlineLevel="0" collapsed="false">
      <c r="A69" s="3" t="s">
        <v>397</v>
      </c>
      <c r="B69" s="17" t="s">
        <v>398</v>
      </c>
      <c r="C69" s="25" t="n">
        <f aca="false">IF($C$49="round_up_unit",CEILING($C$63,$C$50),IF($C$49="nearest_unit",MROUND($C$63,$C$50),IF($C$49="nearest_n",MROUND($C$63,$C$50),FLOOR($C$63,$C$50))))</f>
        <v>560926</v>
      </c>
      <c r="E69" s="17" t="s">
        <v>399</v>
      </c>
    </row>
    <row r="70" customFormat="false" ht="23.85" hidden="false" customHeight="false" outlineLevel="0" collapsed="false">
      <c r="A70" s="3" t="s">
        <v>400</v>
      </c>
      <c r="B70" s="17" t="s">
        <v>401</v>
      </c>
      <c r="C70" s="25" t="n">
        <f aca="false">$C$63-$C$69</f>
        <v>0.772079839953221</v>
      </c>
      <c r="E70" s="17" t="s">
        <v>402</v>
      </c>
    </row>
    <row r="71" customFormat="false" ht="22.35" hidden="false" customHeight="false" outlineLevel="0" collapsed="false">
      <c r="A71" s="3" t="s">
        <v>403</v>
      </c>
      <c r="B71" s="17" t="s">
        <v>404</v>
      </c>
      <c r="C71" s="24" t="n">
        <f aca="false">IF($C$52="",$C$59,$C$60/(1-$C$52))</f>
        <v>0.857097236363636</v>
      </c>
      <c r="E71" s="17" t="s">
        <v>358</v>
      </c>
    </row>
    <row r="72" customFormat="false" ht="15" hidden="false" customHeight="false" outlineLevel="0" collapsed="false">
      <c r="A72" s="3" t="s">
        <v>405</v>
      </c>
      <c r="B72" s="17" t="s">
        <v>406</v>
      </c>
      <c r="C72" s="25" t="n">
        <f aca="false">IF($C$53="rebate",$C$65*$C$54,0)</f>
        <v>0</v>
      </c>
      <c r="E72" s="17" t="s">
        <v>407</v>
      </c>
    </row>
    <row r="73" customFormat="false" ht="15" hidden="false" customHeight="false" outlineLevel="0" collapsed="false">
      <c r="A73" s="3" t="s">
        <v>408</v>
      </c>
      <c r="B73" s="17" t="s">
        <v>409</v>
      </c>
      <c r="C73" s="25" t="n">
        <f aca="false">$C$36*$C$40*$C$55</f>
        <v>0</v>
      </c>
      <c r="E73" s="17" t="s">
        <v>410</v>
      </c>
    </row>
    <row r="74" customFormat="false" ht="23.85" hidden="false" customHeight="false" outlineLevel="0" collapsed="false">
      <c r="A74" s="3" t="s">
        <v>411</v>
      </c>
      <c r="B74" s="17" t="s">
        <v>412</v>
      </c>
      <c r="C74" s="25" t="n">
        <f aca="false">ROUND($C$63+$C$65+$C$66-$C$36*$C$40,6)</f>
        <v>0</v>
      </c>
      <c r="E74" s="17" t="s">
        <v>413</v>
      </c>
    </row>
    <row r="76" customFormat="false" ht="15" hidden="false" customHeight="false" outlineLevel="0" collapsed="false">
      <c r="A76" s="15" t="s">
        <v>414</v>
      </c>
    </row>
    <row r="77" customFormat="false" ht="15" hidden="false" customHeight="false" outlineLevel="0" collapsed="false">
      <c r="A77" s="16" t="s">
        <v>415</v>
      </c>
      <c r="B77" s="16" t="s">
        <v>416</v>
      </c>
      <c r="C77" s="16" t="s">
        <v>417</v>
      </c>
      <c r="D77" s="16" t="s">
        <v>418</v>
      </c>
      <c r="E77" s="16" t="s">
        <v>419</v>
      </c>
    </row>
    <row r="78" customFormat="false" ht="15" hidden="false" customHeight="false" outlineLevel="0" collapsed="false">
      <c r="A78" s="6" t="str">
        <f aca="false">"CL."&amp;$C$39&amp;"."&amp;$C$37&amp;".COLLECTED"</f>
        <v>CL.ALI.USDT.COLLECTED</v>
      </c>
      <c r="B78" s="6" t="s">
        <v>420</v>
      </c>
      <c r="C78" s="25" t="n">
        <f aca="false">$C$36</f>
        <v>661060</v>
      </c>
      <c r="D78" s="18" t="s">
        <v>421</v>
      </c>
      <c r="E78" s="18" t="s">
        <v>422</v>
      </c>
    </row>
    <row r="79" customFormat="false" ht="15" hidden="false" customHeight="false" outlineLevel="0" collapsed="false">
      <c r="A79" s="6" t="str">
        <f aca="false">"CL.PROJECT."&amp;$C$37&amp;".PAYABLE"</f>
        <v>CL.PROJECT.USDT.PAYABLE</v>
      </c>
      <c r="B79" s="6" t="s">
        <v>423</v>
      </c>
      <c r="C79" s="25" t="n">
        <f aca="false">$C$36</f>
        <v>661060</v>
      </c>
      <c r="D79" s="18" t="s">
        <v>421</v>
      </c>
      <c r="E79" s="18" t="s">
        <v>422</v>
      </c>
    </row>
    <row r="80" customFormat="false" ht="15" hidden="false" customHeight="false" outlineLevel="0" collapsed="false">
      <c r="A80" s="6" t="str">
        <f aca="false">"CL.PROJECT."&amp;$C$37&amp;".PAYABLE"</f>
        <v>CL.PROJECT.USDT.PAYABLE</v>
      </c>
      <c r="B80" s="6" t="s">
        <v>420</v>
      </c>
      <c r="C80" s="25" t="n">
        <f aca="false">$C$36</f>
        <v>661060</v>
      </c>
      <c r="D80" s="18" t="s">
        <v>421</v>
      </c>
      <c r="E80" s="18" t="s">
        <v>424</v>
      </c>
    </row>
    <row r="81" customFormat="false" ht="15" hidden="false" customHeight="false" outlineLevel="0" collapsed="false">
      <c r="A81" s="6" t="str">
        <f aca="false">"CL."&amp;$C$39&amp;"."&amp;$C$37&amp;".COLLECTED"</f>
        <v>CL.ALI.USDT.COLLECTED</v>
      </c>
      <c r="B81" s="6" t="s">
        <v>423</v>
      </c>
      <c r="C81" s="25" t="n">
        <f aca="false">$C$36</f>
        <v>661060</v>
      </c>
      <c r="D81" s="18" t="s">
        <v>421</v>
      </c>
      <c r="E81" s="18" t="s">
        <v>424</v>
      </c>
    </row>
    <row r="82" customFormat="false" ht="15" hidden="false" customHeight="false" outlineLevel="0" collapsed="false">
      <c r="A82" s="6" t="str">
        <f aca="false">"CL."&amp;$C$39&amp;"."&amp;$C$38&amp;".DUE"</f>
        <v>CL.ALI.EUR.DUE</v>
      </c>
      <c r="B82" s="6" t="s">
        <v>420</v>
      </c>
      <c r="C82" s="25" t="n">
        <f aca="false">$C$63</f>
        <v>560926.77207984</v>
      </c>
      <c r="D82" s="18" t="s">
        <v>425</v>
      </c>
      <c r="E82" s="18" t="s">
        <v>426</v>
      </c>
    </row>
    <row r="83" customFormat="false" ht="15" hidden="false" customHeight="false" outlineLevel="0" collapsed="false">
      <c r="A83" s="6" t="str">
        <f aca="false">"CO."&amp;$C$39&amp;"."&amp;$C$38&amp;".POOL"</f>
        <v>CO.ALI.EUR.POOL</v>
      </c>
      <c r="B83" s="6" t="s">
        <v>420</v>
      </c>
      <c r="C83" s="25" t="n">
        <f aca="false">IF($C$53="rebate",0,$C$66)</f>
        <v>2252.71796015999</v>
      </c>
      <c r="D83" s="18" t="s">
        <v>427</v>
      </c>
      <c r="E83" s="18" t="s">
        <v>428</v>
      </c>
    </row>
    <row r="84" customFormat="false" ht="15" hidden="false" customHeight="false" outlineLevel="0" collapsed="false">
      <c r="A84" s="6" t="str">
        <f aca="false">"CO."&amp;$C$39&amp;"."&amp;$C$38&amp;".REBATE_RECEIVABLE"</f>
        <v>CO.ALI.EUR.REBATE_RECEIVABLE</v>
      </c>
      <c r="B84" s="6" t="s">
        <v>420</v>
      </c>
      <c r="C84" s="25" t="n">
        <f aca="false">$C$72</f>
        <v>0</v>
      </c>
      <c r="D84" s="18" t="s">
        <v>427</v>
      </c>
      <c r="E84" s="18" t="s">
        <v>429</v>
      </c>
    </row>
    <row r="85" customFormat="false" ht="15" hidden="false" customHeight="false" outlineLevel="0" collapsed="false">
      <c r="A85" s="6" t="str">
        <f aca="false">"CL.PROJECT."&amp;$C$38&amp;".PAYABLE"</f>
        <v>CL.PROJECT.EUR.PAYABLE</v>
      </c>
      <c r="B85" s="6" t="s">
        <v>423</v>
      </c>
      <c r="C85" s="25" t="n">
        <f aca="false">$C$63</f>
        <v>560926.77207984</v>
      </c>
      <c r="D85" s="18" t="s">
        <v>421</v>
      </c>
      <c r="E85" s="18" t="s">
        <v>426</v>
      </c>
    </row>
    <row r="86" customFormat="false" ht="15" hidden="false" customHeight="false" outlineLevel="0" collapsed="false">
      <c r="A86" s="6" t="str">
        <f aca="false">"CO.NONE."&amp;$C$38&amp;".EARN_GROSS"</f>
        <v>CO.NONE.EUR.EARN_GROSS</v>
      </c>
      <c r="B86" s="6" t="s">
        <v>423</v>
      </c>
      <c r="C86" s="25" t="n">
        <f aca="false">$C$66+$C$72</f>
        <v>2252.71796015999</v>
      </c>
      <c r="D86" s="18" t="s">
        <v>427</v>
      </c>
      <c r="E86" s="18" t="s">
        <v>430</v>
      </c>
    </row>
    <row r="87" customFormat="false" ht="15" hidden="false" customHeight="false" outlineLevel="0" collapsed="false">
      <c r="A87" s="6" t="str">
        <f aca="false">"CL."&amp;$C$39&amp;"."&amp;$C$38&amp;".INTRANSIT"</f>
        <v>CL.ALI.EUR.INTRANSIT</v>
      </c>
      <c r="B87" s="6" t="s">
        <v>420</v>
      </c>
      <c r="C87" s="25" t="n">
        <f aca="false">$C$69</f>
        <v>560926</v>
      </c>
      <c r="D87" s="18" t="s">
        <v>421</v>
      </c>
      <c r="E87" s="18" t="s">
        <v>431</v>
      </c>
    </row>
    <row r="88" customFormat="false" ht="15" hidden="false" customHeight="false" outlineLevel="0" collapsed="false">
      <c r="A88" s="6" t="str">
        <f aca="false">"CL."&amp;$C$39&amp;"."&amp;$C$38&amp;".DUE"</f>
        <v>CL.ALI.EUR.DUE</v>
      </c>
      <c r="B88" s="6" t="s">
        <v>423</v>
      </c>
      <c r="C88" s="25" t="n">
        <f aca="false">$C$69</f>
        <v>560926</v>
      </c>
      <c r="D88" s="18" t="s">
        <v>421</v>
      </c>
      <c r="E88" s="18" t="s">
        <v>432</v>
      </c>
    </row>
    <row r="89" customFormat="false" ht="15" hidden="false" customHeight="false" outlineLevel="0" collapsed="false">
      <c r="A89" s="6" t="str">
        <f aca="false">"CL.PROJECT."&amp;$C$38&amp;".PAYABLE"</f>
        <v>CL.PROJECT.EUR.PAYABLE</v>
      </c>
      <c r="B89" s="6" t="s">
        <v>420</v>
      </c>
      <c r="C89" s="25" t="n">
        <f aca="false">$C$69</f>
        <v>560926</v>
      </c>
      <c r="D89" s="18" t="s">
        <v>421</v>
      </c>
      <c r="E89" s="18" t="s">
        <v>433</v>
      </c>
    </row>
    <row r="90" customFormat="false" ht="15" hidden="false" customHeight="false" outlineLevel="0" collapsed="false">
      <c r="A90" s="6" t="str">
        <f aca="false">"CL."&amp;$C$39&amp;"."&amp;$C$38&amp;".INTRANSIT"</f>
        <v>CL.ALI.EUR.INTRANSIT</v>
      </c>
      <c r="B90" s="6" t="s">
        <v>423</v>
      </c>
      <c r="C90" s="25" t="n">
        <f aca="false">$C$69</f>
        <v>560926</v>
      </c>
      <c r="D90" s="18" t="s">
        <v>421</v>
      </c>
      <c r="E90" s="18" t="s">
        <v>433</v>
      </c>
    </row>
    <row r="91" customFormat="false" ht="15" hidden="false" customHeight="false" outlineLevel="0" collapsed="false">
      <c r="A91" s="6" t="str">
        <f aca="false">"CO.NONE."&amp;$C$38&amp;".EARN_GROSS"</f>
        <v>CO.NONE.EUR.EARN_GROSS</v>
      </c>
      <c r="B91" s="6" t="s">
        <v>420</v>
      </c>
      <c r="C91" s="25" t="n">
        <f aca="false">$C$73</f>
        <v>0</v>
      </c>
      <c r="D91" s="18" t="s">
        <v>434</v>
      </c>
      <c r="E91" s="18" t="s">
        <v>435</v>
      </c>
    </row>
    <row r="92" customFormat="false" ht="15" hidden="false" customHeight="false" outlineLevel="0" collapsed="false">
      <c r="A92" s="6" t="str">
        <f aca="false">"CO.INTRODUCER."&amp;$C$38&amp;".REFERRAL_PAYABLE"</f>
        <v>CO.INTRODUCER.EUR.REFERRAL_PAYABLE</v>
      </c>
      <c r="B92" s="6" t="s">
        <v>423</v>
      </c>
      <c r="C92" s="25" t="n">
        <f aca="false">$C$73</f>
        <v>0</v>
      </c>
      <c r="D92" s="18" t="s">
        <v>434</v>
      </c>
      <c r="E92" s="18" t="s">
        <v>436</v>
      </c>
    </row>
    <row r="93" customFormat="false" ht="30" hidden="false" customHeight="true" outlineLevel="0" collapsed="false">
      <c r="A93" s="27" t="s">
        <v>437</v>
      </c>
      <c r="C93" s="28" t="n">
        <f aca="false">ROUND(SUMIF($B$82:$B$92,"Dr",$C$82:$C$92)-SUMIF($B$82:$B$92,"Cr",$C$82:$C$92),6)</f>
        <v>0</v>
      </c>
      <c r="E93" s="17" t="s">
        <v>438</v>
      </c>
    </row>
    <row r="95" customFormat="false" ht="15" hidden="false" customHeight="false" outlineLevel="0" collapsed="false">
      <c r="A95" s="15" t="s">
        <v>439</v>
      </c>
    </row>
    <row r="96" customFormat="false" ht="15" hidden="false" customHeight="false" outlineLevel="0" collapsed="false">
      <c r="A96" s="16" t="s">
        <v>440</v>
      </c>
      <c r="B96" s="16" t="s">
        <v>441</v>
      </c>
      <c r="C96" s="16" t="s">
        <v>442</v>
      </c>
      <c r="D96" s="16" t="s">
        <v>443</v>
      </c>
      <c r="E96" s="16" t="s">
        <v>444</v>
      </c>
    </row>
    <row r="97" customFormat="false" ht="30" hidden="false" customHeight="true" outlineLevel="0" collapsed="false">
      <c r="A97" s="3" t="s">
        <v>459</v>
      </c>
      <c r="B97" s="20" t="n">
        <v>0.857097</v>
      </c>
      <c r="C97" s="24" t="n">
        <f aca="false">$C$71</f>
        <v>0.857097236363636</v>
      </c>
      <c r="D97" s="28" t="n">
        <f aca="false">ROUND(C97-B97,2)</f>
        <v>0</v>
      </c>
      <c r="E97" s="17" t="s">
        <v>460</v>
      </c>
    </row>
    <row r="98" customFormat="false" ht="15.75" hidden="false" customHeight="true" outlineLevel="0" collapsed="false">
      <c r="A98" s="3" t="s">
        <v>445</v>
      </c>
      <c r="B98" s="19" t="n">
        <v>560927</v>
      </c>
      <c r="C98" s="25" t="n">
        <f aca="false">$C$61</f>
        <v>560926.77207984</v>
      </c>
      <c r="D98" s="28" t="n">
        <f aca="false">ROUND(C98-B98,2)</f>
        <v>-0.23</v>
      </c>
      <c r="E98" s="17" t="s">
        <v>461</v>
      </c>
    </row>
    <row r="100" customFormat="false" ht="15" hidden="false" customHeight="false" outlineLevel="0" collapsed="false">
      <c r="A100" s="15" t="s">
        <v>447</v>
      </c>
    </row>
    <row r="101" customFormat="false" ht="31.5" hidden="false" customHeight="true" outlineLevel="0" collapsed="false">
      <c r="A101" s="13" t="s">
        <v>448</v>
      </c>
      <c r="B101" s="29" t="s">
        <v>462</v>
      </c>
      <c r="C101" s="29"/>
      <c r="D101" s="29"/>
      <c r="E101" s="29"/>
    </row>
    <row r="102" customFormat="false" ht="31.5" hidden="false" customHeight="true" outlineLevel="0" collapsed="false">
      <c r="A102" s="13" t="s">
        <v>448</v>
      </c>
      <c r="B102" s="29" t="s">
        <v>463</v>
      </c>
      <c r="C102" s="29"/>
      <c r="D102" s="29"/>
      <c r="E102" s="29"/>
    </row>
    <row r="103" customFormat="false" ht="31.5" hidden="false" customHeight="true" outlineLevel="0" collapsed="false">
      <c r="A103" s="13" t="s">
        <v>448</v>
      </c>
      <c r="B103" s="29" t="s">
        <v>464</v>
      </c>
      <c r="C103" s="29"/>
      <c r="D103" s="29"/>
      <c r="E103" s="29"/>
    </row>
  </sheetData>
  <mergeCells count="3">
    <mergeCell ref="B101:E101"/>
    <mergeCell ref="B102:E102"/>
    <mergeCell ref="B103:E10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1" style="0" width="34"/>
    <col collapsed="false" customWidth="true" hidden="false" outlineLevel="0" max="3" min="3" style="0" width="22"/>
    <col collapsed="false" customWidth="true" hidden="false" outlineLevel="0" max="4" min="4" style="0" width="18"/>
    <col collapsed="false" customWidth="true" hidden="false" outlineLevel="0" max="5" min="5" style="0" width="48"/>
  </cols>
  <sheetData>
    <row r="1" customFormat="false" ht="16.15" hidden="false" customHeight="false" outlineLevel="0" collapsed="false">
      <c r="A1" s="1" t="s">
        <v>465</v>
      </c>
    </row>
    <row r="2" customFormat="false" ht="15" hidden="false" customHeight="false" outlineLevel="0" collapsed="false">
      <c r="A2" s="12" t="s">
        <v>210</v>
      </c>
      <c r="B2" s="13" t="s">
        <v>466</v>
      </c>
    </row>
    <row r="3" customFormat="false" ht="30" hidden="false" customHeight="true" outlineLevel="0" collapsed="false">
      <c r="A3" s="12" t="s">
        <v>212</v>
      </c>
      <c r="B3" s="14" t="s">
        <v>467</v>
      </c>
    </row>
    <row r="5" customFormat="false" ht="15" hidden="false" customHeight="false" outlineLevel="0" collapsed="false">
      <c r="A5" s="15" t="s">
        <v>214</v>
      </c>
    </row>
    <row r="6" customFormat="false" ht="15" hidden="false" customHeight="false" outlineLevel="0" collapsed="false">
      <c r="A6" s="16" t="s">
        <v>215</v>
      </c>
      <c r="B6" s="16" t="s">
        <v>216</v>
      </c>
      <c r="C6" s="16" t="s">
        <v>217</v>
      </c>
      <c r="D6" s="16" t="s">
        <v>218</v>
      </c>
      <c r="E6" s="16" t="s">
        <v>219</v>
      </c>
    </row>
    <row r="7" customFormat="false" ht="30" hidden="false" customHeight="true" outlineLevel="0" collapsed="false">
      <c r="A7" s="3" t="s">
        <v>220</v>
      </c>
      <c r="B7" s="3" t="s">
        <v>221</v>
      </c>
      <c r="C7" s="9" t="s">
        <v>126</v>
      </c>
      <c r="D7" s="3" t="s">
        <v>222</v>
      </c>
      <c r="E7" s="17" t="s">
        <v>223</v>
      </c>
    </row>
    <row r="8" customFormat="false" ht="30" hidden="false" customHeight="true" outlineLevel="0" collapsed="false">
      <c r="A8" s="3" t="s">
        <v>224</v>
      </c>
      <c r="B8" s="3" t="s">
        <v>225</v>
      </c>
      <c r="C8" s="10"/>
      <c r="D8" s="3" t="s">
        <v>226</v>
      </c>
      <c r="E8" s="17" t="s">
        <v>227</v>
      </c>
    </row>
    <row r="9" customFormat="false" ht="30" hidden="false" customHeight="true" outlineLevel="0" collapsed="false">
      <c r="A9" s="3" t="s">
        <v>228</v>
      </c>
      <c r="B9" s="3" t="s">
        <v>229</v>
      </c>
      <c r="C9" s="9" t="s">
        <v>468</v>
      </c>
      <c r="D9" s="3" t="s">
        <v>222</v>
      </c>
      <c r="E9" s="17" t="s">
        <v>230</v>
      </c>
    </row>
    <row r="10" customFormat="false" ht="30" hidden="false" customHeight="true" outlineLevel="0" collapsed="false">
      <c r="A10" s="3" t="s">
        <v>231</v>
      </c>
      <c r="B10" s="3" t="s">
        <v>232</v>
      </c>
      <c r="C10" s="10"/>
      <c r="D10" s="3" t="s">
        <v>226</v>
      </c>
      <c r="E10" s="17" t="s">
        <v>233</v>
      </c>
    </row>
    <row r="11" customFormat="false" ht="15.75" hidden="false" customHeight="true" outlineLevel="0" collapsed="false">
      <c r="A11" s="3" t="s">
        <v>234</v>
      </c>
      <c r="B11" s="3" t="s">
        <v>235</v>
      </c>
      <c r="C11" s="9" t="s">
        <v>236</v>
      </c>
      <c r="D11" s="3" t="s">
        <v>222</v>
      </c>
      <c r="E11" s="17" t="s">
        <v>237</v>
      </c>
    </row>
    <row r="12" customFormat="false" ht="30" hidden="false" customHeight="true" outlineLevel="0" collapsed="false">
      <c r="A12" s="3" t="s">
        <v>238</v>
      </c>
      <c r="B12" s="3" t="s">
        <v>239</v>
      </c>
      <c r="C12" s="9" t="s">
        <v>469</v>
      </c>
      <c r="D12" s="3" t="s">
        <v>222</v>
      </c>
      <c r="E12" s="17" t="s">
        <v>241</v>
      </c>
    </row>
    <row r="13" customFormat="false" ht="15.75" hidden="false" customHeight="true" outlineLevel="0" collapsed="false">
      <c r="A13" s="3" t="s">
        <v>242</v>
      </c>
      <c r="B13" s="3" t="s">
        <v>243</v>
      </c>
      <c r="C13" s="9" t="s">
        <v>93</v>
      </c>
      <c r="D13" s="3" t="s">
        <v>222</v>
      </c>
      <c r="E13" s="17"/>
    </row>
    <row r="14" customFormat="false" ht="30" hidden="false" customHeight="true" outlineLevel="0" collapsed="false">
      <c r="A14" s="3" t="s">
        <v>244</v>
      </c>
      <c r="B14" s="3" t="s">
        <v>245</v>
      </c>
      <c r="C14" s="9" t="s">
        <v>94</v>
      </c>
      <c r="D14" s="3" t="s">
        <v>222</v>
      </c>
      <c r="E14" s="17" t="s">
        <v>246</v>
      </c>
    </row>
    <row r="15" customFormat="false" ht="15.75" hidden="false" customHeight="true" outlineLevel="0" collapsed="false">
      <c r="A15" s="3" t="s">
        <v>247</v>
      </c>
      <c r="B15" s="3" t="s">
        <v>248</v>
      </c>
      <c r="C15" s="9" t="s">
        <v>85</v>
      </c>
      <c r="D15" s="3" t="s">
        <v>222</v>
      </c>
      <c r="E15" s="17" t="s">
        <v>249</v>
      </c>
    </row>
    <row r="16" customFormat="false" ht="30" hidden="false" customHeight="true" outlineLevel="0" collapsed="false">
      <c r="A16" s="3" t="s">
        <v>250</v>
      </c>
      <c r="B16" s="3" t="s">
        <v>251</v>
      </c>
      <c r="C16" s="9" t="s">
        <v>252</v>
      </c>
      <c r="D16" s="3" t="s">
        <v>222</v>
      </c>
      <c r="E16" s="17" t="s">
        <v>253</v>
      </c>
    </row>
    <row r="17" customFormat="false" ht="30" hidden="false" customHeight="true" outlineLevel="0" collapsed="false">
      <c r="A17" s="3" t="s">
        <v>254</v>
      </c>
      <c r="B17" s="3" t="s">
        <v>255</v>
      </c>
      <c r="C17" s="9" t="s">
        <v>256</v>
      </c>
      <c r="D17" s="3" t="s">
        <v>222</v>
      </c>
      <c r="E17" s="17" t="s">
        <v>257</v>
      </c>
    </row>
    <row r="18" customFormat="false" ht="15.75" hidden="false" customHeight="true" outlineLevel="0" collapsed="false">
      <c r="A18" s="3" t="s">
        <v>258</v>
      </c>
      <c r="B18" s="3" t="s">
        <v>259</v>
      </c>
      <c r="C18" s="9" t="s">
        <v>86</v>
      </c>
      <c r="D18" s="3" t="s">
        <v>222</v>
      </c>
      <c r="E18" s="17" t="s">
        <v>260</v>
      </c>
    </row>
    <row r="19" customFormat="false" ht="15.75" hidden="false" customHeight="true" outlineLevel="0" collapsed="false">
      <c r="A19" s="3" t="s">
        <v>261</v>
      </c>
      <c r="B19" s="3" t="s">
        <v>262</v>
      </c>
      <c r="C19" s="11" t="n">
        <v>0.02</v>
      </c>
      <c r="D19" s="3" t="s">
        <v>222</v>
      </c>
      <c r="E19" s="17" t="s">
        <v>263</v>
      </c>
    </row>
    <row r="20" customFormat="false" ht="15.75" hidden="false" customHeight="true" outlineLevel="0" collapsed="false">
      <c r="A20" s="3" t="s">
        <v>264</v>
      </c>
      <c r="B20" s="3" t="s">
        <v>265</v>
      </c>
      <c r="C20" s="11" t="n">
        <v>0.014</v>
      </c>
      <c r="D20" s="3" t="s">
        <v>222</v>
      </c>
      <c r="E20" s="17"/>
    </row>
    <row r="21" customFormat="false" ht="30" hidden="false" customHeight="true" outlineLevel="0" collapsed="false">
      <c r="A21" s="3" t="s">
        <v>266</v>
      </c>
      <c r="B21" s="3" t="s">
        <v>267</v>
      </c>
      <c r="C21" s="11" t="n">
        <v>0.006</v>
      </c>
      <c r="D21" s="3" t="s">
        <v>222</v>
      </c>
      <c r="E21" s="17" t="s">
        <v>268</v>
      </c>
    </row>
    <row r="22" customFormat="false" ht="15.75" hidden="false" customHeight="true" outlineLevel="0" collapsed="false">
      <c r="A22" s="3" t="s">
        <v>269</v>
      </c>
      <c r="B22" s="3" t="s">
        <v>270</v>
      </c>
      <c r="C22" s="10"/>
      <c r="D22" s="3" t="s">
        <v>226</v>
      </c>
      <c r="E22" s="17" t="s">
        <v>271</v>
      </c>
    </row>
    <row r="23" customFormat="false" ht="15.75" hidden="false" customHeight="true" outlineLevel="0" collapsed="false">
      <c r="A23" s="3" t="s">
        <v>272</v>
      </c>
      <c r="B23" s="3" t="s">
        <v>273</v>
      </c>
      <c r="C23" s="10"/>
      <c r="D23" s="3" t="s">
        <v>226</v>
      </c>
      <c r="E23" s="17" t="s">
        <v>271</v>
      </c>
    </row>
    <row r="24" customFormat="false" ht="15.75" hidden="false" customHeight="true" outlineLevel="0" collapsed="false">
      <c r="A24" s="3" t="s">
        <v>274</v>
      </c>
      <c r="B24" s="3" t="s">
        <v>275</v>
      </c>
      <c r="C24" s="10"/>
      <c r="D24" s="3" t="s">
        <v>226</v>
      </c>
      <c r="E24" s="17" t="s">
        <v>276</v>
      </c>
    </row>
    <row r="25" customFormat="false" ht="30" hidden="false" customHeight="true" outlineLevel="0" collapsed="false">
      <c r="A25" s="3" t="s">
        <v>277</v>
      </c>
      <c r="B25" s="3" t="s">
        <v>278</v>
      </c>
      <c r="C25" s="10"/>
      <c r="D25" s="3" t="s">
        <v>279</v>
      </c>
      <c r="E25" s="17" t="s">
        <v>280</v>
      </c>
    </row>
    <row r="26" customFormat="false" ht="15.75" hidden="false" customHeight="true" outlineLevel="0" collapsed="false">
      <c r="A26" s="3" t="s">
        <v>281</v>
      </c>
      <c r="B26" s="3" t="s">
        <v>282</v>
      </c>
      <c r="C26" s="9" t="s">
        <v>95</v>
      </c>
      <c r="D26" s="3" t="s">
        <v>222</v>
      </c>
      <c r="E26" s="17" t="s">
        <v>284</v>
      </c>
    </row>
    <row r="27" customFormat="false" ht="15.75" hidden="false" customHeight="true" outlineLevel="0" collapsed="false">
      <c r="A27" s="3" t="s">
        <v>285</v>
      </c>
      <c r="B27" s="3" t="s">
        <v>286</v>
      </c>
      <c r="C27" s="10"/>
      <c r="D27" s="3" t="s">
        <v>279</v>
      </c>
      <c r="E27" s="17" t="s">
        <v>288</v>
      </c>
    </row>
    <row r="28" customFormat="false" ht="15.75" hidden="false" customHeight="true" outlineLevel="0" collapsed="false">
      <c r="A28" s="3" t="s">
        <v>289</v>
      </c>
      <c r="B28" s="3" t="s">
        <v>290</v>
      </c>
      <c r="C28" s="9"/>
      <c r="D28" s="3" t="s">
        <v>279</v>
      </c>
      <c r="E28" s="17" t="s">
        <v>291</v>
      </c>
    </row>
    <row r="29" customFormat="false" ht="30" hidden="false" customHeight="true" outlineLevel="0" collapsed="false">
      <c r="A29" s="3" t="s">
        <v>292</v>
      </c>
      <c r="B29" s="3" t="s">
        <v>293</v>
      </c>
      <c r="C29" s="9" t="s">
        <v>294</v>
      </c>
      <c r="D29" s="3" t="s">
        <v>222</v>
      </c>
      <c r="E29" s="17" t="s">
        <v>295</v>
      </c>
    </row>
    <row r="30" customFormat="false" ht="15.75" hidden="false" customHeight="true" outlineLevel="0" collapsed="false">
      <c r="A30" s="3" t="s">
        <v>296</v>
      </c>
      <c r="B30" s="3" t="s">
        <v>297</v>
      </c>
      <c r="C30" s="10"/>
      <c r="D30" s="3" t="s">
        <v>226</v>
      </c>
      <c r="E30" s="17"/>
    </row>
    <row r="31" customFormat="false" ht="15.75" hidden="false" customHeight="true" outlineLevel="0" collapsed="false">
      <c r="A31" s="3" t="s">
        <v>298</v>
      </c>
      <c r="B31" s="3" t="s">
        <v>299</v>
      </c>
      <c r="C31" s="10"/>
      <c r="D31" s="3" t="s">
        <v>226</v>
      </c>
      <c r="E31" s="17" t="s">
        <v>300</v>
      </c>
    </row>
    <row r="32" customFormat="false" ht="30" hidden="false" customHeight="true" outlineLevel="0" collapsed="false">
      <c r="A32" s="3" t="s">
        <v>301</v>
      </c>
      <c r="B32" s="3" t="s">
        <v>302</v>
      </c>
      <c r="C32" s="10"/>
      <c r="D32" s="3" t="s">
        <v>226</v>
      </c>
      <c r="E32" s="17" t="s">
        <v>303</v>
      </c>
    </row>
    <row r="34" customFormat="false" ht="15" hidden="false" customHeight="false" outlineLevel="0" collapsed="false">
      <c r="A34" s="15" t="s">
        <v>304</v>
      </c>
    </row>
    <row r="35" customFormat="false" ht="15" hidden="false" customHeight="false" outlineLevel="0" collapsed="false">
      <c r="A35" s="16" t="s">
        <v>305</v>
      </c>
      <c r="B35" s="16" t="s">
        <v>306</v>
      </c>
      <c r="C35" s="16" t="s">
        <v>217</v>
      </c>
      <c r="D35" s="16" t="s">
        <v>307</v>
      </c>
      <c r="E35" s="16" t="s">
        <v>308</v>
      </c>
    </row>
    <row r="36" customFormat="false" ht="15" hidden="false" customHeight="false" outlineLevel="0" collapsed="false">
      <c r="A36" s="3" t="s">
        <v>309</v>
      </c>
      <c r="B36" s="18" t="s">
        <v>310</v>
      </c>
      <c r="C36" s="19" t="n">
        <v>29325</v>
      </c>
      <c r="D36" s="18" t="s">
        <v>311</v>
      </c>
      <c r="E36" s="17" t="s">
        <v>312</v>
      </c>
    </row>
    <row r="37" customFormat="false" ht="15" hidden="false" customHeight="false" outlineLevel="0" collapsed="false">
      <c r="A37" s="3" t="s">
        <v>313</v>
      </c>
      <c r="B37" s="18" t="s">
        <v>314</v>
      </c>
      <c r="C37" s="7" t="s">
        <v>315</v>
      </c>
      <c r="D37" s="18" t="s">
        <v>316</v>
      </c>
      <c r="E37" s="17"/>
    </row>
    <row r="38" customFormat="false" ht="15" hidden="false" customHeight="false" outlineLevel="0" collapsed="false">
      <c r="A38" s="3" t="s">
        <v>317</v>
      </c>
      <c r="B38" s="18" t="s">
        <v>318</v>
      </c>
      <c r="C38" s="7" t="s">
        <v>319</v>
      </c>
      <c r="D38" s="18" t="s">
        <v>316</v>
      </c>
      <c r="E38" s="17"/>
    </row>
    <row r="39" customFormat="false" ht="15" hidden="false" customHeight="false" outlineLevel="0" collapsed="false">
      <c r="A39" s="3" t="s">
        <v>320</v>
      </c>
      <c r="B39" s="18" t="s">
        <v>321</v>
      </c>
      <c r="C39" s="7" t="s">
        <v>457</v>
      </c>
      <c r="D39" s="18" t="s">
        <v>316</v>
      </c>
      <c r="E39" s="17" t="s">
        <v>323</v>
      </c>
    </row>
    <row r="40" customFormat="false" ht="15" hidden="false" customHeight="false" outlineLevel="0" collapsed="false">
      <c r="A40" s="3" t="s">
        <v>324</v>
      </c>
      <c r="B40" s="18" t="s">
        <v>325</v>
      </c>
      <c r="C40" s="20" t="n">
        <v>0.888977323</v>
      </c>
      <c r="D40" s="18" t="s">
        <v>326</v>
      </c>
      <c r="E40" s="17" t="s">
        <v>327</v>
      </c>
    </row>
    <row r="41" customFormat="false" ht="22.35" hidden="false" customHeight="false" outlineLevel="0" collapsed="false">
      <c r="A41" s="3" t="s">
        <v>328</v>
      </c>
      <c r="B41" s="18" t="s">
        <v>329</v>
      </c>
      <c r="C41" s="20" t="n">
        <v>0.881421</v>
      </c>
      <c r="D41" s="18" t="s">
        <v>326</v>
      </c>
      <c r="E41" s="17" t="s">
        <v>330</v>
      </c>
    </row>
    <row r="42" customFormat="false" ht="22.35" hidden="false" customHeight="false" outlineLevel="0" collapsed="false">
      <c r="A42" s="3" t="s">
        <v>331</v>
      </c>
      <c r="B42" s="18" t="s">
        <v>332</v>
      </c>
      <c r="C42" s="22" t="n">
        <v>0</v>
      </c>
      <c r="D42" s="18" t="s">
        <v>333</v>
      </c>
      <c r="E42" s="17" t="s">
        <v>334</v>
      </c>
    </row>
    <row r="43" customFormat="false" ht="15" hidden="false" customHeight="false" outlineLevel="0" collapsed="false">
      <c r="A43" s="3" t="s">
        <v>335</v>
      </c>
      <c r="B43" s="18" t="s">
        <v>336</v>
      </c>
      <c r="C43" s="22" t="n">
        <v>0.02</v>
      </c>
      <c r="D43" s="18" t="s">
        <v>333</v>
      </c>
      <c r="E43" s="17" t="s">
        <v>262</v>
      </c>
    </row>
    <row r="44" customFormat="false" ht="15" hidden="false" customHeight="false" outlineLevel="0" collapsed="false">
      <c r="A44" s="3" t="s">
        <v>337</v>
      </c>
      <c r="B44" s="18" t="s">
        <v>338</v>
      </c>
      <c r="C44" s="22" t="n">
        <v>0.014</v>
      </c>
      <c r="D44" s="18" t="s">
        <v>333</v>
      </c>
      <c r="E44" s="17" t="s">
        <v>265</v>
      </c>
    </row>
    <row r="45" customFormat="false" ht="15" hidden="false" customHeight="false" outlineLevel="0" collapsed="false">
      <c r="A45" s="3" t="s">
        <v>339</v>
      </c>
      <c r="B45" s="18" t="s">
        <v>340</v>
      </c>
      <c r="C45" s="22" t="n">
        <v>0.006</v>
      </c>
      <c r="D45" s="18" t="s">
        <v>333</v>
      </c>
      <c r="E45" s="17" t="s">
        <v>267</v>
      </c>
    </row>
    <row r="46" customFormat="false" ht="15" hidden="false" customHeight="false" outlineLevel="0" collapsed="false">
      <c r="A46" s="3" t="s">
        <v>254</v>
      </c>
      <c r="B46" s="18" t="s">
        <v>341</v>
      </c>
      <c r="C46" s="7" t="s">
        <v>256</v>
      </c>
      <c r="D46" s="18" t="s">
        <v>316</v>
      </c>
      <c r="E46" s="17" t="s">
        <v>342</v>
      </c>
    </row>
    <row r="47" customFormat="false" ht="15" hidden="false" customHeight="false" outlineLevel="0" collapsed="false">
      <c r="A47" s="3" t="s">
        <v>244</v>
      </c>
      <c r="B47" s="18" t="s">
        <v>343</v>
      </c>
      <c r="C47" s="7" t="s">
        <v>94</v>
      </c>
      <c r="D47" s="18" t="s">
        <v>316</v>
      </c>
      <c r="E47" s="17" t="s">
        <v>344</v>
      </c>
    </row>
    <row r="48" customFormat="false" ht="15" hidden="false" customHeight="false" outlineLevel="0" collapsed="false">
      <c r="A48" s="3" t="s">
        <v>250</v>
      </c>
      <c r="B48" s="18" t="s">
        <v>345</v>
      </c>
      <c r="C48" s="7" t="s">
        <v>252</v>
      </c>
      <c r="D48" s="18" t="s">
        <v>316</v>
      </c>
      <c r="E48" s="17" t="s">
        <v>346</v>
      </c>
    </row>
    <row r="49" customFormat="false" ht="15" hidden="false" customHeight="false" outlineLevel="0" collapsed="false">
      <c r="A49" s="3" t="s">
        <v>347</v>
      </c>
      <c r="B49" s="18" t="s">
        <v>348</v>
      </c>
      <c r="C49" s="7" t="s">
        <v>349</v>
      </c>
      <c r="D49" s="18" t="s">
        <v>316</v>
      </c>
      <c r="E49" s="17" t="s">
        <v>350</v>
      </c>
    </row>
    <row r="50" customFormat="false" ht="15" hidden="false" customHeight="false" outlineLevel="0" collapsed="false">
      <c r="A50" s="3" t="s">
        <v>351</v>
      </c>
      <c r="B50" s="18" t="s">
        <v>352</v>
      </c>
      <c r="C50" s="19" t="n">
        <v>1</v>
      </c>
      <c r="D50" s="18" t="s">
        <v>311</v>
      </c>
      <c r="E50" s="17" t="s">
        <v>353</v>
      </c>
    </row>
    <row r="51" customFormat="false" ht="15" hidden="false" customHeight="false" outlineLevel="0" collapsed="false">
      <c r="A51" s="3" t="s">
        <v>354</v>
      </c>
      <c r="B51" s="18" t="s">
        <v>355</v>
      </c>
      <c r="C51" s="22" t="n">
        <v>0.005</v>
      </c>
      <c r="D51" s="18" t="s">
        <v>333</v>
      </c>
      <c r="E51" s="17" t="s">
        <v>275</v>
      </c>
    </row>
    <row r="52" customFormat="false" ht="15" hidden="false" customHeight="false" outlineLevel="0" collapsed="false">
      <c r="A52" s="3" t="s">
        <v>356</v>
      </c>
      <c r="B52" s="18" t="s">
        <v>357</v>
      </c>
      <c r="C52" s="23"/>
      <c r="D52" s="18" t="s">
        <v>333</v>
      </c>
      <c r="E52" s="17" t="s">
        <v>358</v>
      </c>
    </row>
    <row r="53" customFormat="false" ht="15" hidden="false" customHeight="false" outlineLevel="0" collapsed="false">
      <c r="A53" s="3" t="s">
        <v>281</v>
      </c>
      <c r="B53" s="18" t="s">
        <v>359</v>
      </c>
      <c r="C53" s="7" t="s">
        <v>458</v>
      </c>
      <c r="D53" s="18" t="s">
        <v>316</v>
      </c>
      <c r="E53" s="17" t="s">
        <v>361</v>
      </c>
    </row>
    <row r="54" customFormat="false" ht="15" hidden="false" customHeight="false" outlineLevel="0" collapsed="false">
      <c r="A54" s="3" t="s">
        <v>285</v>
      </c>
      <c r="B54" s="18" t="s">
        <v>360</v>
      </c>
      <c r="C54" s="22" t="n">
        <v>0</v>
      </c>
      <c r="D54" s="18" t="s">
        <v>333</v>
      </c>
      <c r="E54" s="17" t="s">
        <v>362</v>
      </c>
    </row>
    <row r="55" customFormat="false" ht="15" hidden="false" customHeight="false" outlineLevel="0" collapsed="false">
      <c r="A55" s="3" t="s">
        <v>363</v>
      </c>
      <c r="B55" s="18" t="s">
        <v>364</v>
      </c>
      <c r="C55" s="22" t="n">
        <v>0</v>
      </c>
      <c r="D55" s="18" t="s">
        <v>333</v>
      </c>
      <c r="E55" s="17" t="s">
        <v>365</v>
      </c>
    </row>
    <row r="57" customFormat="false" ht="15" hidden="false" customHeight="false" outlineLevel="0" collapsed="false">
      <c r="A57" s="15" t="s">
        <v>366</v>
      </c>
    </row>
    <row r="58" customFormat="false" ht="15" hidden="false" customHeight="false" outlineLevel="0" collapsed="false">
      <c r="A58" s="16" t="s">
        <v>367</v>
      </c>
      <c r="B58" s="16" t="s">
        <v>368</v>
      </c>
      <c r="C58" s="16" t="s">
        <v>217</v>
      </c>
      <c r="D58" s="16"/>
      <c r="E58" s="16" t="s">
        <v>369</v>
      </c>
    </row>
    <row r="59" customFormat="false" ht="22.35" hidden="false" customHeight="false" outlineLevel="0" collapsed="false">
      <c r="A59" s="3" t="s">
        <v>370</v>
      </c>
      <c r="B59" s="17" t="s">
        <v>371</v>
      </c>
      <c r="C59" s="24" t="n">
        <f aca="false">IF($C$46="market",$C$40,$C$41)</f>
        <v>0.888977323</v>
      </c>
      <c r="E59" s="17" t="s">
        <v>372</v>
      </c>
    </row>
    <row r="60" customFormat="false" ht="32.8" hidden="false" customHeight="false" outlineLevel="0" collapsed="false">
      <c r="A60" s="3" t="s">
        <v>373</v>
      </c>
      <c r="B60" s="17" t="s">
        <v>374</v>
      </c>
      <c r="C60" s="24" t="n">
        <f aca="false">IF($C$48="in_per_out",$C$59/(1+$C$44),$C$59*(1-$C$44))</f>
        <v>0.876531640478</v>
      </c>
      <c r="E60" s="17" t="s">
        <v>375</v>
      </c>
    </row>
    <row r="61" customFormat="false" ht="23.85" hidden="false" customHeight="false" outlineLevel="0" collapsed="false">
      <c r="A61" s="3" t="s">
        <v>376</v>
      </c>
      <c r="B61" s="17" t="s">
        <v>377</v>
      </c>
      <c r="C61" s="25" t="n">
        <f aca="false">$C$36*$C$60</f>
        <v>25704.2903570174</v>
      </c>
      <c r="E61" s="17" t="s">
        <v>378</v>
      </c>
    </row>
    <row r="62" customFormat="false" ht="15" hidden="false" customHeight="false" outlineLevel="0" collapsed="false">
      <c r="A62" s="3" t="s">
        <v>379</v>
      </c>
      <c r="B62" s="17" t="s">
        <v>380</v>
      </c>
      <c r="C62" s="25" t="n">
        <f aca="false">$C$61*$C$45</f>
        <v>154.225742142104</v>
      </c>
      <c r="E62" s="17" t="s">
        <v>378</v>
      </c>
    </row>
    <row r="63" customFormat="false" ht="15" hidden="false" customHeight="false" outlineLevel="0" collapsed="false">
      <c r="A63" s="3" t="s">
        <v>381</v>
      </c>
      <c r="B63" s="17" t="s">
        <v>382</v>
      </c>
      <c r="C63" s="25" t="n">
        <f aca="false">$C$61-$C$62</f>
        <v>25550.0646148752</v>
      </c>
      <c r="E63" s="17" t="s">
        <v>383</v>
      </c>
    </row>
    <row r="64" customFormat="false" ht="32.8" hidden="false" customHeight="false" outlineLevel="0" collapsed="false">
      <c r="A64" s="3" t="s">
        <v>384</v>
      </c>
      <c r="B64" s="17" t="s">
        <v>385</v>
      </c>
      <c r="C64" s="25" t="n">
        <f aca="false">IF($C$47="own_desk",$C$36*$C$40,IF($C$47="market_plus_pct",$C$36*$C$40*(1-$C$42),$C$36*$C$41))</f>
        <v>25847.670825</v>
      </c>
      <c r="E64" s="17" t="s">
        <v>386</v>
      </c>
    </row>
    <row r="65" customFormat="false" ht="22.35" hidden="false" customHeight="false" outlineLevel="0" collapsed="false">
      <c r="A65" s="3" t="s">
        <v>387</v>
      </c>
      <c r="B65" s="17" t="s">
        <v>388</v>
      </c>
      <c r="C65" s="25" t="n">
        <f aca="false">$C$36*$C$40-$C$64</f>
        <v>221.589171975</v>
      </c>
      <c r="E65" s="17" t="s">
        <v>383</v>
      </c>
    </row>
    <row r="66" customFormat="false" ht="15" hidden="false" customHeight="false" outlineLevel="0" collapsed="false">
      <c r="A66" s="3" t="s">
        <v>389</v>
      </c>
      <c r="B66" s="17" t="s">
        <v>390</v>
      </c>
      <c r="C66" s="25" t="n">
        <f aca="false">$C$64-$C$63</f>
        <v>297.606210124755</v>
      </c>
      <c r="E66" s="17" t="s">
        <v>391</v>
      </c>
    </row>
    <row r="67" customFormat="false" ht="15" hidden="false" customHeight="false" outlineLevel="0" collapsed="false">
      <c r="A67" s="3" t="s">
        <v>392</v>
      </c>
      <c r="B67" s="17" t="s">
        <v>393</v>
      </c>
      <c r="C67" s="26" t="n">
        <f aca="false">IF($C$36*$C$40=0,0,$C$66/($C$36*$C$40))</f>
        <v>0.0114159822779507</v>
      </c>
      <c r="E67" s="17" t="s">
        <v>383</v>
      </c>
    </row>
    <row r="68" customFormat="false" ht="22.35" hidden="false" customHeight="false" outlineLevel="0" collapsed="false">
      <c r="A68" s="3" t="s">
        <v>394</v>
      </c>
      <c r="B68" s="17" t="s">
        <v>395</v>
      </c>
      <c r="C68" s="6" t="str">
        <f aca="false">IF($C$67&lt;$C$51,"YES — Finance approval","no")</f>
        <v>no</v>
      </c>
      <c r="E68" s="17" t="s">
        <v>396</v>
      </c>
    </row>
    <row r="69" customFormat="false" ht="22.35" hidden="false" customHeight="false" outlineLevel="0" collapsed="false">
      <c r="A69" s="3" t="s">
        <v>397</v>
      </c>
      <c r="B69" s="17" t="s">
        <v>398</v>
      </c>
      <c r="C69" s="25" t="n">
        <f aca="false">IF($C$49="round_up_unit",CEILING($C$63,$C$50),IF($C$49="nearest_unit",MROUND($C$63,$C$50),IF($C$49="nearest_n",MROUND($C$63,$C$50),FLOOR($C$63,$C$50))))</f>
        <v>25550</v>
      </c>
      <c r="E69" s="17" t="s">
        <v>399</v>
      </c>
    </row>
    <row r="70" customFormat="false" ht="23.85" hidden="false" customHeight="false" outlineLevel="0" collapsed="false">
      <c r="A70" s="3" t="s">
        <v>400</v>
      </c>
      <c r="B70" s="17" t="s">
        <v>401</v>
      </c>
      <c r="C70" s="25" t="n">
        <f aca="false">$C$63-$C$69</f>
        <v>0.0646148752457521</v>
      </c>
      <c r="E70" s="17" t="s">
        <v>402</v>
      </c>
    </row>
    <row r="71" customFormat="false" ht="22.35" hidden="false" customHeight="false" outlineLevel="0" collapsed="false">
      <c r="A71" s="3" t="s">
        <v>403</v>
      </c>
      <c r="B71" s="17" t="s">
        <v>404</v>
      </c>
      <c r="C71" s="24" t="n">
        <f aca="false">IF($C$52="",$C$59,$C$60/(1-$C$52))</f>
        <v>0.888977323</v>
      </c>
      <c r="E71" s="17" t="s">
        <v>358</v>
      </c>
    </row>
    <row r="72" customFormat="false" ht="15" hidden="false" customHeight="false" outlineLevel="0" collapsed="false">
      <c r="A72" s="3" t="s">
        <v>405</v>
      </c>
      <c r="B72" s="17" t="s">
        <v>406</v>
      </c>
      <c r="C72" s="25" t="n">
        <f aca="false">IF($C$53="rebate",$C$65*$C$54,0)</f>
        <v>0</v>
      </c>
      <c r="E72" s="17" t="s">
        <v>407</v>
      </c>
    </row>
    <row r="73" customFormat="false" ht="15" hidden="false" customHeight="false" outlineLevel="0" collapsed="false">
      <c r="A73" s="3" t="s">
        <v>408</v>
      </c>
      <c r="B73" s="17" t="s">
        <v>409</v>
      </c>
      <c r="C73" s="25" t="n">
        <f aca="false">$C$36*$C$40*$C$55</f>
        <v>0</v>
      </c>
      <c r="E73" s="17" t="s">
        <v>410</v>
      </c>
    </row>
    <row r="74" customFormat="false" ht="23.85" hidden="false" customHeight="false" outlineLevel="0" collapsed="false">
      <c r="A74" s="3" t="s">
        <v>411</v>
      </c>
      <c r="B74" s="17" t="s">
        <v>412</v>
      </c>
      <c r="C74" s="25" t="n">
        <f aca="false">ROUND($C$63+$C$65+$C$66-$C$36*$C$40,6)</f>
        <v>0</v>
      </c>
      <c r="E74" s="17" t="s">
        <v>413</v>
      </c>
    </row>
    <row r="76" customFormat="false" ht="15" hidden="false" customHeight="false" outlineLevel="0" collapsed="false">
      <c r="A76" s="15" t="s">
        <v>414</v>
      </c>
    </row>
    <row r="77" customFormat="false" ht="15" hidden="false" customHeight="false" outlineLevel="0" collapsed="false">
      <c r="A77" s="16" t="s">
        <v>415</v>
      </c>
      <c r="B77" s="16" t="s">
        <v>416</v>
      </c>
      <c r="C77" s="16" t="s">
        <v>417</v>
      </c>
      <c r="D77" s="16" t="s">
        <v>418</v>
      </c>
      <c r="E77" s="16" t="s">
        <v>419</v>
      </c>
    </row>
    <row r="78" customFormat="false" ht="15" hidden="false" customHeight="false" outlineLevel="0" collapsed="false">
      <c r="A78" s="6" t="str">
        <f aca="false">"CL."&amp;$C$39&amp;"."&amp;$C$37&amp;".COLLECTED"</f>
        <v>CL.ALI.USDT.COLLECTED</v>
      </c>
      <c r="B78" s="6" t="s">
        <v>420</v>
      </c>
      <c r="C78" s="25" t="n">
        <f aca="false">$C$36</f>
        <v>29325</v>
      </c>
      <c r="D78" s="18" t="s">
        <v>421</v>
      </c>
      <c r="E78" s="18" t="s">
        <v>422</v>
      </c>
    </row>
    <row r="79" customFormat="false" ht="15" hidden="false" customHeight="false" outlineLevel="0" collapsed="false">
      <c r="A79" s="6" t="str">
        <f aca="false">"CL.PROJECT."&amp;$C$37&amp;".PAYABLE"</f>
        <v>CL.PROJECT.USDT.PAYABLE</v>
      </c>
      <c r="B79" s="6" t="s">
        <v>423</v>
      </c>
      <c r="C79" s="25" t="n">
        <f aca="false">$C$36</f>
        <v>29325</v>
      </c>
      <c r="D79" s="18" t="s">
        <v>421</v>
      </c>
      <c r="E79" s="18" t="s">
        <v>422</v>
      </c>
    </row>
    <row r="80" customFormat="false" ht="15" hidden="false" customHeight="false" outlineLevel="0" collapsed="false">
      <c r="A80" s="6" t="str">
        <f aca="false">"CL.PROJECT."&amp;$C$37&amp;".PAYABLE"</f>
        <v>CL.PROJECT.USDT.PAYABLE</v>
      </c>
      <c r="B80" s="6" t="s">
        <v>420</v>
      </c>
      <c r="C80" s="25" t="n">
        <f aca="false">$C$36</f>
        <v>29325</v>
      </c>
      <c r="D80" s="18" t="s">
        <v>421</v>
      </c>
      <c r="E80" s="18" t="s">
        <v>424</v>
      </c>
    </row>
    <row r="81" customFormat="false" ht="15" hidden="false" customHeight="false" outlineLevel="0" collapsed="false">
      <c r="A81" s="6" t="str">
        <f aca="false">"CL."&amp;$C$39&amp;"."&amp;$C$37&amp;".COLLECTED"</f>
        <v>CL.ALI.USDT.COLLECTED</v>
      </c>
      <c r="B81" s="6" t="s">
        <v>423</v>
      </c>
      <c r="C81" s="25" t="n">
        <f aca="false">$C$36</f>
        <v>29325</v>
      </c>
      <c r="D81" s="18" t="s">
        <v>421</v>
      </c>
      <c r="E81" s="18" t="s">
        <v>424</v>
      </c>
    </row>
    <row r="82" customFormat="false" ht="15" hidden="false" customHeight="false" outlineLevel="0" collapsed="false">
      <c r="A82" s="6" t="str">
        <f aca="false">"CL."&amp;$C$39&amp;"."&amp;$C$38&amp;".DUE"</f>
        <v>CL.ALI.EUR.DUE</v>
      </c>
      <c r="B82" s="6" t="s">
        <v>420</v>
      </c>
      <c r="C82" s="25" t="n">
        <f aca="false">$C$63</f>
        <v>25550.0646148752</v>
      </c>
      <c r="D82" s="18" t="s">
        <v>425</v>
      </c>
      <c r="E82" s="18" t="s">
        <v>426</v>
      </c>
    </row>
    <row r="83" customFormat="false" ht="15" hidden="false" customHeight="false" outlineLevel="0" collapsed="false">
      <c r="A83" s="6" t="str">
        <f aca="false">"CO."&amp;$C$39&amp;"."&amp;$C$38&amp;".POOL"</f>
        <v>CO.ALI.EUR.POOL</v>
      </c>
      <c r="B83" s="6" t="s">
        <v>420</v>
      </c>
      <c r="C83" s="25" t="n">
        <f aca="false">IF($C$53="rebate",0,$C$66)</f>
        <v>297.606210124755</v>
      </c>
      <c r="D83" s="18" t="s">
        <v>427</v>
      </c>
      <c r="E83" s="18" t="s">
        <v>428</v>
      </c>
    </row>
    <row r="84" customFormat="false" ht="15" hidden="false" customHeight="false" outlineLevel="0" collapsed="false">
      <c r="A84" s="6" t="str">
        <f aca="false">"CO."&amp;$C$39&amp;"."&amp;$C$38&amp;".REBATE_RECEIVABLE"</f>
        <v>CO.ALI.EUR.REBATE_RECEIVABLE</v>
      </c>
      <c r="B84" s="6" t="s">
        <v>420</v>
      </c>
      <c r="C84" s="25" t="n">
        <f aca="false">$C$72</f>
        <v>0</v>
      </c>
      <c r="D84" s="18" t="s">
        <v>427</v>
      </c>
      <c r="E84" s="18" t="s">
        <v>429</v>
      </c>
    </row>
    <row r="85" customFormat="false" ht="15" hidden="false" customHeight="false" outlineLevel="0" collapsed="false">
      <c r="A85" s="6" t="str">
        <f aca="false">"CL.PROJECT."&amp;$C$38&amp;".PAYABLE"</f>
        <v>CL.PROJECT.EUR.PAYABLE</v>
      </c>
      <c r="B85" s="6" t="s">
        <v>423</v>
      </c>
      <c r="C85" s="25" t="n">
        <f aca="false">$C$63</f>
        <v>25550.0646148752</v>
      </c>
      <c r="D85" s="18" t="s">
        <v>421</v>
      </c>
      <c r="E85" s="18" t="s">
        <v>426</v>
      </c>
    </row>
    <row r="86" customFormat="false" ht="15" hidden="false" customHeight="false" outlineLevel="0" collapsed="false">
      <c r="A86" s="6" t="str">
        <f aca="false">"CO.NONE."&amp;$C$38&amp;".EARN_GROSS"</f>
        <v>CO.NONE.EUR.EARN_GROSS</v>
      </c>
      <c r="B86" s="6" t="s">
        <v>423</v>
      </c>
      <c r="C86" s="25" t="n">
        <f aca="false">$C$66+$C$72</f>
        <v>297.606210124755</v>
      </c>
      <c r="D86" s="18" t="s">
        <v>427</v>
      </c>
      <c r="E86" s="18" t="s">
        <v>430</v>
      </c>
    </row>
    <row r="87" customFormat="false" ht="15" hidden="false" customHeight="false" outlineLevel="0" collapsed="false">
      <c r="A87" s="6" t="str">
        <f aca="false">"CL."&amp;$C$39&amp;"."&amp;$C$38&amp;".INTRANSIT"</f>
        <v>CL.ALI.EUR.INTRANSIT</v>
      </c>
      <c r="B87" s="6" t="s">
        <v>420</v>
      </c>
      <c r="C87" s="25" t="n">
        <f aca="false">$C$69</f>
        <v>25550</v>
      </c>
      <c r="D87" s="18" t="s">
        <v>421</v>
      </c>
      <c r="E87" s="18" t="s">
        <v>431</v>
      </c>
    </row>
    <row r="88" customFormat="false" ht="15" hidden="false" customHeight="false" outlineLevel="0" collapsed="false">
      <c r="A88" s="6" t="str">
        <f aca="false">"CL."&amp;$C$39&amp;"."&amp;$C$38&amp;".DUE"</f>
        <v>CL.ALI.EUR.DUE</v>
      </c>
      <c r="B88" s="6" t="s">
        <v>423</v>
      </c>
      <c r="C88" s="25" t="n">
        <f aca="false">$C$69</f>
        <v>25550</v>
      </c>
      <c r="D88" s="18" t="s">
        <v>421</v>
      </c>
      <c r="E88" s="18" t="s">
        <v>432</v>
      </c>
    </row>
    <row r="89" customFormat="false" ht="15" hidden="false" customHeight="false" outlineLevel="0" collapsed="false">
      <c r="A89" s="6" t="str">
        <f aca="false">"CL.PROJECT."&amp;$C$38&amp;".PAYABLE"</f>
        <v>CL.PROJECT.EUR.PAYABLE</v>
      </c>
      <c r="B89" s="6" t="s">
        <v>420</v>
      </c>
      <c r="C89" s="25" t="n">
        <f aca="false">$C$69</f>
        <v>25550</v>
      </c>
      <c r="D89" s="18" t="s">
        <v>421</v>
      </c>
      <c r="E89" s="18" t="s">
        <v>433</v>
      </c>
    </row>
    <row r="90" customFormat="false" ht="15" hidden="false" customHeight="false" outlineLevel="0" collapsed="false">
      <c r="A90" s="6" t="str">
        <f aca="false">"CL."&amp;$C$39&amp;"."&amp;$C$38&amp;".INTRANSIT"</f>
        <v>CL.ALI.EUR.INTRANSIT</v>
      </c>
      <c r="B90" s="6" t="s">
        <v>423</v>
      </c>
      <c r="C90" s="25" t="n">
        <f aca="false">$C$69</f>
        <v>25550</v>
      </c>
      <c r="D90" s="18" t="s">
        <v>421</v>
      </c>
      <c r="E90" s="18" t="s">
        <v>433</v>
      </c>
    </row>
    <row r="91" customFormat="false" ht="15" hidden="false" customHeight="false" outlineLevel="0" collapsed="false">
      <c r="A91" s="6" t="str">
        <f aca="false">"CO.NONE."&amp;$C$38&amp;".EARN_GROSS"</f>
        <v>CO.NONE.EUR.EARN_GROSS</v>
      </c>
      <c r="B91" s="6" t="s">
        <v>420</v>
      </c>
      <c r="C91" s="25" t="n">
        <f aca="false">$C$73</f>
        <v>0</v>
      </c>
      <c r="D91" s="18" t="s">
        <v>434</v>
      </c>
      <c r="E91" s="18" t="s">
        <v>435</v>
      </c>
    </row>
    <row r="92" customFormat="false" ht="15" hidden="false" customHeight="false" outlineLevel="0" collapsed="false">
      <c r="A92" s="6" t="str">
        <f aca="false">"CO.INTRODUCER."&amp;$C$38&amp;".REFERRAL_PAYABLE"</f>
        <v>CO.INTRODUCER.EUR.REFERRAL_PAYABLE</v>
      </c>
      <c r="B92" s="6" t="s">
        <v>423</v>
      </c>
      <c r="C92" s="25" t="n">
        <f aca="false">$C$73</f>
        <v>0</v>
      </c>
      <c r="D92" s="18" t="s">
        <v>434</v>
      </c>
      <c r="E92" s="18" t="s">
        <v>436</v>
      </c>
    </row>
    <row r="93" customFormat="false" ht="30" hidden="false" customHeight="true" outlineLevel="0" collapsed="false">
      <c r="A93" s="27" t="s">
        <v>437</v>
      </c>
      <c r="C93" s="28" t="n">
        <f aca="false">ROUND(SUMIF($B$82:$B$92,"Dr",$C$82:$C$92)-SUMIF($B$82:$B$92,"Cr",$C$82:$C$92),6)</f>
        <v>0</v>
      </c>
      <c r="E93" s="17" t="s">
        <v>438</v>
      </c>
    </row>
    <row r="95" customFormat="false" ht="15" hidden="false" customHeight="false" outlineLevel="0" collapsed="false">
      <c r="A95" s="15" t="s">
        <v>439</v>
      </c>
    </row>
    <row r="96" customFormat="false" ht="15" hidden="false" customHeight="false" outlineLevel="0" collapsed="false">
      <c r="A96" s="16" t="s">
        <v>440</v>
      </c>
      <c r="B96" s="16" t="s">
        <v>441</v>
      </c>
      <c r="C96" s="16" t="s">
        <v>442</v>
      </c>
      <c r="D96" s="16" t="s">
        <v>443</v>
      </c>
      <c r="E96" s="16" t="s">
        <v>444</v>
      </c>
    </row>
    <row r="97" customFormat="false" ht="15.75" hidden="false" customHeight="true" outlineLevel="0" collapsed="false">
      <c r="A97" s="3" t="s">
        <v>470</v>
      </c>
      <c r="B97" s="20" t="n">
        <v>0.876531640478</v>
      </c>
      <c r="C97" s="24" t="n">
        <f aca="false">$C$60</f>
        <v>0.876531640478</v>
      </c>
      <c r="D97" s="28" t="n">
        <f aca="false">ROUND(C97-B97,2)</f>
        <v>0</v>
      </c>
      <c r="E97" s="17" t="s">
        <v>471</v>
      </c>
    </row>
    <row r="98" customFormat="false" ht="15.75" hidden="false" customHeight="true" outlineLevel="0" collapsed="false">
      <c r="A98" s="3" t="s">
        <v>472</v>
      </c>
      <c r="B98" s="19" t="n">
        <v>25704</v>
      </c>
      <c r="C98" s="25" t="n">
        <f aca="false">$C$61</f>
        <v>25704.2903570174</v>
      </c>
      <c r="D98" s="28" t="n">
        <f aca="false">ROUND(C98-B98,2)</f>
        <v>0.29</v>
      </c>
      <c r="E98" s="17" t="s">
        <v>473</v>
      </c>
    </row>
    <row r="99" customFormat="false" ht="15.75" hidden="false" customHeight="true" outlineLevel="0" collapsed="false">
      <c r="A99" s="3" t="s">
        <v>474</v>
      </c>
      <c r="B99" s="19" t="n">
        <v>25550</v>
      </c>
      <c r="C99" s="25" t="n">
        <f aca="false">$C$63</f>
        <v>25550.0646148752</v>
      </c>
      <c r="D99" s="28" t="n">
        <f aca="false">ROUND(C99-B99,2)</f>
        <v>0.06</v>
      </c>
      <c r="E99" s="17" t="s">
        <v>475</v>
      </c>
    </row>
    <row r="101" customFormat="false" ht="15" hidden="false" customHeight="false" outlineLevel="0" collapsed="false">
      <c r="A101" s="15" t="s">
        <v>447</v>
      </c>
    </row>
    <row r="102" customFormat="false" ht="31.5" hidden="false" customHeight="true" outlineLevel="0" collapsed="false">
      <c r="A102" s="13" t="s">
        <v>448</v>
      </c>
      <c r="B102" s="29" t="s">
        <v>476</v>
      </c>
      <c r="C102" s="29"/>
      <c r="D102" s="29"/>
      <c r="E102" s="29"/>
    </row>
    <row r="103" customFormat="false" ht="31.5" hidden="false" customHeight="true" outlineLevel="0" collapsed="false">
      <c r="A103" s="13" t="s">
        <v>448</v>
      </c>
      <c r="B103" s="29" t="s">
        <v>477</v>
      </c>
      <c r="C103" s="29"/>
      <c r="D103" s="29"/>
      <c r="E103" s="29"/>
    </row>
    <row r="104" customFormat="false" ht="31.5" hidden="false" customHeight="true" outlineLevel="0" collapsed="false">
      <c r="A104" s="13" t="s">
        <v>448</v>
      </c>
      <c r="B104" s="29" t="s">
        <v>478</v>
      </c>
      <c r="C104" s="29"/>
      <c r="D104" s="29"/>
      <c r="E104" s="29"/>
    </row>
  </sheetData>
  <mergeCells count="3">
    <mergeCell ref="B102:E102"/>
    <mergeCell ref="B103:E103"/>
    <mergeCell ref="B104:E10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1" style="0" width="34"/>
    <col collapsed="false" customWidth="true" hidden="false" outlineLevel="0" max="3" min="3" style="0" width="22"/>
    <col collapsed="false" customWidth="true" hidden="false" outlineLevel="0" max="4" min="4" style="0" width="18"/>
    <col collapsed="false" customWidth="true" hidden="false" outlineLevel="0" max="5" min="5" style="0" width="48"/>
  </cols>
  <sheetData>
    <row r="1" customFormat="false" ht="16.15" hidden="false" customHeight="false" outlineLevel="0" collapsed="false">
      <c r="A1" s="1" t="s">
        <v>479</v>
      </c>
    </row>
    <row r="2" customFormat="false" ht="15" hidden="false" customHeight="false" outlineLevel="0" collapsed="false">
      <c r="A2" s="12" t="s">
        <v>210</v>
      </c>
      <c r="B2" s="13" t="s">
        <v>480</v>
      </c>
    </row>
    <row r="3" customFormat="false" ht="30" hidden="false" customHeight="true" outlineLevel="0" collapsed="false">
      <c r="A3" s="12" t="s">
        <v>212</v>
      </c>
      <c r="B3" s="14" t="s">
        <v>481</v>
      </c>
    </row>
    <row r="5" customFormat="false" ht="15" hidden="false" customHeight="false" outlineLevel="0" collapsed="false">
      <c r="A5" s="15" t="s">
        <v>214</v>
      </c>
    </row>
    <row r="6" customFormat="false" ht="15" hidden="false" customHeight="false" outlineLevel="0" collapsed="false">
      <c r="A6" s="16" t="s">
        <v>215</v>
      </c>
      <c r="B6" s="16" t="s">
        <v>216</v>
      </c>
      <c r="C6" s="16" t="s">
        <v>217</v>
      </c>
      <c r="D6" s="16" t="s">
        <v>218</v>
      </c>
      <c r="E6" s="16" t="s">
        <v>219</v>
      </c>
    </row>
    <row r="7" customFormat="false" ht="30" hidden="false" customHeight="true" outlineLevel="0" collapsed="false">
      <c r="A7" s="3" t="s">
        <v>220</v>
      </c>
      <c r="B7" s="3" t="s">
        <v>221</v>
      </c>
      <c r="C7" s="9" t="s">
        <v>149</v>
      </c>
      <c r="D7" s="3" t="s">
        <v>222</v>
      </c>
      <c r="E7" s="17" t="s">
        <v>223</v>
      </c>
    </row>
    <row r="8" customFormat="false" ht="30" hidden="false" customHeight="true" outlineLevel="0" collapsed="false">
      <c r="A8" s="3" t="s">
        <v>224</v>
      </c>
      <c r="B8" s="3" t="s">
        <v>225</v>
      </c>
      <c r="C8" s="10"/>
      <c r="D8" s="3" t="s">
        <v>226</v>
      </c>
      <c r="E8" s="17" t="s">
        <v>227</v>
      </c>
    </row>
    <row r="9" customFormat="false" ht="30" hidden="false" customHeight="true" outlineLevel="0" collapsed="false">
      <c r="A9" s="3" t="s">
        <v>228</v>
      </c>
      <c r="B9" s="3" t="s">
        <v>229</v>
      </c>
      <c r="C9" s="10"/>
      <c r="D9" s="3" t="s">
        <v>226</v>
      </c>
      <c r="E9" s="17" t="s">
        <v>230</v>
      </c>
    </row>
    <row r="10" customFormat="false" ht="30" hidden="false" customHeight="true" outlineLevel="0" collapsed="false">
      <c r="A10" s="3" t="s">
        <v>231</v>
      </c>
      <c r="B10" s="3" t="s">
        <v>232</v>
      </c>
      <c r="C10" s="10"/>
      <c r="D10" s="3" t="s">
        <v>226</v>
      </c>
      <c r="E10" s="17" t="s">
        <v>233</v>
      </c>
    </row>
    <row r="11" customFormat="false" ht="15.75" hidden="false" customHeight="true" outlineLevel="0" collapsed="false">
      <c r="A11" s="3" t="s">
        <v>234</v>
      </c>
      <c r="B11" s="3" t="s">
        <v>235</v>
      </c>
      <c r="C11" s="9" t="s">
        <v>482</v>
      </c>
      <c r="D11" s="3" t="s">
        <v>222</v>
      </c>
      <c r="E11" s="17" t="s">
        <v>237</v>
      </c>
    </row>
    <row r="12" customFormat="false" ht="30" hidden="false" customHeight="true" outlineLevel="0" collapsed="false">
      <c r="A12" s="3" t="s">
        <v>238</v>
      </c>
      <c r="B12" s="3" t="s">
        <v>239</v>
      </c>
      <c r="C12" s="9" t="s">
        <v>483</v>
      </c>
      <c r="D12" s="3" t="s">
        <v>222</v>
      </c>
      <c r="E12" s="17" t="s">
        <v>241</v>
      </c>
    </row>
    <row r="13" customFormat="false" ht="15.75" hidden="false" customHeight="true" outlineLevel="0" collapsed="false">
      <c r="A13" s="3" t="s">
        <v>242</v>
      </c>
      <c r="B13" s="3" t="s">
        <v>243</v>
      </c>
      <c r="C13" s="9" t="s">
        <v>93</v>
      </c>
      <c r="D13" s="3" t="s">
        <v>222</v>
      </c>
      <c r="E13" s="17"/>
    </row>
    <row r="14" customFormat="false" ht="30" hidden="false" customHeight="true" outlineLevel="0" collapsed="false">
      <c r="A14" s="3" t="s">
        <v>244</v>
      </c>
      <c r="B14" s="3" t="s">
        <v>245</v>
      </c>
      <c r="C14" s="9" t="s">
        <v>94</v>
      </c>
      <c r="D14" s="3" t="s">
        <v>222</v>
      </c>
      <c r="E14" s="17" t="s">
        <v>246</v>
      </c>
    </row>
    <row r="15" customFormat="false" ht="15.75" hidden="false" customHeight="true" outlineLevel="0" collapsed="false">
      <c r="A15" s="3" t="s">
        <v>247</v>
      </c>
      <c r="B15" s="3" t="s">
        <v>248</v>
      </c>
      <c r="C15" s="9" t="s">
        <v>151</v>
      </c>
      <c r="D15" s="3" t="s">
        <v>222</v>
      </c>
      <c r="E15" s="17" t="s">
        <v>249</v>
      </c>
    </row>
    <row r="16" customFormat="false" ht="30" hidden="false" customHeight="true" outlineLevel="0" collapsed="false">
      <c r="A16" s="3" t="s">
        <v>250</v>
      </c>
      <c r="B16" s="3" t="s">
        <v>251</v>
      </c>
      <c r="C16" s="9" t="s">
        <v>484</v>
      </c>
      <c r="D16" s="3" t="s">
        <v>222</v>
      </c>
      <c r="E16" s="17" t="s">
        <v>253</v>
      </c>
    </row>
    <row r="17" customFormat="false" ht="30" hidden="false" customHeight="true" outlineLevel="0" collapsed="false">
      <c r="A17" s="3" t="s">
        <v>254</v>
      </c>
      <c r="B17" s="3" t="s">
        <v>255</v>
      </c>
      <c r="C17" s="9" t="s">
        <v>256</v>
      </c>
      <c r="D17" s="3" t="s">
        <v>222</v>
      </c>
      <c r="E17" s="17" t="s">
        <v>257</v>
      </c>
    </row>
    <row r="18" customFormat="false" ht="15.75" hidden="false" customHeight="true" outlineLevel="0" collapsed="false">
      <c r="A18" s="3" t="s">
        <v>258</v>
      </c>
      <c r="B18" s="3" t="s">
        <v>259</v>
      </c>
      <c r="C18" s="9" t="s">
        <v>123</v>
      </c>
      <c r="D18" s="3" t="s">
        <v>222</v>
      </c>
      <c r="E18" s="17" t="s">
        <v>260</v>
      </c>
    </row>
    <row r="19" customFormat="false" ht="15.75" hidden="false" customHeight="true" outlineLevel="0" collapsed="false">
      <c r="A19" s="3" t="s">
        <v>261</v>
      </c>
      <c r="B19" s="3" t="s">
        <v>262</v>
      </c>
      <c r="C19" s="11" t="n">
        <v>0.07</v>
      </c>
      <c r="D19" s="3" t="s">
        <v>222</v>
      </c>
      <c r="E19" s="17" t="s">
        <v>263</v>
      </c>
    </row>
    <row r="20" customFormat="false" ht="15.75" hidden="false" customHeight="true" outlineLevel="0" collapsed="false">
      <c r="A20" s="3" t="s">
        <v>264</v>
      </c>
      <c r="B20" s="3" t="s">
        <v>265</v>
      </c>
      <c r="C20" s="11" t="n">
        <v>0.07</v>
      </c>
      <c r="D20" s="3" t="s">
        <v>222</v>
      </c>
      <c r="E20" s="17"/>
    </row>
    <row r="21" customFormat="false" ht="30" hidden="false" customHeight="true" outlineLevel="0" collapsed="false">
      <c r="A21" s="3" t="s">
        <v>266</v>
      </c>
      <c r="B21" s="3" t="s">
        <v>267</v>
      </c>
      <c r="C21" s="11" t="n">
        <v>0</v>
      </c>
      <c r="D21" s="3" t="s">
        <v>222</v>
      </c>
      <c r="E21" s="17" t="s">
        <v>268</v>
      </c>
    </row>
    <row r="22" customFormat="false" ht="15.75" hidden="false" customHeight="true" outlineLevel="0" collapsed="false">
      <c r="A22" s="3" t="s">
        <v>269</v>
      </c>
      <c r="B22" s="3" t="s">
        <v>270</v>
      </c>
      <c r="C22" s="10"/>
      <c r="D22" s="3" t="s">
        <v>226</v>
      </c>
      <c r="E22" s="17" t="s">
        <v>271</v>
      </c>
    </row>
    <row r="23" customFormat="false" ht="15.75" hidden="false" customHeight="true" outlineLevel="0" collapsed="false">
      <c r="A23" s="3" t="s">
        <v>272</v>
      </c>
      <c r="B23" s="3" t="s">
        <v>273</v>
      </c>
      <c r="C23" s="10"/>
      <c r="D23" s="3" t="s">
        <v>226</v>
      </c>
      <c r="E23" s="17" t="s">
        <v>271</v>
      </c>
    </row>
    <row r="24" customFormat="false" ht="15.75" hidden="false" customHeight="true" outlineLevel="0" collapsed="false">
      <c r="A24" s="3" t="s">
        <v>274</v>
      </c>
      <c r="B24" s="3" t="s">
        <v>275</v>
      </c>
      <c r="C24" s="11" t="n">
        <v>0.005</v>
      </c>
      <c r="D24" s="3" t="s">
        <v>222</v>
      </c>
      <c r="E24" s="17" t="s">
        <v>276</v>
      </c>
    </row>
    <row r="25" customFormat="false" ht="30" hidden="false" customHeight="true" outlineLevel="0" collapsed="false">
      <c r="A25" s="3" t="s">
        <v>277</v>
      </c>
      <c r="B25" s="3" t="s">
        <v>278</v>
      </c>
      <c r="C25" s="10"/>
      <c r="D25" s="3" t="s">
        <v>279</v>
      </c>
      <c r="E25" s="17" t="s">
        <v>280</v>
      </c>
    </row>
    <row r="26" customFormat="false" ht="15.75" hidden="false" customHeight="true" outlineLevel="0" collapsed="false">
      <c r="A26" s="3" t="s">
        <v>281</v>
      </c>
      <c r="B26" s="3" t="s">
        <v>282</v>
      </c>
      <c r="C26" s="9" t="s">
        <v>95</v>
      </c>
      <c r="D26" s="3" t="s">
        <v>222</v>
      </c>
      <c r="E26" s="17" t="s">
        <v>284</v>
      </c>
    </row>
    <row r="27" customFormat="false" ht="15.75" hidden="false" customHeight="true" outlineLevel="0" collapsed="false">
      <c r="A27" s="3" t="s">
        <v>285</v>
      </c>
      <c r="B27" s="3" t="s">
        <v>286</v>
      </c>
      <c r="C27" s="10"/>
      <c r="D27" s="3" t="s">
        <v>279</v>
      </c>
      <c r="E27" s="17" t="s">
        <v>288</v>
      </c>
    </row>
    <row r="28" customFormat="false" ht="15.75" hidden="false" customHeight="true" outlineLevel="0" collapsed="false">
      <c r="A28" s="3" t="s">
        <v>289</v>
      </c>
      <c r="B28" s="3" t="s">
        <v>290</v>
      </c>
      <c r="C28" s="9"/>
      <c r="D28" s="3" t="s">
        <v>279</v>
      </c>
      <c r="E28" s="17" t="s">
        <v>291</v>
      </c>
    </row>
    <row r="29" customFormat="false" ht="30" hidden="false" customHeight="true" outlineLevel="0" collapsed="false">
      <c r="A29" s="3" t="s">
        <v>292</v>
      </c>
      <c r="B29" s="3" t="s">
        <v>293</v>
      </c>
      <c r="C29" s="9" t="s">
        <v>485</v>
      </c>
      <c r="D29" s="3" t="s">
        <v>222</v>
      </c>
      <c r="E29" s="17" t="s">
        <v>295</v>
      </c>
    </row>
    <row r="30" customFormat="false" ht="15.75" hidden="false" customHeight="true" outlineLevel="0" collapsed="false">
      <c r="A30" s="3" t="s">
        <v>296</v>
      </c>
      <c r="B30" s="3" t="s">
        <v>297</v>
      </c>
      <c r="C30" s="10"/>
      <c r="D30" s="3" t="s">
        <v>226</v>
      </c>
      <c r="E30" s="17"/>
    </row>
    <row r="31" customFormat="false" ht="15.75" hidden="false" customHeight="true" outlineLevel="0" collapsed="false">
      <c r="A31" s="3" t="s">
        <v>298</v>
      </c>
      <c r="B31" s="3" t="s">
        <v>299</v>
      </c>
      <c r="C31" s="10"/>
      <c r="D31" s="3" t="s">
        <v>226</v>
      </c>
      <c r="E31" s="17" t="s">
        <v>300</v>
      </c>
    </row>
    <row r="32" customFormat="false" ht="30" hidden="false" customHeight="true" outlineLevel="0" collapsed="false">
      <c r="A32" s="3" t="s">
        <v>301</v>
      </c>
      <c r="B32" s="3" t="s">
        <v>302</v>
      </c>
      <c r="C32" s="10"/>
      <c r="D32" s="3" t="s">
        <v>226</v>
      </c>
      <c r="E32" s="17" t="s">
        <v>303</v>
      </c>
    </row>
    <row r="34" customFormat="false" ht="15" hidden="false" customHeight="false" outlineLevel="0" collapsed="false">
      <c r="A34" s="15" t="s">
        <v>304</v>
      </c>
    </row>
    <row r="35" customFormat="false" ht="15" hidden="false" customHeight="false" outlineLevel="0" collapsed="false">
      <c r="A35" s="16" t="s">
        <v>305</v>
      </c>
      <c r="B35" s="16" t="s">
        <v>306</v>
      </c>
      <c r="C35" s="16" t="s">
        <v>217</v>
      </c>
      <c r="D35" s="16" t="s">
        <v>307</v>
      </c>
      <c r="E35" s="16" t="s">
        <v>308</v>
      </c>
    </row>
    <row r="36" customFormat="false" ht="15" hidden="false" customHeight="false" outlineLevel="0" collapsed="false">
      <c r="A36" s="3" t="s">
        <v>309</v>
      </c>
      <c r="B36" s="18" t="s">
        <v>310</v>
      </c>
      <c r="C36" s="19" t="n">
        <v>2329000</v>
      </c>
      <c r="D36" s="18" t="s">
        <v>311</v>
      </c>
      <c r="E36" s="17" t="s">
        <v>312</v>
      </c>
    </row>
    <row r="37" customFormat="false" ht="15" hidden="false" customHeight="false" outlineLevel="0" collapsed="false">
      <c r="A37" s="3" t="s">
        <v>313</v>
      </c>
      <c r="B37" s="18" t="s">
        <v>314</v>
      </c>
      <c r="C37" s="7" t="s">
        <v>486</v>
      </c>
      <c r="D37" s="18" t="s">
        <v>316</v>
      </c>
      <c r="E37" s="17"/>
    </row>
    <row r="38" customFormat="false" ht="15" hidden="false" customHeight="false" outlineLevel="0" collapsed="false">
      <c r="A38" s="3" t="s">
        <v>317</v>
      </c>
      <c r="B38" s="18" t="s">
        <v>318</v>
      </c>
      <c r="C38" s="7" t="s">
        <v>487</v>
      </c>
      <c r="D38" s="18" t="s">
        <v>316</v>
      </c>
      <c r="E38" s="17"/>
    </row>
    <row r="39" customFormat="false" ht="15" hidden="false" customHeight="false" outlineLevel="0" collapsed="false">
      <c r="A39" s="3" t="s">
        <v>320</v>
      </c>
      <c r="B39" s="18" t="s">
        <v>321</v>
      </c>
      <c r="C39" s="7" t="s">
        <v>457</v>
      </c>
      <c r="D39" s="18" t="s">
        <v>316</v>
      </c>
      <c r="E39" s="17" t="s">
        <v>323</v>
      </c>
    </row>
    <row r="40" customFormat="false" ht="15" hidden="false" customHeight="false" outlineLevel="0" collapsed="false">
      <c r="A40" s="3" t="s">
        <v>324</v>
      </c>
      <c r="B40" s="18" t="s">
        <v>325</v>
      </c>
      <c r="C40" s="20" t="n">
        <v>0.0110084736765085</v>
      </c>
      <c r="D40" s="18" t="s">
        <v>326</v>
      </c>
      <c r="E40" s="17" t="s">
        <v>327</v>
      </c>
    </row>
    <row r="41" customFormat="false" ht="22.35" hidden="false" customHeight="false" outlineLevel="0" collapsed="false">
      <c r="A41" s="3" t="s">
        <v>328</v>
      </c>
      <c r="B41" s="18" t="s">
        <v>329</v>
      </c>
      <c r="C41" s="20" t="n">
        <v>0.0104593574123596</v>
      </c>
      <c r="D41" s="18" t="s">
        <v>326</v>
      </c>
      <c r="E41" s="17" t="s">
        <v>330</v>
      </c>
    </row>
    <row r="42" customFormat="false" ht="22.35" hidden="false" customHeight="false" outlineLevel="0" collapsed="false">
      <c r="A42" s="3" t="s">
        <v>331</v>
      </c>
      <c r="B42" s="18" t="s">
        <v>332</v>
      </c>
      <c r="C42" s="22" t="n">
        <v>0</v>
      </c>
      <c r="D42" s="18" t="s">
        <v>333</v>
      </c>
      <c r="E42" s="17" t="s">
        <v>334</v>
      </c>
    </row>
    <row r="43" customFormat="false" ht="15" hidden="false" customHeight="false" outlineLevel="0" collapsed="false">
      <c r="A43" s="3" t="s">
        <v>335</v>
      </c>
      <c r="B43" s="18" t="s">
        <v>336</v>
      </c>
      <c r="C43" s="22" t="n">
        <v>0.07</v>
      </c>
      <c r="D43" s="18" t="s">
        <v>333</v>
      </c>
      <c r="E43" s="17" t="s">
        <v>262</v>
      </c>
    </row>
    <row r="44" customFormat="false" ht="15" hidden="false" customHeight="false" outlineLevel="0" collapsed="false">
      <c r="A44" s="3" t="s">
        <v>337</v>
      </c>
      <c r="B44" s="18" t="s">
        <v>338</v>
      </c>
      <c r="C44" s="22" t="n">
        <v>0.07</v>
      </c>
      <c r="D44" s="18" t="s">
        <v>333</v>
      </c>
      <c r="E44" s="17" t="s">
        <v>265</v>
      </c>
    </row>
    <row r="45" customFormat="false" ht="15" hidden="false" customHeight="false" outlineLevel="0" collapsed="false">
      <c r="A45" s="3" t="s">
        <v>339</v>
      </c>
      <c r="B45" s="18" t="s">
        <v>340</v>
      </c>
      <c r="C45" s="22" t="n">
        <v>0</v>
      </c>
      <c r="D45" s="18" t="s">
        <v>333</v>
      </c>
      <c r="E45" s="17" t="s">
        <v>267</v>
      </c>
    </row>
    <row r="46" customFormat="false" ht="15" hidden="false" customHeight="false" outlineLevel="0" collapsed="false">
      <c r="A46" s="3" t="s">
        <v>254</v>
      </c>
      <c r="B46" s="18" t="s">
        <v>341</v>
      </c>
      <c r="C46" s="7" t="s">
        <v>256</v>
      </c>
      <c r="D46" s="18" t="s">
        <v>316</v>
      </c>
      <c r="E46" s="17" t="s">
        <v>342</v>
      </c>
    </row>
    <row r="47" customFormat="false" ht="15" hidden="false" customHeight="false" outlineLevel="0" collapsed="false">
      <c r="A47" s="3" t="s">
        <v>244</v>
      </c>
      <c r="B47" s="18" t="s">
        <v>343</v>
      </c>
      <c r="C47" s="7" t="s">
        <v>94</v>
      </c>
      <c r="D47" s="18" t="s">
        <v>316</v>
      </c>
      <c r="E47" s="17" t="s">
        <v>344</v>
      </c>
    </row>
    <row r="48" customFormat="false" ht="15" hidden="false" customHeight="false" outlineLevel="0" collapsed="false">
      <c r="A48" s="3" t="s">
        <v>250</v>
      </c>
      <c r="B48" s="18" t="s">
        <v>345</v>
      </c>
      <c r="C48" s="7" t="s">
        <v>484</v>
      </c>
      <c r="D48" s="18" t="s">
        <v>316</v>
      </c>
      <c r="E48" s="17" t="s">
        <v>346</v>
      </c>
    </row>
    <row r="49" customFormat="false" ht="15" hidden="false" customHeight="false" outlineLevel="0" collapsed="false">
      <c r="A49" s="3" t="s">
        <v>347</v>
      </c>
      <c r="B49" s="18" t="s">
        <v>348</v>
      </c>
      <c r="C49" s="7" t="s">
        <v>349</v>
      </c>
      <c r="D49" s="18" t="s">
        <v>316</v>
      </c>
      <c r="E49" s="17" t="s">
        <v>350</v>
      </c>
    </row>
    <row r="50" customFormat="false" ht="15" hidden="false" customHeight="false" outlineLevel="0" collapsed="false">
      <c r="A50" s="3" t="s">
        <v>351</v>
      </c>
      <c r="B50" s="18" t="s">
        <v>352</v>
      </c>
      <c r="C50" s="19" t="n">
        <v>1</v>
      </c>
      <c r="D50" s="18" t="s">
        <v>311</v>
      </c>
      <c r="E50" s="17" t="s">
        <v>353</v>
      </c>
    </row>
    <row r="51" customFormat="false" ht="15" hidden="false" customHeight="false" outlineLevel="0" collapsed="false">
      <c r="A51" s="3" t="s">
        <v>354</v>
      </c>
      <c r="B51" s="18" t="s">
        <v>355</v>
      </c>
      <c r="C51" s="22" t="n">
        <v>0.005</v>
      </c>
      <c r="D51" s="18" t="s">
        <v>333</v>
      </c>
      <c r="E51" s="17" t="s">
        <v>275</v>
      </c>
    </row>
    <row r="52" customFormat="false" ht="15" hidden="false" customHeight="false" outlineLevel="0" collapsed="false">
      <c r="A52" s="3" t="s">
        <v>356</v>
      </c>
      <c r="B52" s="18" t="s">
        <v>357</v>
      </c>
      <c r="C52" s="23"/>
      <c r="D52" s="18" t="s">
        <v>333</v>
      </c>
      <c r="E52" s="17" t="s">
        <v>358</v>
      </c>
    </row>
    <row r="53" customFormat="false" ht="15" hidden="false" customHeight="false" outlineLevel="0" collapsed="false">
      <c r="A53" s="3" t="s">
        <v>281</v>
      </c>
      <c r="B53" s="18" t="s">
        <v>359</v>
      </c>
      <c r="C53" s="7" t="s">
        <v>458</v>
      </c>
      <c r="D53" s="18" t="s">
        <v>316</v>
      </c>
      <c r="E53" s="17" t="s">
        <v>361</v>
      </c>
    </row>
    <row r="54" customFormat="false" ht="15" hidden="false" customHeight="false" outlineLevel="0" collapsed="false">
      <c r="A54" s="3" t="s">
        <v>285</v>
      </c>
      <c r="B54" s="18" t="s">
        <v>360</v>
      </c>
      <c r="C54" s="22" t="n">
        <v>0</v>
      </c>
      <c r="D54" s="18" t="s">
        <v>333</v>
      </c>
      <c r="E54" s="17" t="s">
        <v>362</v>
      </c>
    </row>
    <row r="55" customFormat="false" ht="15" hidden="false" customHeight="false" outlineLevel="0" collapsed="false">
      <c r="A55" s="3" t="s">
        <v>363</v>
      </c>
      <c r="B55" s="18" t="s">
        <v>364</v>
      </c>
      <c r="C55" s="22" t="n">
        <v>0</v>
      </c>
      <c r="D55" s="18" t="s">
        <v>333</v>
      </c>
      <c r="E55" s="17" t="s">
        <v>365</v>
      </c>
    </row>
    <row r="57" customFormat="false" ht="15" hidden="false" customHeight="false" outlineLevel="0" collapsed="false">
      <c r="A57" s="15" t="s">
        <v>366</v>
      </c>
    </row>
    <row r="58" customFormat="false" ht="15" hidden="false" customHeight="false" outlineLevel="0" collapsed="false">
      <c r="A58" s="16" t="s">
        <v>367</v>
      </c>
      <c r="B58" s="16" t="s">
        <v>368</v>
      </c>
      <c r="C58" s="16" t="s">
        <v>217</v>
      </c>
      <c r="D58" s="16"/>
      <c r="E58" s="16" t="s">
        <v>369</v>
      </c>
    </row>
    <row r="59" customFormat="false" ht="22.35" hidden="false" customHeight="false" outlineLevel="0" collapsed="false">
      <c r="A59" s="3" t="s">
        <v>370</v>
      </c>
      <c r="B59" s="17" t="s">
        <v>371</v>
      </c>
      <c r="C59" s="24" t="n">
        <f aca="false">IF($C$46="market",$C$40,$C$41)</f>
        <v>0.0110084736765085</v>
      </c>
      <c r="E59" s="17" t="s">
        <v>372</v>
      </c>
    </row>
    <row r="60" customFormat="false" ht="32.8" hidden="false" customHeight="false" outlineLevel="0" collapsed="false">
      <c r="A60" s="3" t="s">
        <v>373</v>
      </c>
      <c r="B60" s="17" t="s">
        <v>374</v>
      </c>
      <c r="C60" s="24" t="n">
        <f aca="false">IF($C$48="in_per_out",$C$59/(1+$C$44),$C$59*(1-$C$44))</f>
        <v>0.0102882931556154</v>
      </c>
      <c r="E60" s="17" t="s">
        <v>375</v>
      </c>
    </row>
    <row r="61" customFormat="false" ht="23.85" hidden="false" customHeight="false" outlineLevel="0" collapsed="false">
      <c r="A61" s="3" t="s">
        <v>376</v>
      </c>
      <c r="B61" s="17" t="s">
        <v>377</v>
      </c>
      <c r="C61" s="25" t="n">
        <f aca="false">$C$36*$C$60</f>
        <v>23961.4347594284</v>
      </c>
      <c r="E61" s="17" t="s">
        <v>378</v>
      </c>
    </row>
    <row r="62" customFormat="false" ht="15" hidden="false" customHeight="false" outlineLevel="0" collapsed="false">
      <c r="A62" s="3" t="s">
        <v>379</v>
      </c>
      <c r="B62" s="17" t="s">
        <v>380</v>
      </c>
      <c r="C62" s="25" t="n">
        <f aca="false">$C$61*$C$45</f>
        <v>0</v>
      </c>
      <c r="E62" s="17" t="s">
        <v>378</v>
      </c>
    </row>
    <row r="63" customFormat="false" ht="15" hidden="false" customHeight="false" outlineLevel="0" collapsed="false">
      <c r="A63" s="3" t="s">
        <v>381</v>
      </c>
      <c r="B63" s="17" t="s">
        <v>382</v>
      </c>
      <c r="C63" s="25" t="n">
        <f aca="false">$C$61-$C$62</f>
        <v>23961.4347594284</v>
      </c>
      <c r="E63" s="17" t="s">
        <v>383</v>
      </c>
    </row>
    <row r="64" customFormat="false" ht="32.8" hidden="false" customHeight="false" outlineLevel="0" collapsed="false">
      <c r="A64" s="3" t="s">
        <v>384</v>
      </c>
      <c r="B64" s="17" t="s">
        <v>385</v>
      </c>
      <c r="C64" s="25" t="n">
        <f aca="false">IF($C$47="own_desk",$C$36*$C$40,IF($C$47="market_plus_pct",$C$36*$C$40*(1-$C$42),$C$36*$C$41))</f>
        <v>24359.8434133856</v>
      </c>
      <c r="E64" s="17" t="s">
        <v>386</v>
      </c>
    </row>
    <row r="65" customFormat="false" ht="22.35" hidden="false" customHeight="false" outlineLevel="0" collapsed="false">
      <c r="A65" s="3" t="s">
        <v>387</v>
      </c>
      <c r="B65" s="17" t="s">
        <v>388</v>
      </c>
      <c r="C65" s="25" t="n">
        <f aca="false">$C$36*$C$40-$C$64</f>
        <v>1278.89177920274</v>
      </c>
      <c r="E65" s="17" t="s">
        <v>383</v>
      </c>
    </row>
    <row r="66" customFormat="false" ht="15" hidden="false" customHeight="false" outlineLevel="0" collapsed="false">
      <c r="A66" s="3" t="s">
        <v>389</v>
      </c>
      <c r="B66" s="17" t="s">
        <v>390</v>
      </c>
      <c r="C66" s="25" t="n">
        <f aca="false">$C$64-$C$63</f>
        <v>398.408653957245</v>
      </c>
      <c r="E66" s="17" t="s">
        <v>391</v>
      </c>
    </row>
    <row r="67" customFormat="false" ht="15" hidden="false" customHeight="false" outlineLevel="0" collapsed="false">
      <c r="A67" s="3" t="s">
        <v>392</v>
      </c>
      <c r="B67" s="17" t="s">
        <v>393</v>
      </c>
      <c r="C67" s="26" t="n">
        <f aca="false">IF($C$36*$C$40=0,0,$C$66/($C$36*$C$40))</f>
        <v>0.0155393255932694</v>
      </c>
      <c r="E67" s="17" t="s">
        <v>383</v>
      </c>
    </row>
    <row r="68" customFormat="false" ht="22.35" hidden="false" customHeight="false" outlineLevel="0" collapsed="false">
      <c r="A68" s="3" t="s">
        <v>394</v>
      </c>
      <c r="B68" s="17" t="s">
        <v>395</v>
      </c>
      <c r="C68" s="6" t="str">
        <f aca="false">IF($C$67&lt;$C$51,"YES — Finance approval","no")</f>
        <v>no</v>
      </c>
      <c r="E68" s="17" t="s">
        <v>396</v>
      </c>
    </row>
    <row r="69" customFormat="false" ht="22.35" hidden="false" customHeight="false" outlineLevel="0" collapsed="false">
      <c r="A69" s="3" t="s">
        <v>397</v>
      </c>
      <c r="B69" s="17" t="s">
        <v>398</v>
      </c>
      <c r="C69" s="25" t="n">
        <f aca="false">IF($C$49="round_up_unit",CEILING($C$63,$C$50),IF($C$49="nearest_unit",MROUND($C$63,$C$50),IF($C$49="nearest_n",MROUND($C$63,$C$50),FLOOR($C$63,$C$50))))</f>
        <v>23961</v>
      </c>
      <c r="E69" s="17" t="s">
        <v>399</v>
      </c>
    </row>
    <row r="70" customFormat="false" ht="23.85" hidden="false" customHeight="false" outlineLevel="0" collapsed="false">
      <c r="A70" s="3" t="s">
        <v>400</v>
      </c>
      <c r="B70" s="17" t="s">
        <v>401</v>
      </c>
      <c r="C70" s="25" t="n">
        <f aca="false">$C$63-$C$69</f>
        <v>0.434759428357211</v>
      </c>
      <c r="E70" s="17" t="s">
        <v>402</v>
      </c>
    </row>
    <row r="71" customFormat="false" ht="22.35" hidden="false" customHeight="false" outlineLevel="0" collapsed="false">
      <c r="A71" s="3" t="s">
        <v>403</v>
      </c>
      <c r="B71" s="17" t="s">
        <v>404</v>
      </c>
      <c r="C71" s="24" t="n">
        <f aca="false">IF($C$52="",$C$59,$C$60/(1-$C$52))</f>
        <v>0.0110084736765085</v>
      </c>
      <c r="E71" s="17" t="s">
        <v>358</v>
      </c>
    </row>
    <row r="72" customFormat="false" ht="15" hidden="false" customHeight="false" outlineLevel="0" collapsed="false">
      <c r="A72" s="3" t="s">
        <v>405</v>
      </c>
      <c r="B72" s="17" t="s">
        <v>406</v>
      </c>
      <c r="C72" s="25" t="n">
        <f aca="false">IF($C$53="rebate",$C$65*$C$54,0)</f>
        <v>0</v>
      </c>
      <c r="E72" s="17" t="s">
        <v>407</v>
      </c>
    </row>
    <row r="73" customFormat="false" ht="15" hidden="false" customHeight="false" outlineLevel="0" collapsed="false">
      <c r="A73" s="3" t="s">
        <v>408</v>
      </c>
      <c r="B73" s="17" t="s">
        <v>409</v>
      </c>
      <c r="C73" s="25" t="n">
        <f aca="false">$C$36*$C$40*$C$55</f>
        <v>0</v>
      </c>
      <c r="E73" s="17" t="s">
        <v>410</v>
      </c>
    </row>
    <row r="74" customFormat="false" ht="23.85" hidden="false" customHeight="false" outlineLevel="0" collapsed="false">
      <c r="A74" s="3" t="s">
        <v>411</v>
      </c>
      <c r="B74" s="17" t="s">
        <v>412</v>
      </c>
      <c r="C74" s="25" t="n">
        <f aca="false">ROUND($C$63+$C$65+$C$66-$C$36*$C$40,6)</f>
        <v>0</v>
      </c>
      <c r="E74" s="17" t="s">
        <v>413</v>
      </c>
    </row>
    <row r="76" customFormat="false" ht="15" hidden="false" customHeight="false" outlineLevel="0" collapsed="false">
      <c r="A76" s="15" t="s">
        <v>414</v>
      </c>
    </row>
    <row r="77" customFormat="false" ht="15" hidden="false" customHeight="false" outlineLevel="0" collapsed="false">
      <c r="A77" s="16" t="s">
        <v>415</v>
      </c>
      <c r="B77" s="16" t="s">
        <v>416</v>
      </c>
      <c r="C77" s="16" t="s">
        <v>417</v>
      </c>
      <c r="D77" s="16" t="s">
        <v>418</v>
      </c>
      <c r="E77" s="16" t="s">
        <v>419</v>
      </c>
    </row>
    <row r="78" customFormat="false" ht="15" hidden="false" customHeight="false" outlineLevel="0" collapsed="false">
      <c r="A78" s="6" t="str">
        <f aca="false">"CL."&amp;$C$39&amp;"."&amp;$C$37&amp;".COLLECTED"</f>
        <v>CL.ALI.INR.COLLECTED</v>
      </c>
      <c r="B78" s="6" t="s">
        <v>420</v>
      </c>
      <c r="C78" s="25" t="n">
        <f aca="false">$C$36</f>
        <v>2329000</v>
      </c>
      <c r="D78" s="18" t="s">
        <v>421</v>
      </c>
      <c r="E78" s="18" t="s">
        <v>422</v>
      </c>
    </row>
    <row r="79" customFormat="false" ht="15" hidden="false" customHeight="false" outlineLevel="0" collapsed="false">
      <c r="A79" s="6" t="str">
        <f aca="false">"CL.PROJECT."&amp;$C$37&amp;".PAYABLE"</f>
        <v>CL.PROJECT.INR.PAYABLE</v>
      </c>
      <c r="B79" s="6" t="s">
        <v>423</v>
      </c>
      <c r="C79" s="25" t="n">
        <f aca="false">$C$36</f>
        <v>2329000</v>
      </c>
      <c r="D79" s="18" t="s">
        <v>421</v>
      </c>
      <c r="E79" s="18" t="s">
        <v>422</v>
      </c>
    </row>
    <row r="80" customFormat="false" ht="15" hidden="false" customHeight="false" outlineLevel="0" collapsed="false">
      <c r="A80" s="6" t="str">
        <f aca="false">"CL.PROJECT."&amp;$C$37&amp;".PAYABLE"</f>
        <v>CL.PROJECT.INR.PAYABLE</v>
      </c>
      <c r="B80" s="6" t="s">
        <v>420</v>
      </c>
      <c r="C80" s="25" t="n">
        <f aca="false">$C$36</f>
        <v>2329000</v>
      </c>
      <c r="D80" s="18" t="s">
        <v>421</v>
      </c>
      <c r="E80" s="18" t="s">
        <v>424</v>
      </c>
    </row>
    <row r="81" customFormat="false" ht="15" hidden="false" customHeight="false" outlineLevel="0" collapsed="false">
      <c r="A81" s="6" t="str">
        <f aca="false">"CL."&amp;$C$39&amp;"."&amp;$C$37&amp;".COLLECTED"</f>
        <v>CL.ALI.INR.COLLECTED</v>
      </c>
      <c r="B81" s="6" t="s">
        <v>423</v>
      </c>
      <c r="C81" s="25" t="n">
        <f aca="false">$C$36</f>
        <v>2329000</v>
      </c>
      <c r="D81" s="18" t="s">
        <v>421</v>
      </c>
      <c r="E81" s="18" t="s">
        <v>424</v>
      </c>
    </row>
    <row r="82" customFormat="false" ht="15" hidden="false" customHeight="false" outlineLevel="0" collapsed="false">
      <c r="A82" s="6" t="str">
        <f aca="false">"CL."&amp;$C$39&amp;"."&amp;$C$38&amp;".DUE"</f>
        <v>CL.ALI.USD.DUE</v>
      </c>
      <c r="B82" s="6" t="s">
        <v>420</v>
      </c>
      <c r="C82" s="25" t="n">
        <f aca="false">$C$63</f>
        <v>23961.4347594284</v>
      </c>
      <c r="D82" s="18" t="s">
        <v>425</v>
      </c>
      <c r="E82" s="18" t="s">
        <v>426</v>
      </c>
    </row>
    <row r="83" customFormat="false" ht="15" hidden="false" customHeight="false" outlineLevel="0" collapsed="false">
      <c r="A83" s="6" t="str">
        <f aca="false">"CO."&amp;$C$39&amp;"."&amp;$C$38&amp;".POOL"</f>
        <v>CO.ALI.USD.POOL</v>
      </c>
      <c r="B83" s="6" t="s">
        <v>420</v>
      </c>
      <c r="C83" s="25" t="n">
        <f aca="false">IF($C$53="rebate",0,$C$66)</f>
        <v>398.408653957245</v>
      </c>
      <c r="D83" s="18" t="s">
        <v>427</v>
      </c>
      <c r="E83" s="18" t="s">
        <v>428</v>
      </c>
    </row>
    <row r="84" customFormat="false" ht="15" hidden="false" customHeight="false" outlineLevel="0" collapsed="false">
      <c r="A84" s="6" t="str">
        <f aca="false">"CO."&amp;$C$39&amp;"."&amp;$C$38&amp;".REBATE_RECEIVABLE"</f>
        <v>CO.ALI.USD.REBATE_RECEIVABLE</v>
      </c>
      <c r="B84" s="6" t="s">
        <v>420</v>
      </c>
      <c r="C84" s="25" t="n">
        <f aca="false">$C$72</f>
        <v>0</v>
      </c>
      <c r="D84" s="18" t="s">
        <v>427</v>
      </c>
      <c r="E84" s="18" t="s">
        <v>429</v>
      </c>
    </row>
    <row r="85" customFormat="false" ht="15" hidden="false" customHeight="false" outlineLevel="0" collapsed="false">
      <c r="A85" s="6" t="str">
        <f aca="false">"CL.PROJECT."&amp;$C$38&amp;".PAYABLE"</f>
        <v>CL.PROJECT.USD.PAYABLE</v>
      </c>
      <c r="B85" s="6" t="s">
        <v>423</v>
      </c>
      <c r="C85" s="25" t="n">
        <f aca="false">$C$63</f>
        <v>23961.4347594284</v>
      </c>
      <c r="D85" s="18" t="s">
        <v>421</v>
      </c>
      <c r="E85" s="18" t="s">
        <v>426</v>
      </c>
    </row>
    <row r="86" customFormat="false" ht="15" hidden="false" customHeight="false" outlineLevel="0" collapsed="false">
      <c r="A86" s="6" t="str">
        <f aca="false">"CO.NONE."&amp;$C$38&amp;".EARN_GROSS"</f>
        <v>CO.NONE.USD.EARN_GROSS</v>
      </c>
      <c r="B86" s="6" t="s">
        <v>423</v>
      </c>
      <c r="C86" s="25" t="n">
        <f aca="false">$C$66+$C$72</f>
        <v>398.408653957245</v>
      </c>
      <c r="D86" s="18" t="s">
        <v>427</v>
      </c>
      <c r="E86" s="18" t="s">
        <v>430</v>
      </c>
    </row>
    <row r="87" customFormat="false" ht="15" hidden="false" customHeight="false" outlineLevel="0" collapsed="false">
      <c r="A87" s="6" t="str">
        <f aca="false">"CL."&amp;$C$39&amp;"."&amp;$C$38&amp;".INTRANSIT"</f>
        <v>CL.ALI.USD.INTRANSIT</v>
      </c>
      <c r="B87" s="6" t="s">
        <v>420</v>
      </c>
      <c r="C87" s="25" t="n">
        <f aca="false">$C$69</f>
        <v>23961</v>
      </c>
      <c r="D87" s="18" t="s">
        <v>421</v>
      </c>
      <c r="E87" s="18" t="s">
        <v>431</v>
      </c>
    </row>
    <row r="88" customFormat="false" ht="15" hidden="false" customHeight="false" outlineLevel="0" collapsed="false">
      <c r="A88" s="6" t="str">
        <f aca="false">"CL."&amp;$C$39&amp;"."&amp;$C$38&amp;".DUE"</f>
        <v>CL.ALI.USD.DUE</v>
      </c>
      <c r="B88" s="6" t="s">
        <v>423</v>
      </c>
      <c r="C88" s="25" t="n">
        <f aca="false">$C$69</f>
        <v>23961</v>
      </c>
      <c r="D88" s="18" t="s">
        <v>421</v>
      </c>
      <c r="E88" s="18" t="s">
        <v>432</v>
      </c>
    </row>
    <row r="89" customFormat="false" ht="15" hidden="false" customHeight="false" outlineLevel="0" collapsed="false">
      <c r="A89" s="6" t="str">
        <f aca="false">"CL.PROJECT."&amp;$C$38&amp;".PAYABLE"</f>
        <v>CL.PROJECT.USD.PAYABLE</v>
      </c>
      <c r="B89" s="6" t="s">
        <v>420</v>
      </c>
      <c r="C89" s="25" t="n">
        <f aca="false">$C$69</f>
        <v>23961</v>
      </c>
      <c r="D89" s="18" t="s">
        <v>421</v>
      </c>
      <c r="E89" s="18" t="s">
        <v>433</v>
      </c>
    </row>
    <row r="90" customFormat="false" ht="15" hidden="false" customHeight="false" outlineLevel="0" collapsed="false">
      <c r="A90" s="6" t="str">
        <f aca="false">"CL."&amp;$C$39&amp;"."&amp;$C$38&amp;".INTRANSIT"</f>
        <v>CL.ALI.USD.INTRANSIT</v>
      </c>
      <c r="B90" s="6" t="s">
        <v>423</v>
      </c>
      <c r="C90" s="25" t="n">
        <f aca="false">$C$69</f>
        <v>23961</v>
      </c>
      <c r="D90" s="18" t="s">
        <v>421</v>
      </c>
      <c r="E90" s="18" t="s">
        <v>433</v>
      </c>
    </row>
    <row r="91" customFormat="false" ht="15" hidden="false" customHeight="false" outlineLevel="0" collapsed="false">
      <c r="A91" s="6" t="str">
        <f aca="false">"CO.NONE."&amp;$C$38&amp;".EARN_GROSS"</f>
        <v>CO.NONE.USD.EARN_GROSS</v>
      </c>
      <c r="B91" s="6" t="s">
        <v>420</v>
      </c>
      <c r="C91" s="25" t="n">
        <f aca="false">$C$73</f>
        <v>0</v>
      </c>
      <c r="D91" s="18" t="s">
        <v>434</v>
      </c>
      <c r="E91" s="18" t="s">
        <v>435</v>
      </c>
    </row>
    <row r="92" customFormat="false" ht="15" hidden="false" customHeight="false" outlineLevel="0" collapsed="false">
      <c r="A92" s="6" t="str">
        <f aca="false">"CO.INTRODUCER."&amp;$C$38&amp;".REFERRAL_PAYABLE"</f>
        <v>CO.INTRODUCER.USD.REFERRAL_PAYABLE</v>
      </c>
      <c r="B92" s="6" t="s">
        <v>423</v>
      </c>
      <c r="C92" s="25" t="n">
        <f aca="false">$C$73</f>
        <v>0</v>
      </c>
      <c r="D92" s="18" t="s">
        <v>434</v>
      </c>
      <c r="E92" s="18" t="s">
        <v>436</v>
      </c>
    </row>
    <row r="93" customFormat="false" ht="30" hidden="false" customHeight="true" outlineLevel="0" collapsed="false">
      <c r="A93" s="27" t="s">
        <v>437</v>
      </c>
      <c r="C93" s="28" t="n">
        <f aca="false">ROUND(SUMIF($B$82:$B$92,"Dr",$C$82:$C$92)-SUMIF($B$82:$B$92,"Cr",$C$82:$C$92),6)</f>
        <v>0</v>
      </c>
      <c r="E93" s="17" t="s">
        <v>438</v>
      </c>
    </row>
    <row r="95" customFormat="false" ht="15" hidden="false" customHeight="false" outlineLevel="0" collapsed="false">
      <c r="A95" s="15" t="s">
        <v>439</v>
      </c>
    </row>
    <row r="96" customFormat="false" ht="15" hidden="false" customHeight="false" outlineLevel="0" collapsed="false">
      <c r="A96" s="16" t="s">
        <v>440</v>
      </c>
      <c r="B96" s="16" t="s">
        <v>441</v>
      </c>
      <c r="C96" s="16" t="s">
        <v>442</v>
      </c>
      <c r="D96" s="16" t="s">
        <v>443</v>
      </c>
      <c r="E96" s="16" t="s">
        <v>444</v>
      </c>
    </row>
    <row r="97" customFormat="false" ht="30" hidden="false" customHeight="true" outlineLevel="0" collapsed="false">
      <c r="A97" s="3" t="s">
        <v>488</v>
      </c>
      <c r="B97" s="19" t="n">
        <v>23960.18</v>
      </c>
      <c r="C97" s="25" t="n">
        <f aca="false">$C$61</f>
        <v>23961.4347594284</v>
      </c>
      <c r="D97" s="28" t="n">
        <f aca="false">ROUND(C97-B97,2)</f>
        <v>1.25</v>
      </c>
      <c r="E97" s="17" t="s">
        <v>489</v>
      </c>
    </row>
    <row r="99" customFormat="false" ht="15" hidden="false" customHeight="false" outlineLevel="0" collapsed="false">
      <c r="A99" s="15" t="s">
        <v>447</v>
      </c>
    </row>
    <row r="100" customFormat="false" ht="31.5" hidden="false" customHeight="true" outlineLevel="0" collapsed="false">
      <c r="A100" s="13" t="s">
        <v>448</v>
      </c>
      <c r="B100" s="29" t="s">
        <v>490</v>
      </c>
      <c r="C100" s="29"/>
      <c r="D100" s="29"/>
      <c r="E100" s="29"/>
    </row>
    <row r="101" customFormat="false" ht="31.5" hidden="false" customHeight="true" outlineLevel="0" collapsed="false">
      <c r="A101" s="13" t="s">
        <v>448</v>
      </c>
      <c r="B101" s="29" t="s">
        <v>491</v>
      </c>
      <c r="C101" s="29"/>
      <c r="D101" s="29"/>
      <c r="E101" s="29"/>
    </row>
    <row r="102" customFormat="false" ht="31.5" hidden="false" customHeight="true" outlineLevel="0" collapsed="false">
      <c r="A102" s="13" t="s">
        <v>448</v>
      </c>
      <c r="B102" s="29" t="s">
        <v>492</v>
      </c>
      <c r="C102" s="29"/>
      <c r="D102" s="29"/>
      <c r="E102" s="29"/>
    </row>
  </sheetData>
  <mergeCells count="3">
    <mergeCell ref="B100:E100"/>
    <mergeCell ref="B101:E101"/>
    <mergeCell ref="B102:E10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1" style="0" width="34"/>
    <col collapsed="false" customWidth="true" hidden="false" outlineLevel="0" max="3" min="3" style="0" width="22"/>
    <col collapsed="false" customWidth="true" hidden="false" outlineLevel="0" max="4" min="4" style="0" width="18"/>
    <col collapsed="false" customWidth="true" hidden="false" outlineLevel="0" max="5" min="5" style="0" width="48"/>
  </cols>
  <sheetData>
    <row r="1" customFormat="false" ht="16.15" hidden="false" customHeight="false" outlineLevel="0" collapsed="false">
      <c r="A1" s="1" t="s">
        <v>493</v>
      </c>
    </row>
    <row r="2" customFormat="false" ht="15" hidden="false" customHeight="false" outlineLevel="0" collapsed="false">
      <c r="A2" s="12" t="s">
        <v>210</v>
      </c>
      <c r="B2" s="13" t="s">
        <v>494</v>
      </c>
    </row>
    <row r="3" customFormat="false" ht="30" hidden="false" customHeight="true" outlineLevel="0" collapsed="false">
      <c r="A3" s="12" t="s">
        <v>212</v>
      </c>
      <c r="B3" s="14" t="s">
        <v>495</v>
      </c>
    </row>
    <row r="5" customFormat="false" ht="15" hidden="false" customHeight="false" outlineLevel="0" collapsed="false">
      <c r="A5" s="15" t="s">
        <v>214</v>
      </c>
    </row>
    <row r="6" customFormat="false" ht="15" hidden="false" customHeight="false" outlineLevel="0" collapsed="false">
      <c r="A6" s="16" t="s">
        <v>215</v>
      </c>
      <c r="B6" s="16" t="s">
        <v>216</v>
      </c>
      <c r="C6" s="16" t="s">
        <v>217</v>
      </c>
      <c r="D6" s="16" t="s">
        <v>218</v>
      </c>
      <c r="E6" s="16" t="s">
        <v>219</v>
      </c>
    </row>
    <row r="7" customFormat="false" ht="30" hidden="false" customHeight="true" outlineLevel="0" collapsed="false">
      <c r="A7" s="3" t="s">
        <v>220</v>
      </c>
      <c r="B7" s="3" t="s">
        <v>221</v>
      </c>
      <c r="C7" s="9" t="s">
        <v>496</v>
      </c>
      <c r="D7" s="3" t="s">
        <v>222</v>
      </c>
      <c r="E7" s="17" t="s">
        <v>223</v>
      </c>
    </row>
    <row r="8" customFormat="false" ht="30" hidden="false" customHeight="true" outlineLevel="0" collapsed="false">
      <c r="A8" s="3" t="s">
        <v>224</v>
      </c>
      <c r="B8" s="3" t="s">
        <v>225</v>
      </c>
      <c r="C8" s="10"/>
      <c r="D8" s="3" t="s">
        <v>226</v>
      </c>
      <c r="E8" s="17" t="s">
        <v>227</v>
      </c>
    </row>
    <row r="9" customFormat="false" ht="30" hidden="false" customHeight="true" outlineLevel="0" collapsed="false">
      <c r="A9" s="3" t="s">
        <v>228</v>
      </c>
      <c r="B9" s="3" t="s">
        <v>229</v>
      </c>
      <c r="C9" s="10"/>
      <c r="D9" s="3" t="s">
        <v>226</v>
      </c>
      <c r="E9" s="17" t="s">
        <v>230</v>
      </c>
    </row>
    <row r="10" customFormat="false" ht="30" hidden="false" customHeight="true" outlineLevel="0" collapsed="false">
      <c r="A10" s="3" t="s">
        <v>231</v>
      </c>
      <c r="B10" s="3" t="s">
        <v>232</v>
      </c>
      <c r="C10" s="10"/>
      <c r="D10" s="3" t="s">
        <v>226</v>
      </c>
      <c r="E10" s="17" t="s">
        <v>233</v>
      </c>
    </row>
    <row r="11" customFormat="false" ht="15.75" hidden="false" customHeight="true" outlineLevel="0" collapsed="false">
      <c r="A11" s="3" t="s">
        <v>234</v>
      </c>
      <c r="B11" s="3" t="s">
        <v>235</v>
      </c>
      <c r="C11" s="9" t="s">
        <v>236</v>
      </c>
      <c r="D11" s="3" t="s">
        <v>222</v>
      </c>
      <c r="E11" s="17" t="s">
        <v>237</v>
      </c>
    </row>
    <row r="12" customFormat="false" ht="30" hidden="false" customHeight="true" outlineLevel="0" collapsed="false">
      <c r="A12" s="3" t="s">
        <v>238</v>
      </c>
      <c r="B12" s="3" t="s">
        <v>239</v>
      </c>
      <c r="C12" s="9" t="s">
        <v>497</v>
      </c>
      <c r="D12" s="3" t="s">
        <v>222</v>
      </c>
      <c r="E12" s="17" t="s">
        <v>241</v>
      </c>
    </row>
    <row r="13" customFormat="false" ht="15.75" hidden="false" customHeight="true" outlineLevel="0" collapsed="false">
      <c r="A13" s="3" t="s">
        <v>242</v>
      </c>
      <c r="B13" s="3" t="s">
        <v>243</v>
      </c>
      <c r="C13" s="9" t="s">
        <v>93</v>
      </c>
      <c r="D13" s="3" t="s">
        <v>222</v>
      </c>
      <c r="E13" s="17"/>
    </row>
    <row r="14" customFormat="false" ht="30" hidden="false" customHeight="true" outlineLevel="0" collapsed="false">
      <c r="A14" s="3" t="s">
        <v>244</v>
      </c>
      <c r="B14" s="3" t="s">
        <v>245</v>
      </c>
      <c r="C14" s="9" t="s">
        <v>94</v>
      </c>
      <c r="D14" s="3" t="s">
        <v>222</v>
      </c>
      <c r="E14" s="17" t="s">
        <v>246</v>
      </c>
    </row>
    <row r="15" customFormat="false" ht="15.75" hidden="false" customHeight="true" outlineLevel="0" collapsed="false">
      <c r="A15" s="3" t="s">
        <v>247</v>
      </c>
      <c r="B15" s="3" t="s">
        <v>248</v>
      </c>
      <c r="C15" s="9" t="s">
        <v>155</v>
      </c>
      <c r="D15" s="3" t="s">
        <v>222</v>
      </c>
      <c r="E15" s="17" t="s">
        <v>249</v>
      </c>
    </row>
    <row r="16" customFormat="false" ht="30" hidden="false" customHeight="true" outlineLevel="0" collapsed="false">
      <c r="A16" s="3" t="s">
        <v>250</v>
      </c>
      <c r="B16" s="3" t="s">
        <v>251</v>
      </c>
      <c r="C16" s="9" t="s">
        <v>484</v>
      </c>
      <c r="D16" s="3" t="s">
        <v>222</v>
      </c>
      <c r="E16" s="17" t="s">
        <v>253</v>
      </c>
    </row>
    <row r="17" customFormat="false" ht="30" hidden="false" customHeight="true" outlineLevel="0" collapsed="false">
      <c r="A17" s="3" t="s">
        <v>254</v>
      </c>
      <c r="B17" s="3" t="s">
        <v>255</v>
      </c>
      <c r="C17" s="9" t="s">
        <v>256</v>
      </c>
      <c r="D17" s="3" t="s">
        <v>222</v>
      </c>
      <c r="E17" s="17" t="s">
        <v>257</v>
      </c>
    </row>
    <row r="18" customFormat="false" ht="15.75" hidden="false" customHeight="true" outlineLevel="0" collapsed="false">
      <c r="A18" s="3" t="s">
        <v>258</v>
      </c>
      <c r="B18" s="3" t="s">
        <v>259</v>
      </c>
      <c r="C18" s="9" t="s">
        <v>86</v>
      </c>
      <c r="D18" s="3" t="s">
        <v>222</v>
      </c>
      <c r="E18" s="17" t="s">
        <v>260</v>
      </c>
    </row>
    <row r="19" customFormat="false" ht="15.75" hidden="false" customHeight="true" outlineLevel="0" collapsed="false">
      <c r="A19" s="3" t="s">
        <v>261</v>
      </c>
      <c r="B19" s="3" t="s">
        <v>262</v>
      </c>
      <c r="C19" s="11" t="n">
        <v>0.025</v>
      </c>
      <c r="D19" s="3" t="s">
        <v>222</v>
      </c>
      <c r="E19" s="17" t="s">
        <v>263</v>
      </c>
    </row>
    <row r="20" customFormat="false" ht="15.75" hidden="false" customHeight="true" outlineLevel="0" collapsed="false">
      <c r="A20" s="3" t="s">
        <v>264</v>
      </c>
      <c r="B20" s="3" t="s">
        <v>265</v>
      </c>
      <c r="C20" s="11" t="n">
        <v>0.025</v>
      </c>
      <c r="D20" s="3" t="s">
        <v>222</v>
      </c>
      <c r="E20" s="17"/>
    </row>
    <row r="21" customFormat="false" ht="30" hidden="false" customHeight="true" outlineLevel="0" collapsed="false">
      <c r="A21" s="3" t="s">
        <v>266</v>
      </c>
      <c r="B21" s="3" t="s">
        <v>267</v>
      </c>
      <c r="C21" s="11" t="n">
        <v>0</v>
      </c>
      <c r="D21" s="3" t="s">
        <v>222</v>
      </c>
      <c r="E21" s="17" t="s">
        <v>268</v>
      </c>
    </row>
    <row r="22" customFormat="false" ht="15.75" hidden="false" customHeight="true" outlineLevel="0" collapsed="false">
      <c r="A22" s="3" t="s">
        <v>269</v>
      </c>
      <c r="B22" s="3" t="s">
        <v>270</v>
      </c>
      <c r="C22" s="10"/>
      <c r="D22" s="3" t="s">
        <v>226</v>
      </c>
      <c r="E22" s="17" t="s">
        <v>271</v>
      </c>
    </row>
    <row r="23" customFormat="false" ht="15.75" hidden="false" customHeight="true" outlineLevel="0" collapsed="false">
      <c r="A23" s="3" t="s">
        <v>272</v>
      </c>
      <c r="B23" s="3" t="s">
        <v>273</v>
      </c>
      <c r="C23" s="10"/>
      <c r="D23" s="3" t="s">
        <v>226</v>
      </c>
      <c r="E23" s="17" t="s">
        <v>271</v>
      </c>
    </row>
    <row r="24" customFormat="false" ht="15.75" hidden="false" customHeight="true" outlineLevel="0" collapsed="false">
      <c r="A24" s="3" t="s">
        <v>274</v>
      </c>
      <c r="B24" s="3" t="s">
        <v>275</v>
      </c>
      <c r="C24" s="10"/>
      <c r="D24" s="3" t="s">
        <v>226</v>
      </c>
      <c r="E24" s="17" t="s">
        <v>276</v>
      </c>
    </row>
    <row r="25" customFormat="false" ht="30" hidden="false" customHeight="true" outlineLevel="0" collapsed="false">
      <c r="A25" s="3" t="s">
        <v>277</v>
      </c>
      <c r="B25" s="3" t="s">
        <v>278</v>
      </c>
      <c r="C25" s="10"/>
      <c r="D25" s="3" t="s">
        <v>279</v>
      </c>
      <c r="E25" s="17" t="s">
        <v>280</v>
      </c>
    </row>
    <row r="26" customFormat="false" ht="15.75" hidden="false" customHeight="true" outlineLevel="0" collapsed="false">
      <c r="A26" s="3" t="s">
        <v>281</v>
      </c>
      <c r="B26" s="3" t="s">
        <v>282</v>
      </c>
      <c r="C26" s="9" t="s">
        <v>95</v>
      </c>
      <c r="D26" s="3" t="s">
        <v>222</v>
      </c>
      <c r="E26" s="17" t="s">
        <v>284</v>
      </c>
    </row>
    <row r="27" customFormat="false" ht="15.75" hidden="false" customHeight="true" outlineLevel="0" collapsed="false">
      <c r="A27" s="3" t="s">
        <v>285</v>
      </c>
      <c r="B27" s="3" t="s">
        <v>286</v>
      </c>
      <c r="C27" s="10"/>
      <c r="D27" s="3" t="s">
        <v>279</v>
      </c>
      <c r="E27" s="17" t="s">
        <v>288</v>
      </c>
    </row>
    <row r="28" customFormat="false" ht="15.75" hidden="false" customHeight="true" outlineLevel="0" collapsed="false">
      <c r="A28" s="3" t="s">
        <v>289</v>
      </c>
      <c r="B28" s="3" t="s">
        <v>290</v>
      </c>
      <c r="C28" s="9"/>
      <c r="D28" s="3" t="s">
        <v>279</v>
      </c>
      <c r="E28" s="17" t="s">
        <v>291</v>
      </c>
    </row>
    <row r="29" customFormat="false" ht="30" hidden="false" customHeight="true" outlineLevel="0" collapsed="false">
      <c r="A29" s="3" t="s">
        <v>292</v>
      </c>
      <c r="B29" s="3" t="s">
        <v>293</v>
      </c>
      <c r="C29" s="9" t="s">
        <v>294</v>
      </c>
      <c r="D29" s="3" t="s">
        <v>222</v>
      </c>
      <c r="E29" s="17" t="s">
        <v>295</v>
      </c>
    </row>
    <row r="30" customFormat="false" ht="15.75" hidden="false" customHeight="true" outlineLevel="0" collapsed="false">
      <c r="A30" s="3" t="s">
        <v>296</v>
      </c>
      <c r="B30" s="3" t="s">
        <v>297</v>
      </c>
      <c r="C30" s="10"/>
      <c r="D30" s="3" t="s">
        <v>226</v>
      </c>
      <c r="E30" s="17"/>
    </row>
    <row r="31" customFormat="false" ht="15.75" hidden="false" customHeight="true" outlineLevel="0" collapsed="false">
      <c r="A31" s="3" t="s">
        <v>298</v>
      </c>
      <c r="B31" s="3" t="s">
        <v>299</v>
      </c>
      <c r="C31" s="10"/>
      <c r="D31" s="3" t="s">
        <v>226</v>
      </c>
      <c r="E31" s="17" t="s">
        <v>300</v>
      </c>
    </row>
    <row r="32" customFormat="false" ht="30" hidden="false" customHeight="true" outlineLevel="0" collapsed="false">
      <c r="A32" s="3" t="s">
        <v>301</v>
      </c>
      <c r="B32" s="3" t="s">
        <v>302</v>
      </c>
      <c r="C32" s="10"/>
      <c r="D32" s="3" t="s">
        <v>226</v>
      </c>
      <c r="E32" s="17" t="s">
        <v>303</v>
      </c>
    </row>
    <row r="34" customFormat="false" ht="15" hidden="false" customHeight="false" outlineLevel="0" collapsed="false">
      <c r="A34" s="15" t="s">
        <v>304</v>
      </c>
    </row>
    <row r="35" customFormat="false" ht="15" hidden="false" customHeight="false" outlineLevel="0" collapsed="false">
      <c r="A35" s="16" t="s">
        <v>305</v>
      </c>
      <c r="B35" s="16" t="s">
        <v>306</v>
      </c>
      <c r="C35" s="16" t="s">
        <v>217</v>
      </c>
      <c r="D35" s="16" t="s">
        <v>307</v>
      </c>
      <c r="E35" s="16" t="s">
        <v>308</v>
      </c>
    </row>
    <row r="36" customFormat="false" ht="15" hidden="false" customHeight="false" outlineLevel="0" collapsed="false">
      <c r="A36" s="3" t="s">
        <v>309</v>
      </c>
      <c r="B36" s="18" t="s">
        <v>310</v>
      </c>
      <c r="C36" s="19" t="n">
        <v>86594</v>
      </c>
      <c r="D36" s="18" t="s">
        <v>311</v>
      </c>
      <c r="E36" s="17" t="s">
        <v>312</v>
      </c>
    </row>
    <row r="37" customFormat="false" ht="15" hidden="false" customHeight="false" outlineLevel="0" collapsed="false">
      <c r="A37" s="3" t="s">
        <v>313</v>
      </c>
      <c r="B37" s="18" t="s">
        <v>314</v>
      </c>
      <c r="C37" s="7" t="s">
        <v>315</v>
      </c>
      <c r="D37" s="18" t="s">
        <v>316</v>
      </c>
      <c r="E37" s="17"/>
    </row>
    <row r="38" customFormat="false" ht="15" hidden="false" customHeight="false" outlineLevel="0" collapsed="false">
      <c r="A38" s="3" t="s">
        <v>317</v>
      </c>
      <c r="B38" s="18" t="s">
        <v>318</v>
      </c>
      <c r="C38" s="7" t="s">
        <v>487</v>
      </c>
      <c r="D38" s="18" t="s">
        <v>316</v>
      </c>
      <c r="E38" s="17"/>
    </row>
    <row r="39" customFormat="false" ht="15" hidden="false" customHeight="false" outlineLevel="0" collapsed="false">
      <c r="A39" s="3" t="s">
        <v>320</v>
      </c>
      <c r="B39" s="18" t="s">
        <v>321</v>
      </c>
      <c r="C39" s="7" t="s">
        <v>457</v>
      </c>
      <c r="D39" s="18" t="s">
        <v>316</v>
      </c>
      <c r="E39" s="17" t="s">
        <v>323</v>
      </c>
    </row>
    <row r="40" customFormat="false" ht="15" hidden="false" customHeight="false" outlineLevel="0" collapsed="false">
      <c r="A40" s="3" t="s">
        <v>324</v>
      </c>
      <c r="B40" s="18" t="s">
        <v>325</v>
      </c>
      <c r="C40" s="20" t="n">
        <v>1</v>
      </c>
      <c r="D40" s="18" t="s">
        <v>326</v>
      </c>
      <c r="E40" s="17" t="s">
        <v>327</v>
      </c>
    </row>
    <row r="41" customFormat="false" ht="22.35" hidden="false" customHeight="false" outlineLevel="0" collapsed="false">
      <c r="A41" s="3" t="s">
        <v>328</v>
      </c>
      <c r="B41" s="18" t="s">
        <v>329</v>
      </c>
      <c r="C41" s="20" t="n">
        <v>0.996</v>
      </c>
      <c r="D41" s="18" t="s">
        <v>326</v>
      </c>
      <c r="E41" s="17" t="s">
        <v>330</v>
      </c>
    </row>
    <row r="42" customFormat="false" ht="22.35" hidden="false" customHeight="false" outlineLevel="0" collapsed="false">
      <c r="A42" s="3" t="s">
        <v>331</v>
      </c>
      <c r="B42" s="18" t="s">
        <v>332</v>
      </c>
      <c r="C42" s="22" t="n">
        <v>0</v>
      </c>
      <c r="D42" s="18" t="s">
        <v>333</v>
      </c>
      <c r="E42" s="17" t="s">
        <v>334</v>
      </c>
    </row>
    <row r="43" customFormat="false" ht="15" hidden="false" customHeight="false" outlineLevel="0" collapsed="false">
      <c r="A43" s="3" t="s">
        <v>335</v>
      </c>
      <c r="B43" s="18" t="s">
        <v>336</v>
      </c>
      <c r="C43" s="22" t="n">
        <v>0.025</v>
      </c>
      <c r="D43" s="18" t="s">
        <v>333</v>
      </c>
      <c r="E43" s="17" t="s">
        <v>262</v>
      </c>
    </row>
    <row r="44" customFormat="false" ht="15" hidden="false" customHeight="false" outlineLevel="0" collapsed="false">
      <c r="A44" s="3" t="s">
        <v>337</v>
      </c>
      <c r="B44" s="18" t="s">
        <v>338</v>
      </c>
      <c r="C44" s="22" t="n">
        <v>0.025</v>
      </c>
      <c r="D44" s="18" t="s">
        <v>333</v>
      </c>
      <c r="E44" s="17" t="s">
        <v>265</v>
      </c>
    </row>
    <row r="45" customFormat="false" ht="15" hidden="false" customHeight="false" outlineLevel="0" collapsed="false">
      <c r="A45" s="3" t="s">
        <v>339</v>
      </c>
      <c r="B45" s="18" t="s">
        <v>340</v>
      </c>
      <c r="C45" s="22" t="n">
        <v>0</v>
      </c>
      <c r="D45" s="18" t="s">
        <v>333</v>
      </c>
      <c r="E45" s="17" t="s">
        <v>267</v>
      </c>
    </row>
    <row r="46" customFormat="false" ht="15" hidden="false" customHeight="false" outlineLevel="0" collapsed="false">
      <c r="A46" s="3" t="s">
        <v>254</v>
      </c>
      <c r="B46" s="18" t="s">
        <v>341</v>
      </c>
      <c r="C46" s="7" t="s">
        <v>256</v>
      </c>
      <c r="D46" s="18" t="s">
        <v>316</v>
      </c>
      <c r="E46" s="17" t="s">
        <v>342</v>
      </c>
    </row>
    <row r="47" customFormat="false" ht="15" hidden="false" customHeight="false" outlineLevel="0" collapsed="false">
      <c r="A47" s="3" t="s">
        <v>244</v>
      </c>
      <c r="B47" s="18" t="s">
        <v>343</v>
      </c>
      <c r="C47" s="7" t="s">
        <v>94</v>
      </c>
      <c r="D47" s="18" t="s">
        <v>316</v>
      </c>
      <c r="E47" s="17" t="s">
        <v>344</v>
      </c>
    </row>
    <row r="48" customFormat="false" ht="15" hidden="false" customHeight="false" outlineLevel="0" collapsed="false">
      <c r="A48" s="3" t="s">
        <v>250</v>
      </c>
      <c r="B48" s="18" t="s">
        <v>345</v>
      </c>
      <c r="C48" s="7" t="s">
        <v>484</v>
      </c>
      <c r="D48" s="18" t="s">
        <v>316</v>
      </c>
      <c r="E48" s="17" t="s">
        <v>346</v>
      </c>
    </row>
    <row r="49" customFormat="false" ht="15" hidden="false" customHeight="false" outlineLevel="0" collapsed="false">
      <c r="A49" s="3" t="s">
        <v>347</v>
      </c>
      <c r="B49" s="18" t="s">
        <v>348</v>
      </c>
      <c r="C49" s="7" t="s">
        <v>349</v>
      </c>
      <c r="D49" s="18" t="s">
        <v>316</v>
      </c>
      <c r="E49" s="17" t="s">
        <v>350</v>
      </c>
    </row>
    <row r="50" customFormat="false" ht="15" hidden="false" customHeight="false" outlineLevel="0" collapsed="false">
      <c r="A50" s="3" t="s">
        <v>351</v>
      </c>
      <c r="B50" s="18" t="s">
        <v>352</v>
      </c>
      <c r="C50" s="19" t="n">
        <v>1</v>
      </c>
      <c r="D50" s="18" t="s">
        <v>311</v>
      </c>
      <c r="E50" s="17" t="s">
        <v>353</v>
      </c>
    </row>
    <row r="51" customFormat="false" ht="15" hidden="false" customHeight="false" outlineLevel="0" collapsed="false">
      <c r="A51" s="3" t="s">
        <v>354</v>
      </c>
      <c r="B51" s="18" t="s">
        <v>355</v>
      </c>
      <c r="C51" s="22" t="n">
        <v>0.005</v>
      </c>
      <c r="D51" s="18" t="s">
        <v>333</v>
      </c>
      <c r="E51" s="17" t="s">
        <v>275</v>
      </c>
    </row>
    <row r="52" customFormat="false" ht="15" hidden="false" customHeight="false" outlineLevel="0" collapsed="false">
      <c r="A52" s="3" t="s">
        <v>356</v>
      </c>
      <c r="B52" s="18" t="s">
        <v>357</v>
      </c>
      <c r="C52" s="23"/>
      <c r="D52" s="18" t="s">
        <v>333</v>
      </c>
      <c r="E52" s="17" t="s">
        <v>358</v>
      </c>
    </row>
    <row r="53" customFormat="false" ht="15" hidden="false" customHeight="false" outlineLevel="0" collapsed="false">
      <c r="A53" s="3" t="s">
        <v>281</v>
      </c>
      <c r="B53" s="18" t="s">
        <v>359</v>
      </c>
      <c r="C53" s="7" t="s">
        <v>458</v>
      </c>
      <c r="D53" s="18" t="s">
        <v>316</v>
      </c>
      <c r="E53" s="17" t="s">
        <v>361</v>
      </c>
    </row>
    <row r="54" customFormat="false" ht="15" hidden="false" customHeight="false" outlineLevel="0" collapsed="false">
      <c r="A54" s="3" t="s">
        <v>285</v>
      </c>
      <c r="B54" s="18" t="s">
        <v>360</v>
      </c>
      <c r="C54" s="22" t="n">
        <v>0</v>
      </c>
      <c r="D54" s="18" t="s">
        <v>333</v>
      </c>
      <c r="E54" s="17" t="s">
        <v>362</v>
      </c>
    </row>
    <row r="55" customFormat="false" ht="15" hidden="false" customHeight="false" outlineLevel="0" collapsed="false">
      <c r="A55" s="3" t="s">
        <v>363</v>
      </c>
      <c r="B55" s="18" t="s">
        <v>364</v>
      </c>
      <c r="C55" s="22" t="n">
        <v>0</v>
      </c>
      <c r="D55" s="18" t="s">
        <v>333</v>
      </c>
      <c r="E55" s="17" t="s">
        <v>365</v>
      </c>
    </row>
    <row r="57" customFormat="false" ht="15" hidden="false" customHeight="false" outlineLevel="0" collapsed="false">
      <c r="A57" s="15" t="s">
        <v>366</v>
      </c>
    </row>
    <row r="58" customFormat="false" ht="15" hidden="false" customHeight="false" outlineLevel="0" collapsed="false">
      <c r="A58" s="16" t="s">
        <v>367</v>
      </c>
      <c r="B58" s="16" t="s">
        <v>368</v>
      </c>
      <c r="C58" s="16" t="s">
        <v>217</v>
      </c>
      <c r="D58" s="16"/>
      <c r="E58" s="16" t="s">
        <v>369</v>
      </c>
    </row>
    <row r="59" customFormat="false" ht="22.35" hidden="false" customHeight="false" outlineLevel="0" collapsed="false">
      <c r="A59" s="3" t="s">
        <v>370</v>
      </c>
      <c r="B59" s="17" t="s">
        <v>371</v>
      </c>
      <c r="C59" s="24" t="n">
        <f aca="false">IF($C$46="market",$C$40,$C$41)</f>
        <v>1</v>
      </c>
      <c r="E59" s="17" t="s">
        <v>372</v>
      </c>
    </row>
    <row r="60" customFormat="false" ht="32.8" hidden="false" customHeight="false" outlineLevel="0" collapsed="false">
      <c r="A60" s="3" t="s">
        <v>373</v>
      </c>
      <c r="B60" s="17" t="s">
        <v>374</v>
      </c>
      <c r="C60" s="24" t="n">
        <f aca="false">IF($C$48="in_per_out",$C$59/(1+$C$44),$C$59*(1-$C$44))</f>
        <v>0.975609756097561</v>
      </c>
      <c r="E60" s="17" t="s">
        <v>375</v>
      </c>
    </row>
    <row r="61" customFormat="false" ht="23.85" hidden="false" customHeight="false" outlineLevel="0" collapsed="false">
      <c r="A61" s="3" t="s">
        <v>376</v>
      </c>
      <c r="B61" s="17" t="s">
        <v>377</v>
      </c>
      <c r="C61" s="25" t="n">
        <f aca="false">$C$36*$C$60</f>
        <v>84481.9512195122</v>
      </c>
      <c r="E61" s="17" t="s">
        <v>378</v>
      </c>
    </row>
    <row r="62" customFormat="false" ht="15" hidden="false" customHeight="false" outlineLevel="0" collapsed="false">
      <c r="A62" s="3" t="s">
        <v>379</v>
      </c>
      <c r="B62" s="17" t="s">
        <v>380</v>
      </c>
      <c r="C62" s="25" t="n">
        <f aca="false">$C$61*$C$45</f>
        <v>0</v>
      </c>
      <c r="E62" s="17" t="s">
        <v>378</v>
      </c>
    </row>
    <row r="63" customFormat="false" ht="15" hidden="false" customHeight="false" outlineLevel="0" collapsed="false">
      <c r="A63" s="3" t="s">
        <v>381</v>
      </c>
      <c r="B63" s="17" t="s">
        <v>382</v>
      </c>
      <c r="C63" s="25" t="n">
        <f aca="false">$C$61-$C$62</f>
        <v>84481.9512195122</v>
      </c>
      <c r="E63" s="17" t="s">
        <v>383</v>
      </c>
    </row>
    <row r="64" customFormat="false" ht="32.8" hidden="false" customHeight="false" outlineLevel="0" collapsed="false">
      <c r="A64" s="3" t="s">
        <v>384</v>
      </c>
      <c r="B64" s="17" t="s">
        <v>385</v>
      </c>
      <c r="C64" s="25" t="n">
        <f aca="false">IF($C$47="own_desk",$C$36*$C$40,IF($C$47="market_plus_pct",$C$36*$C$40*(1-$C$42),$C$36*$C$41))</f>
        <v>86247.624</v>
      </c>
      <c r="E64" s="17" t="s">
        <v>386</v>
      </c>
    </row>
    <row r="65" customFormat="false" ht="22.35" hidden="false" customHeight="false" outlineLevel="0" collapsed="false">
      <c r="A65" s="3" t="s">
        <v>387</v>
      </c>
      <c r="B65" s="17" t="s">
        <v>388</v>
      </c>
      <c r="C65" s="25" t="n">
        <f aca="false">$C$36*$C$40-$C$64</f>
        <v>346.376000000004</v>
      </c>
      <c r="E65" s="17" t="s">
        <v>383</v>
      </c>
    </row>
    <row r="66" customFormat="false" ht="15" hidden="false" customHeight="false" outlineLevel="0" collapsed="false">
      <c r="A66" s="3" t="s">
        <v>389</v>
      </c>
      <c r="B66" s="17" t="s">
        <v>390</v>
      </c>
      <c r="C66" s="25" t="n">
        <f aca="false">$C$64-$C$63</f>
        <v>1765.67278048779</v>
      </c>
      <c r="E66" s="17" t="s">
        <v>391</v>
      </c>
    </row>
    <row r="67" customFormat="false" ht="15" hidden="false" customHeight="false" outlineLevel="0" collapsed="false">
      <c r="A67" s="3" t="s">
        <v>392</v>
      </c>
      <c r="B67" s="17" t="s">
        <v>393</v>
      </c>
      <c r="C67" s="26" t="n">
        <f aca="false">IF($C$36*$C$40=0,0,$C$66/($C$36*$C$40))</f>
        <v>0.0203902439024388</v>
      </c>
      <c r="E67" s="17" t="s">
        <v>383</v>
      </c>
    </row>
    <row r="68" customFormat="false" ht="22.35" hidden="false" customHeight="false" outlineLevel="0" collapsed="false">
      <c r="A68" s="3" t="s">
        <v>394</v>
      </c>
      <c r="B68" s="17" t="s">
        <v>395</v>
      </c>
      <c r="C68" s="6" t="str">
        <f aca="false">IF($C$67&lt;$C$51,"YES — Finance approval","no")</f>
        <v>no</v>
      </c>
      <c r="E68" s="17" t="s">
        <v>396</v>
      </c>
    </row>
    <row r="69" customFormat="false" ht="22.35" hidden="false" customHeight="false" outlineLevel="0" collapsed="false">
      <c r="A69" s="3" t="s">
        <v>397</v>
      </c>
      <c r="B69" s="17" t="s">
        <v>398</v>
      </c>
      <c r="C69" s="25" t="n">
        <f aca="false">IF($C$49="round_up_unit",CEILING($C$63,$C$50),IF($C$49="nearest_unit",MROUND($C$63,$C$50),IF($C$49="nearest_n",MROUND($C$63,$C$50),FLOOR($C$63,$C$50))))</f>
        <v>84481</v>
      </c>
      <c r="E69" s="17" t="s">
        <v>399</v>
      </c>
    </row>
    <row r="70" customFormat="false" ht="23.85" hidden="false" customHeight="false" outlineLevel="0" collapsed="false">
      <c r="A70" s="3" t="s">
        <v>400</v>
      </c>
      <c r="B70" s="17" t="s">
        <v>401</v>
      </c>
      <c r="C70" s="25" t="n">
        <f aca="false">$C$63-$C$69</f>
        <v>0.951219512207899</v>
      </c>
      <c r="E70" s="17" t="s">
        <v>402</v>
      </c>
    </row>
    <row r="71" customFormat="false" ht="22.35" hidden="false" customHeight="false" outlineLevel="0" collapsed="false">
      <c r="A71" s="3" t="s">
        <v>403</v>
      </c>
      <c r="B71" s="17" t="s">
        <v>404</v>
      </c>
      <c r="C71" s="24" t="n">
        <f aca="false">IF($C$52="",$C$59,$C$60/(1-$C$52))</f>
        <v>1</v>
      </c>
      <c r="E71" s="17" t="s">
        <v>358</v>
      </c>
    </row>
    <row r="72" customFormat="false" ht="15" hidden="false" customHeight="false" outlineLevel="0" collapsed="false">
      <c r="A72" s="3" t="s">
        <v>405</v>
      </c>
      <c r="B72" s="17" t="s">
        <v>406</v>
      </c>
      <c r="C72" s="25" t="n">
        <f aca="false">IF($C$53="rebate",$C$65*$C$54,0)</f>
        <v>0</v>
      </c>
      <c r="E72" s="17" t="s">
        <v>407</v>
      </c>
    </row>
    <row r="73" customFormat="false" ht="15" hidden="false" customHeight="false" outlineLevel="0" collapsed="false">
      <c r="A73" s="3" t="s">
        <v>408</v>
      </c>
      <c r="B73" s="17" t="s">
        <v>409</v>
      </c>
      <c r="C73" s="25" t="n">
        <f aca="false">$C$36*$C$40*$C$55</f>
        <v>0</v>
      </c>
      <c r="E73" s="17" t="s">
        <v>410</v>
      </c>
    </row>
    <row r="74" customFormat="false" ht="23.85" hidden="false" customHeight="false" outlineLevel="0" collapsed="false">
      <c r="A74" s="3" t="s">
        <v>411</v>
      </c>
      <c r="B74" s="17" t="s">
        <v>412</v>
      </c>
      <c r="C74" s="25" t="n">
        <f aca="false">ROUND($C$63+$C$65+$C$66-$C$36*$C$40,6)</f>
        <v>0</v>
      </c>
      <c r="E74" s="17" t="s">
        <v>413</v>
      </c>
    </row>
    <row r="76" customFormat="false" ht="15" hidden="false" customHeight="false" outlineLevel="0" collapsed="false">
      <c r="A76" s="15" t="s">
        <v>414</v>
      </c>
    </row>
    <row r="77" customFormat="false" ht="15" hidden="false" customHeight="false" outlineLevel="0" collapsed="false">
      <c r="A77" s="16" t="s">
        <v>415</v>
      </c>
      <c r="B77" s="16" t="s">
        <v>416</v>
      </c>
      <c r="C77" s="16" t="s">
        <v>417</v>
      </c>
      <c r="D77" s="16" t="s">
        <v>418</v>
      </c>
      <c r="E77" s="16" t="s">
        <v>419</v>
      </c>
    </row>
    <row r="78" customFormat="false" ht="15" hidden="false" customHeight="false" outlineLevel="0" collapsed="false">
      <c r="A78" s="6" t="str">
        <f aca="false">"CL."&amp;$C$39&amp;"."&amp;$C$37&amp;".COLLECTED"</f>
        <v>CL.ALI.USDT.COLLECTED</v>
      </c>
      <c r="B78" s="6" t="s">
        <v>420</v>
      </c>
      <c r="C78" s="25" t="n">
        <f aca="false">$C$36</f>
        <v>86594</v>
      </c>
      <c r="D78" s="18" t="s">
        <v>421</v>
      </c>
      <c r="E78" s="18" t="s">
        <v>422</v>
      </c>
    </row>
    <row r="79" customFormat="false" ht="15" hidden="false" customHeight="false" outlineLevel="0" collapsed="false">
      <c r="A79" s="6" t="str">
        <f aca="false">"CL.PROJECT."&amp;$C$37&amp;".PAYABLE"</f>
        <v>CL.PROJECT.USDT.PAYABLE</v>
      </c>
      <c r="B79" s="6" t="s">
        <v>423</v>
      </c>
      <c r="C79" s="25" t="n">
        <f aca="false">$C$36</f>
        <v>86594</v>
      </c>
      <c r="D79" s="18" t="s">
        <v>421</v>
      </c>
      <c r="E79" s="18" t="s">
        <v>422</v>
      </c>
    </row>
    <row r="80" customFormat="false" ht="15" hidden="false" customHeight="false" outlineLevel="0" collapsed="false">
      <c r="A80" s="6" t="str">
        <f aca="false">"CL.PROJECT."&amp;$C$37&amp;".PAYABLE"</f>
        <v>CL.PROJECT.USDT.PAYABLE</v>
      </c>
      <c r="B80" s="6" t="s">
        <v>420</v>
      </c>
      <c r="C80" s="25" t="n">
        <f aca="false">$C$36</f>
        <v>86594</v>
      </c>
      <c r="D80" s="18" t="s">
        <v>421</v>
      </c>
      <c r="E80" s="18" t="s">
        <v>424</v>
      </c>
    </row>
    <row r="81" customFormat="false" ht="15" hidden="false" customHeight="false" outlineLevel="0" collapsed="false">
      <c r="A81" s="6" t="str">
        <f aca="false">"CL."&amp;$C$39&amp;"."&amp;$C$37&amp;".COLLECTED"</f>
        <v>CL.ALI.USDT.COLLECTED</v>
      </c>
      <c r="B81" s="6" t="s">
        <v>423</v>
      </c>
      <c r="C81" s="25" t="n">
        <f aca="false">$C$36</f>
        <v>86594</v>
      </c>
      <c r="D81" s="18" t="s">
        <v>421</v>
      </c>
      <c r="E81" s="18" t="s">
        <v>424</v>
      </c>
    </row>
    <row r="82" customFormat="false" ht="15" hidden="false" customHeight="false" outlineLevel="0" collapsed="false">
      <c r="A82" s="6" t="str">
        <f aca="false">"CL."&amp;$C$39&amp;"."&amp;$C$38&amp;".DUE"</f>
        <v>CL.ALI.USD.DUE</v>
      </c>
      <c r="B82" s="6" t="s">
        <v>420</v>
      </c>
      <c r="C82" s="25" t="n">
        <f aca="false">$C$63</f>
        <v>84481.9512195122</v>
      </c>
      <c r="D82" s="18" t="s">
        <v>425</v>
      </c>
      <c r="E82" s="18" t="s">
        <v>426</v>
      </c>
    </row>
    <row r="83" customFormat="false" ht="15" hidden="false" customHeight="false" outlineLevel="0" collapsed="false">
      <c r="A83" s="6" t="str">
        <f aca="false">"CO."&amp;$C$39&amp;"."&amp;$C$38&amp;".POOL"</f>
        <v>CO.ALI.USD.POOL</v>
      </c>
      <c r="B83" s="6" t="s">
        <v>420</v>
      </c>
      <c r="C83" s="25" t="n">
        <f aca="false">IF($C$53="rebate",0,$C$66)</f>
        <v>1765.67278048779</v>
      </c>
      <c r="D83" s="18" t="s">
        <v>427</v>
      </c>
      <c r="E83" s="18" t="s">
        <v>428</v>
      </c>
    </row>
    <row r="84" customFormat="false" ht="15" hidden="false" customHeight="false" outlineLevel="0" collapsed="false">
      <c r="A84" s="6" t="str">
        <f aca="false">"CO."&amp;$C$39&amp;"."&amp;$C$38&amp;".REBATE_RECEIVABLE"</f>
        <v>CO.ALI.USD.REBATE_RECEIVABLE</v>
      </c>
      <c r="B84" s="6" t="s">
        <v>420</v>
      </c>
      <c r="C84" s="25" t="n">
        <f aca="false">$C$72</f>
        <v>0</v>
      </c>
      <c r="D84" s="18" t="s">
        <v>427</v>
      </c>
      <c r="E84" s="18" t="s">
        <v>429</v>
      </c>
    </row>
    <row r="85" customFormat="false" ht="15" hidden="false" customHeight="false" outlineLevel="0" collapsed="false">
      <c r="A85" s="6" t="str">
        <f aca="false">"CL.PROJECT."&amp;$C$38&amp;".PAYABLE"</f>
        <v>CL.PROJECT.USD.PAYABLE</v>
      </c>
      <c r="B85" s="6" t="s">
        <v>423</v>
      </c>
      <c r="C85" s="25" t="n">
        <f aca="false">$C$63</f>
        <v>84481.9512195122</v>
      </c>
      <c r="D85" s="18" t="s">
        <v>421</v>
      </c>
      <c r="E85" s="18" t="s">
        <v>426</v>
      </c>
    </row>
    <row r="86" customFormat="false" ht="15" hidden="false" customHeight="false" outlineLevel="0" collapsed="false">
      <c r="A86" s="6" t="str">
        <f aca="false">"CO.NONE."&amp;$C$38&amp;".EARN_GROSS"</f>
        <v>CO.NONE.USD.EARN_GROSS</v>
      </c>
      <c r="B86" s="6" t="s">
        <v>423</v>
      </c>
      <c r="C86" s="25" t="n">
        <f aca="false">$C$66+$C$72</f>
        <v>1765.67278048779</v>
      </c>
      <c r="D86" s="18" t="s">
        <v>427</v>
      </c>
      <c r="E86" s="18" t="s">
        <v>430</v>
      </c>
    </row>
    <row r="87" customFormat="false" ht="15" hidden="false" customHeight="false" outlineLevel="0" collapsed="false">
      <c r="A87" s="6" t="str">
        <f aca="false">"CL."&amp;$C$39&amp;"."&amp;$C$38&amp;".INTRANSIT"</f>
        <v>CL.ALI.USD.INTRANSIT</v>
      </c>
      <c r="B87" s="6" t="s">
        <v>420</v>
      </c>
      <c r="C87" s="25" t="n">
        <f aca="false">$C$69</f>
        <v>84481</v>
      </c>
      <c r="D87" s="18" t="s">
        <v>421</v>
      </c>
      <c r="E87" s="18" t="s">
        <v>431</v>
      </c>
    </row>
    <row r="88" customFormat="false" ht="15" hidden="false" customHeight="false" outlineLevel="0" collapsed="false">
      <c r="A88" s="6" t="str">
        <f aca="false">"CL."&amp;$C$39&amp;"."&amp;$C$38&amp;".DUE"</f>
        <v>CL.ALI.USD.DUE</v>
      </c>
      <c r="B88" s="6" t="s">
        <v>423</v>
      </c>
      <c r="C88" s="25" t="n">
        <f aca="false">$C$69</f>
        <v>84481</v>
      </c>
      <c r="D88" s="18" t="s">
        <v>421</v>
      </c>
      <c r="E88" s="18" t="s">
        <v>432</v>
      </c>
    </row>
    <row r="89" customFormat="false" ht="15" hidden="false" customHeight="false" outlineLevel="0" collapsed="false">
      <c r="A89" s="6" t="str">
        <f aca="false">"CL.PROJECT."&amp;$C$38&amp;".PAYABLE"</f>
        <v>CL.PROJECT.USD.PAYABLE</v>
      </c>
      <c r="B89" s="6" t="s">
        <v>420</v>
      </c>
      <c r="C89" s="25" t="n">
        <f aca="false">$C$69</f>
        <v>84481</v>
      </c>
      <c r="D89" s="18" t="s">
        <v>421</v>
      </c>
      <c r="E89" s="18" t="s">
        <v>433</v>
      </c>
    </row>
    <row r="90" customFormat="false" ht="15" hidden="false" customHeight="false" outlineLevel="0" collapsed="false">
      <c r="A90" s="6" t="str">
        <f aca="false">"CL."&amp;$C$39&amp;"."&amp;$C$38&amp;".INTRANSIT"</f>
        <v>CL.ALI.USD.INTRANSIT</v>
      </c>
      <c r="B90" s="6" t="s">
        <v>423</v>
      </c>
      <c r="C90" s="25" t="n">
        <f aca="false">$C$69</f>
        <v>84481</v>
      </c>
      <c r="D90" s="18" t="s">
        <v>421</v>
      </c>
      <c r="E90" s="18" t="s">
        <v>433</v>
      </c>
    </row>
    <row r="91" customFormat="false" ht="15" hidden="false" customHeight="false" outlineLevel="0" collapsed="false">
      <c r="A91" s="6" t="str">
        <f aca="false">"CO.NONE."&amp;$C$38&amp;".EARN_GROSS"</f>
        <v>CO.NONE.USD.EARN_GROSS</v>
      </c>
      <c r="B91" s="6" t="s">
        <v>420</v>
      </c>
      <c r="C91" s="25" t="n">
        <f aca="false">$C$73</f>
        <v>0</v>
      </c>
      <c r="D91" s="18" t="s">
        <v>434</v>
      </c>
      <c r="E91" s="18" t="s">
        <v>435</v>
      </c>
    </row>
    <row r="92" customFormat="false" ht="15" hidden="false" customHeight="false" outlineLevel="0" collapsed="false">
      <c r="A92" s="6" t="str">
        <f aca="false">"CO.INTRODUCER."&amp;$C$38&amp;".REFERRAL_PAYABLE"</f>
        <v>CO.INTRODUCER.USD.REFERRAL_PAYABLE</v>
      </c>
      <c r="B92" s="6" t="s">
        <v>423</v>
      </c>
      <c r="C92" s="25" t="n">
        <f aca="false">$C$73</f>
        <v>0</v>
      </c>
      <c r="D92" s="18" t="s">
        <v>434</v>
      </c>
      <c r="E92" s="18" t="s">
        <v>436</v>
      </c>
    </row>
    <row r="93" customFormat="false" ht="30" hidden="false" customHeight="true" outlineLevel="0" collapsed="false">
      <c r="A93" s="27" t="s">
        <v>437</v>
      </c>
      <c r="C93" s="28" t="n">
        <f aca="false">ROUND(SUMIF($B$82:$B$92,"Dr",$C$82:$C$92)-SUMIF($B$82:$B$92,"Cr",$C$82:$C$92),6)</f>
        <v>0</v>
      </c>
      <c r="E93" s="17" t="s">
        <v>438</v>
      </c>
    </row>
    <row r="95" customFormat="false" ht="15" hidden="false" customHeight="false" outlineLevel="0" collapsed="false">
      <c r="A95" s="15" t="s">
        <v>439</v>
      </c>
    </row>
    <row r="96" customFormat="false" ht="15" hidden="false" customHeight="false" outlineLevel="0" collapsed="false">
      <c r="A96" s="16" t="s">
        <v>440</v>
      </c>
      <c r="B96" s="16" t="s">
        <v>441</v>
      </c>
      <c r="C96" s="16" t="s">
        <v>442</v>
      </c>
      <c r="D96" s="16" t="s">
        <v>443</v>
      </c>
      <c r="E96" s="16" t="s">
        <v>444</v>
      </c>
    </row>
    <row r="97" customFormat="false" ht="30" hidden="false" customHeight="true" outlineLevel="0" collapsed="false">
      <c r="A97" s="3" t="s">
        <v>498</v>
      </c>
      <c r="B97" s="19" t="n">
        <v>84482</v>
      </c>
      <c r="C97" s="25" t="n">
        <f aca="false">$C$61</f>
        <v>84481.9512195122</v>
      </c>
      <c r="D97" s="28" t="n">
        <f aca="false">ROUND(C97-B97,2)</f>
        <v>-0.05</v>
      </c>
      <c r="E97" s="17" t="s">
        <v>499</v>
      </c>
    </row>
    <row r="99" customFormat="false" ht="15" hidden="false" customHeight="false" outlineLevel="0" collapsed="false">
      <c r="A99" s="15" t="s">
        <v>500</v>
      </c>
    </row>
    <row r="100" customFormat="false" ht="15" hidden="false" customHeight="false" outlineLevel="0" collapsed="false">
      <c r="A100" s="16" t="s">
        <v>501</v>
      </c>
      <c r="B100" s="16" t="s">
        <v>502</v>
      </c>
      <c r="C100" s="16"/>
      <c r="D100" s="16"/>
      <c r="E100" s="16" t="s">
        <v>503</v>
      </c>
    </row>
    <row r="101" customFormat="false" ht="15" hidden="false" customHeight="false" outlineLevel="0" collapsed="false">
      <c r="A101" s="19" t="n">
        <v>0</v>
      </c>
      <c r="B101" s="22" t="n">
        <v>0.025</v>
      </c>
      <c r="E101" s="18" t="s">
        <v>504</v>
      </c>
    </row>
    <row r="102" customFormat="false" ht="15" hidden="false" customHeight="false" outlineLevel="0" collapsed="false">
      <c r="A102" s="19" t="n">
        <v>500000</v>
      </c>
      <c r="B102" s="22" t="n">
        <v>0.0225</v>
      </c>
      <c r="E102" s="18" t="s">
        <v>505</v>
      </c>
    </row>
    <row r="103" customFormat="false" ht="23.85" hidden="false" customHeight="false" outlineLevel="0" collapsed="false">
      <c r="A103" s="3" t="s">
        <v>506</v>
      </c>
      <c r="B103" s="30"/>
      <c r="E103" s="17" t="s">
        <v>507</v>
      </c>
    </row>
    <row r="104" customFormat="false" ht="30" hidden="false" customHeight="true" outlineLevel="0" collapsed="false">
      <c r="A104" s="4" t="s">
        <v>508</v>
      </c>
      <c r="B104" s="31" t="n">
        <f aca="false">IF($B$103="",B101,INDEX(B101:B102,MATCH($B$103,A101:A102,1)))</f>
        <v>0.025</v>
      </c>
      <c r="E104" s="17" t="s">
        <v>509</v>
      </c>
    </row>
    <row r="106" customFormat="false" ht="15" hidden="false" customHeight="false" outlineLevel="0" collapsed="false">
      <c r="A106" s="15" t="s">
        <v>447</v>
      </c>
    </row>
    <row r="107" customFormat="false" ht="31.5" hidden="false" customHeight="true" outlineLevel="0" collapsed="false">
      <c r="A107" s="13" t="s">
        <v>448</v>
      </c>
      <c r="B107" s="29" t="s">
        <v>510</v>
      </c>
      <c r="C107" s="29"/>
      <c r="D107" s="29"/>
      <c r="E107" s="29"/>
    </row>
    <row r="108" customFormat="false" ht="31.5" hidden="false" customHeight="true" outlineLevel="0" collapsed="false">
      <c r="A108" s="13" t="s">
        <v>448</v>
      </c>
      <c r="B108" s="29" t="s">
        <v>511</v>
      </c>
      <c r="C108" s="29"/>
      <c r="D108" s="29"/>
      <c r="E108" s="29"/>
    </row>
    <row r="109" customFormat="false" ht="31.5" hidden="false" customHeight="true" outlineLevel="0" collapsed="false">
      <c r="A109" s="13" t="s">
        <v>448</v>
      </c>
      <c r="B109" s="29" t="s">
        <v>512</v>
      </c>
      <c r="C109" s="29"/>
      <c r="D109" s="29"/>
      <c r="E109" s="29"/>
    </row>
  </sheetData>
  <mergeCells count="3">
    <mergeCell ref="B107:E107"/>
    <mergeCell ref="B108:E108"/>
    <mergeCell ref="B109:E109"/>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1" style="0" width="34"/>
    <col collapsed="false" customWidth="true" hidden="false" outlineLevel="0" max="3" min="3" style="0" width="22"/>
    <col collapsed="false" customWidth="true" hidden="false" outlineLevel="0" max="4" min="4" style="0" width="18"/>
    <col collapsed="false" customWidth="true" hidden="false" outlineLevel="0" max="5" min="5" style="0" width="48"/>
  </cols>
  <sheetData>
    <row r="1" customFormat="false" ht="16.15" hidden="false" customHeight="false" outlineLevel="0" collapsed="false">
      <c r="A1" s="1" t="s">
        <v>513</v>
      </c>
    </row>
    <row r="2" customFormat="false" ht="15" hidden="false" customHeight="false" outlineLevel="0" collapsed="false">
      <c r="A2" s="12" t="s">
        <v>210</v>
      </c>
      <c r="B2" s="13" t="s">
        <v>514</v>
      </c>
    </row>
    <row r="3" customFormat="false" ht="30" hidden="false" customHeight="true" outlineLevel="0" collapsed="false">
      <c r="A3" s="12" t="s">
        <v>212</v>
      </c>
      <c r="B3" s="14" t="s">
        <v>515</v>
      </c>
    </row>
    <row r="5" customFormat="false" ht="15" hidden="false" customHeight="false" outlineLevel="0" collapsed="false">
      <c r="A5" s="15" t="s">
        <v>214</v>
      </c>
    </row>
    <row r="6" customFormat="false" ht="15" hidden="false" customHeight="false" outlineLevel="0" collapsed="false">
      <c r="A6" s="16" t="s">
        <v>215</v>
      </c>
      <c r="B6" s="16" t="s">
        <v>216</v>
      </c>
      <c r="C6" s="16" t="s">
        <v>217</v>
      </c>
      <c r="D6" s="16" t="s">
        <v>218</v>
      </c>
      <c r="E6" s="16" t="s">
        <v>219</v>
      </c>
    </row>
    <row r="7" customFormat="false" ht="30" hidden="false" customHeight="true" outlineLevel="0" collapsed="false">
      <c r="A7" s="3" t="s">
        <v>220</v>
      </c>
      <c r="B7" s="3" t="s">
        <v>221</v>
      </c>
      <c r="C7" s="9" t="s">
        <v>516</v>
      </c>
      <c r="D7" s="3" t="s">
        <v>222</v>
      </c>
      <c r="E7" s="17" t="s">
        <v>223</v>
      </c>
    </row>
    <row r="8" customFormat="false" ht="30" hidden="false" customHeight="true" outlineLevel="0" collapsed="false">
      <c r="A8" s="3" t="s">
        <v>224</v>
      </c>
      <c r="B8" s="3" t="s">
        <v>225</v>
      </c>
      <c r="C8" s="10"/>
      <c r="D8" s="3" t="s">
        <v>226</v>
      </c>
      <c r="E8" s="17" t="s">
        <v>227</v>
      </c>
    </row>
    <row r="9" customFormat="false" ht="30" hidden="false" customHeight="true" outlineLevel="0" collapsed="false">
      <c r="A9" s="3" t="s">
        <v>228</v>
      </c>
      <c r="B9" s="3" t="s">
        <v>229</v>
      </c>
      <c r="C9" s="10"/>
      <c r="D9" s="3" t="s">
        <v>226</v>
      </c>
      <c r="E9" s="17" t="s">
        <v>230</v>
      </c>
    </row>
    <row r="10" customFormat="false" ht="30" hidden="false" customHeight="true" outlineLevel="0" collapsed="false">
      <c r="A10" s="3" t="s">
        <v>231</v>
      </c>
      <c r="B10" s="3" t="s">
        <v>232</v>
      </c>
      <c r="C10" s="10"/>
      <c r="D10" s="3" t="s">
        <v>226</v>
      </c>
      <c r="E10" s="17" t="s">
        <v>233</v>
      </c>
    </row>
    <row r="11" customFormat="false" ht="15.75" hidden="false" customHeight="true" outlineLevel="0" collapsed="false">
      <c r="A11" s="3" t="s">
        <v>234</v>
      </c>
      <c r="B11" s="3" t="s">
        <v>235</v>
      </c>
      <c r="C11" s="9" t="s">
        <v>236</v>
      </c>
      <c r="D11" s="3" t="s">
        <v>222</v>
      </c>
      <c r="E11" s="17" t="s">
        <v>237</v>
      </c>
    </row>
    <row r="12" customFormat="false" ht="30" hidden="false" customHeight="true" outlineLevel="0" collapsed="false">
      <c r="A12" s="3" t="s">
        <v>238</v>
      </c>
      <c r="B12" s="3" t="s">
        <v>239</v>
      </c>
      <c r="C12" s="9" t="s">
        <v>517</v>
      </c>
      <c r="D12" s="3" t="s">
        <v>222</v>
      </c>
      <c r="E12" s="17" t="s">
        <v>241</v>
      </c>
    </row>
    <row r="13" customFormat="false" ht="15.75" hidden="false" customHeight="true" outlineLevel="0" collapsed="false">
      <c r="A13" s="3" t="s">
        <v>242</v>
      </c>
      <c r="B13" s="3" t="s">
        <v>243</v>
      </c>
      <c r="C13" s="9" t="s">
        <v>91</v>
      </c>
      <c r="D13" s="3" t="s">
        <v>222</v>
      </c>
      <c r="E13" s="17"/>
    </row>
    <row r="14" customFormat="false" ht="30" hidden="false" customHeight="true" outlineLevel="0" collapsed="false">
      <c r="A14" s="3" t="s">
        <v>244</v>
      </c>
      <c r="B14" s="3" t="s">
        <v>245</v>
      </c>
      <c r="C14" s="9" t="s">
        <v>84</v>
      </c>
      <c r="D14" s="3" t="s">
        <v>222</v>
      </c>
      <c r="E14" s="17" t="s">
        <v>246</v>
      </c>
    </row>
    <row r="15" customFormat="false" ht="15.75" hidden="false" customHeight="true" outlineLevel="0" collapsed="false">
      <c r="A15" s="3" t="s">
        <v>247</v>
      </c>
      <c r="B15" s="3" t="s">
        <v>248</v>
      </c>
      <c r="C15" s="9" t="s">
        <v>85</v>
      </c>
      <c r="D15" s="3" t="s">
        <v>222</v>
      </c>
      <c r="E15" s="17" t="s">
        <v>249</v>
      </c>
    </row>
    <row r="16" customFormat="false" ht="30" hidden="false" customHeight="true" outlineLevel="0" collapsed="false">
      <c r="A16" s="3" t="s">
        <v>250</v>
      </c>
      <c r="B16" s="3" t="s">
        <v>251</v>
      </c>
      <c r="C16" s="9" t="s">
        <v>252</v>
      </c>
      <c r="D16" s="3" t="s">
        <v>222</v>
      </c>
      <c r="E16" s="17" t="s">
        <v>253</v>
      </c>
    </row>
    <row r="17" customFormat="false" ht="30" hidden="false" customHeight="true" outlineLevel="0" collapsed="false">
      <c r="A17" s="3" t="s">
        <v>254</v>
      </c>
      <c r="B17" s="3" t="s">
        <v>255</v>
      </c>
      <c r="C17" s="9" t="s">
        <v>256</v>
      </c>
      <c r="D17" s="3" t="s">
        <v>222</v>
      </c>
      <c r="E17" s="17" t="s">
        <v>257</v>
      </c>
    </row>
    <row r="18" customFormat="false" ht="15.75" hidden="false" customHeight="true" outlineLevel="0" collapsed="false">
      <c r="A18" s="3" t="s">
        <v>258</v>
      </c>
      <c r="B18" s="3" t="s">
        <v>259</v>
      </c>
      <c r="C18" s="9" t="s">
        <v>86</v>
      </c>
      <c r="D18" s="3" t="s">
        <v>222</v>
      </c>
      <c r="E18" s="17" t="s">
        <v>260</v>
      </c>
    </row>
    <row r="19" customFormat="false" ht="15.75" hidden="false" customHeight="true" outlineLevel="0" collapsed="false">
      <c r="A19" s="3" t="s">
        <v>261</v>
      </c>
      <c r="B19" s="3" t="s">
        <v>262</v>
      </c>
      <c r="C19" s="11" t="n">
        <v>0.04</v>
      </c>
      <c r="D19" s="3" t="s">
        <v>222</v>
      </c>
      <c r="E19" s="17" t="s">
        <v>263</v>
      </c>
    </row>
    <row r="20" customFormat="false" ht="15.75" hidden="false" customHeight="true" outlineLevel="0" collapsed="false">
      <c r="A20" s="3" t="s">
        <v>264</v>
      </c>
      <c r="B20" s="3" t="s">
        <v>265</v>
      </c>
      <c r="C20" s="11" t="n">
        <v>0.04</v>
      </c>
      <c r="D20" s="3" t="s">
        <v>222</v>
      </c>
      <c r="E20" s="17"/>
    </row>
    <row r="21" customFormat="false" ht="30" hidden="false" customHeight="true" outlineLevel="0" collapsed="false">
      <c r="A21" s="3" t="s">
        <v>266</v>
      </c>
      <c r="B21" s="3" t="s">
        <v>267</v>
      </c>
      <c r="C21" s="11" t="n">
        <v>0</v>
      </c>
      <c r="D21" s="3" t="s">
        <v>222</v>
      </c>
      <c r="E21" s="17" t="s">
        <v>268</v>
      </c>
    </row>
    <row r="22" customFormat="false" ht="15.75" hidden="false" customHeight="true" outlineLevel="0" collapsed="false">
      <c r="A22" s="3" t="s">
        <v>269</v>
      </c>
      <c r="B22" s="3" t="s">
        <v>270</v>
      </c>
      <c r="C22" s="10"/>
      <c r="D22" s="3" t="s">
        <v>226</v>
      </c>
      <c r="E22" s="17" t="s">
        <v>271</v>
      </c>
    </row>
    <row r="23" customFormat="false" ht="15.75" hidden="false" customHeight="true" outlineLevel="0" collapsed="false">
      <c r="A23" s="3" t="s">
        <v>272</v>
      </c>
      <c r="B23" s="3" t="s">
        <v>273</v>
      </c>
      <c r="C23" s="10"/>
      <c r="D23" s="3" t="s">
        <v>226</v>
      </c>
      <c r="E23" s="17" t="s">
        <v>271</v>
      </c>
    </row>
    <row r="24" customFormat="false" ht="15.75" hidden="false" customHeight="true" outlineLevel="0" collapsed="false">
      <c r="A24" s="3" t="s">
        <v>274</v>
      </c>
      <c r="B24" s="3" t="s">
        <v>275</v>
      </c>
      <c r="C24" s="10"/>
      <c r="D24" s="3" t="s">
        <v>226</v>
      </c>
      <c r="E24" s="17" t="s">
        <v>276</v>
      </c>
    </row>
    <row r="25" customFormat="false" ht="30" hidden="false" customHeight="true" outlineLevel="0" collapsed="false">
      <c r="A25" s="3" t="s">
        <v>277</v>
      </c>
      <c r="B25" s="3" t="s">
        <v>278</v>
      </c>
      <c r="C25" s="10"/>
      <c r="D25" s="3" t="s">
        <v>279</v>
      </c>
      <c r="E25" s="17" t="s">
        <v>280</v>
      </c>
    </row>
    <row r="26" customFormat="false" ht="15.75" hidden="false" customHeight="true" outlineLevel="0" collapsed="false">
      <c r="A26" s="3" t="s">
        <v>281</v>
      </c>
      <c r="B26" s="3" t="s">
        <v>282</v>
      </c>
      <c r="C26" s="9" t="s">
        <v>518</v>
      </c>
      <c r="D26" s="3" t="s">
        <v>80</v>
      </c>
      <c r="E26" s="17" t="s">
        <v>284</v>
      </c>
    </row>
    <row r="27" customFormat="false" ht="15.75" hidden="false" customHeight="true" outlineLevel="0" collapsed="false">
      <c r="A27" s="3" t="s">
        <v>285</v>
      </c>
      <c r="B27" s="3" t="s">
        <v>286</v>
      </c>
      <c r="C27" s="10"/>
      <c r="D27" s="3" t="s">
        <v>279</v>
      </c>
      <c r="E27" s="17" t="s">
        <v>288</v>
      </c>
    </row>
    <row r="28" customFormat="false" ht="15.75" hidden="false" customHeight="true" outlineLevel="0" collapsed="false">
      <c r="A28" s="3" t="s">
        <v>289</v>
      </c>
      <c r="B28" s="3" t="s">
        <v>290</v>
      </c>
      <c r="C28" s="9" t="s">
        <v>519</v>
      </c>
      <c r="D28" s="3" t="s">
        <v>222</v>
      </c>
      <c r="E28" s="17" t="s">
        <v>291</v>
      </c>
    </row>
    <row r="29" customFormat="false" ht="30" hidden="false" customHeight="true" outlineLevel="0" collapsed="false">
      <c r="A29" s="3" t="s">
        <v>292</v>
      </c>
      <c r="B29" s="3" t="s">
        <v>293</v>
      </c>
      <c r="C29" s="9" t="s">
        <v>294</v>
      </c>
      <c r="D29" s="3" t="s">
        <v>222</v>
      </c>
      <c r="E29" s="17" t="s">
        <v>295</v>
      </c>
    </row>
    <row r="30" customFormat="false" ht="15.75" hidden="false" customHeight="true" outlineLevel="0" collapsed="false">
      <c r="A30" s="3" t="s">
        <v>296</v>
      </c>
      <c r="B30" s="3" t="s">
        <v>297</v>
      </c>
      <c r="C30" s="10"/>
      <c r="D30" s="3" t="s">
        <v>226</v>
      </c>
      <c r="E30" s="17"/>
    </row>
    <row r="31" customFormat="false" ht="15.75" hidden="false" customHeight="true" outlineLevel="0" collapsed="false">
      <c r="A31" s="3" t="s">
        <v>298</v>
      </c>
      <c r="B31" s="3" t="s">
        <v>299</v>
      </c>
      <c r="C31" s="10"/>
      <c r="D31" s="3" t="s">
        <v>226</v>
      </c>
      <c r="E31" s="17" t="s">
        <v>300</v>
      </c>
    </row>
    <row r="32" customFormat="false" ht="30" hidden="false" customHeight="true" outlineLevel="0" collapsed="false">
      <c r="A32" s="3" t="s">
        <v>301</v>
      </c>
      <c r="B32" s="3" t="s">
        <v>302</v>
      </c>
      <c r="C32" s="10"/>
      <c r="D32" s="3" t="s">
        <v>226</v>
      </c>
      <c r="E32" s="17" t="s">
        <v>303</v>
      </c>
    </row>
    <row r="34" customFormat="false" ht="15" hidden="false" customHeight="false" outlineLevel="0" collapsed="false">
      <c r="A34" s="15" t="s">
        <v>304</v>
      </c>
    </row>
    <row r="35" customFormat="false" ht="15" hidden="false" customHeight="false" outlineLevel="0" collapsed="false">
      <c r="A35" s="16" t="s">
        <v>305</v>
      </c>
      <c r="B35" s="16" t="s">
        <v>306</v>
      </c>
      <c r="C35" s="16" t="s">
        <v>217</v>
      </c>
      <c r="D35" s="16" t="s">
        <v>307</v>
      </c>
      <c r="E35" s="16" t="s">
        <v>308</v>
      </c>
    </row>
    <row r="36" customFormat="false" ht="15" hidden="false" customHeight="false" outlineLevel="0" collapsed="false">
      <c r="A36" s="3" t="s">
        <v>309</v>
      </c>
      <c r="B36" s="18" t="s">
        <v>310</v>
      </c>
      <c r="C36" s="19" t="n">
        <v>50000</v>
      </c>
      <c r="D36" s="18" t="s">
        <v>311</v>
      </c>
      <c r="E36" s="17" t="s">
        <v>312</v>
      </c>
    </row>
    <row r="37" customFormat="false" ht="15" hidden="false" customHeight="false" outlineLevel="0" collapsed="false">
      <c r="A37" s="3" t="s">
        <v>313</v>
      </c>
      <c r="B37" s="18" t="s">
        <v>314</v>
      </c>
      <c r="C37" s="7" t="s">
        <v>315</v>
      </c>
      <c r="D37" s="18" t="s">
        <v>316</v>
      </c>
      <c r="E37" s="17"/>
    </row>
    <row r="38" customFormat="false" ht="15" hidden="false" customHeight="false" outlineLevel="0" collapsed="false">
      <c r="A38" s="3" t="s">
        <v>317</v>
      </c>
      <c r="B38" s="18" t="s">
        <v>318</v>
      </c>
      <c r="C38" s="7" t="s">
        <v>319</v>
      </c>
      <c r="D38" s="18" t="s">
        <v>316</v>
      </c>
      <c r="E38" s="17"/>
    </row>
    <row r="39" customFormat="false" ht="15" hidden="false" customHeight="false" outlineLevel="0" collapsed="false">
      <c r="A39" s="3" t="s">
        <v>320</v>
      </c>
      <c r="B39" s="18" t="s">
        <v>321</v>
      </c>
      <c r="C39" s="7" t="s">
        <v>520</v>
      </c>
      <c r="D39" s="18" t="s">
        <v>316</v>
      </c>
      <c r="E39" s="17" t="s">
        <v>323</v>
      </c>
    </row>
    <row r="40" customFormat="false" ht="15" hidden="false" customHeight="false" outlineLevel="0" collapsed="false">
      <c r="A40" s="3" t="s">
        <v>324</v>
      </c>
      <c r="B40" s="18" t="s">
        <v>325</v>
      </c>
      <c r="C40" s="20" t="n">
        <v>0.8650036</v>
      </c>
      <c r="D40" s="18" t="s">
        <v>326</v>
      </c>
      <c r="E40" s="17" t="s">
        <v>327</v>
      </c>
    </row>
    <row r="41" customFormat="false" ht="22.35" hidden="false" customHeight="false" outlineLevel="0" collapsed="false">
      <c r="A41" s="3" t="s">
        <v>328</v>
      </c>
      <c r="B41" s="18" t="s">
        <v>329</v>
      </c>
      <c r="C41" s="21"/>
      <c r="D41" s="18" t="s">
        <v>326</v>
      </c>
      <c r="E41" s="17" t="s">
        <v>330</v>
      </c>
    </row>
    <row r="42" customFormat="false" ht="22.35" hidden="false" customHeight="false" outlineLevel="0" collapsed="false">
      <c r="A42" s="3" t="s">
        <v>331</v>
      </c>
      <c r="B42" s="18" t="s">
        <v>332</v>
      </c>
      <c r="C42" s="22" t="n">
        <v>0.008</v>
      </c>
      <c r="D42" s="18" t="s">
        <v>333</v>
      </c>
      <c r="E42" s="17" t="s">
        <v>334</v>
      </c>
    </row>
    <row r="43" customFormat="false" ht="15" hidden="false" customHeight="false" outlineLevel="0" collapsed="false">
      <c r="A43" s="3" t="s">
        <v>335</v>
      </c>
      <c r="B43" s="18" t="s">
        <v>336</v>
      </c>
      <c r="C43" s="22" t="n">
        <v>0.04</v>
      </c>
      <c r="D43" s="18" t="s">
        <v>333</v>
      </c>
      <c r="E43" s="17" t="s">
        <v>262</v>
      </c>
    </row>
    <row r="44" customFormat="false" ht="15" hidden="false" customHeight="false" outlineLevel="0" collapsed="false">
      <c r="A44" s="3" t="s">
        <v>337</v>
      </c>
      <c r="B44" s="18" t="s">
        <v>338</v>
      </c>
      <c r="C44" s="22" t="n">
        <v>0.04</v>
      </c>
      <c r="D44" s="18" t="s">
        <v>333</v>
      </c>
      <c r="E44" s="17" t="s">
        <v>265</v>
      </c>
    </row>
    <row r="45" customFormat="false" ht="15" hidden="false" customHeight="false" outlineLevel="0" collapsed="false">
      <c r="A45" s="3" t="s">
        <v>339</v>
      </c>
      <c r="B45" s="18" t="s">
        <v>340</v>
      </c>
      <c r="C45" s="22" t="n">
        <v>0</v>
      </c>
      <c r="D45" s="18" t="s">
        <v>333</v>
      </c>
      <c r="E45" s="17" t="s">
        <v>267</v>
      </c>
    </row>
    <row r="46" customFormat="false" ht="15" hidden="false" customHeight="false" outlineLevel="0" collapsed="false">
      <c r="A46" s="3" t="s">
        <v>254</v>
      </c>
      <c r="B46" s="18" t="s">
        <v>341</v>
      </c>
      <c r="C46" s="7" t="s">
        <v>256</v>
      </c>
      <c r="D46" s="18" t="s">
        <v>316</v>
      </c>
      <c r="E46" s="17" t="s">
        <v>342</v>
      </c>
    </row>
    <row r="47" customFormat="false" ht="15" hidden="false" customHeight="false" outlineLevel="0" collapsed="false">
      <c r="A47" s="3" t="s">
        <v>244</v>
      </c>
      <c r="B47" s="18" t="s">
        <v>343</v>
      </c>
      <c r="C47" s="7" t="s">
        <v>84</v>
      </c>
      <c r="D47" s="18" t="s">
        <v>316</v>
      </c>
      <c r="E47" s="17" t="s">
        <v>344</v>
      </c>
    </row>
    <row r="48" customFormat="false" ht="15" hidden="false" customHeight="false" outlineLevel="0" collapsed="false">
      <c r="A48" s="3" t="s">
        <v>250</v>
      </c>
      <c r="B48" s="18" t="s">
        <v>345</v>
      </c>
      <c r="C48" s="7" t="s">
        <v>252</v>
      </c>
      <c r="D48" s="18" t="s">
        <v>316</v>
      </c>
      <c r="E48" s="17" t="s">
        <v>346</v>
      </c>
    </row>
    <row r="49" customFormat="false" ht="15" hidden="false" customHeight="false" outlineLevel="0" collapsed="false">
      <c r="A49" s="3" t="s">
        <v>347</v>
      </c>
      <c r="B49" s="18" t="s">
        <v>348</v>
      </c>
      <c r="C49" s="7" t="s">
        <v>349</v>
      </c>
      <c r="D49" s="18" t="s">
        <v>316</v>
      </c>
      <c r="E49" s="17" t="s">
        <v>350</v>
      </c>
    </row>
    <row r="50" customFormat="false" ht="15" hidden="false" customHeight="false" outlineLevel="0" collapsed="false">
      <c r="A50" s="3" t="s">
        <v>351</v>
      </c>
      <c r="B50" s="18" t="s">
        <v>352</v>
      </c>
      <c r="C50" s="19" t="n">
        <v>1</v>
      </c>
      <c r="D50" s="18" t="s">
        <v>311</v>
      </c>
      <c r="E50" s="17" t="s">
        <v>353</v>
      </c>
    </row>
    <row r="51" customFormat="false" ht="15" hidden="false" customHeight="false" outlineLevel="0" collapsed="false">
      <c r="A51" s="3" t="s">
        <v>354</v>
      </c>
      <c r="B51" s="18" t="s">
        <v>355</v>
      </c>
      <c r="C51" s="22" t="n">
        <v>0.005</v>
      </c>
      <c r="D51" s="18" t="s">
        <v>333</v>
      </c>
      <c r="E51" s="17" t="s">
        <v>275</v>
      </c>
    </row>
    <row r="52" customFormat="false" ht="15" hidden="false" customHeight="false" outlineLevel="0" collapsed="false">
      <c r="A52" s="3" t="s">
        <v>356</v>
      </c>
      <c r="B52" s="18" t="s">
        <v>357</v>
      </c>
      <c r="C52" s="23"/>
      <c r="D52" s="18" t="s">
        <v>333</v>
      </c>
      <c r="E52" s="17" t="s">
        <v>358</v>
      </c>
    </row>
    <row r="53" customFormat="false" ht="15" hidden="false" customHeight="false" outlineLevel="0" collapsed="false">
      <c r="A53" s="3" t="s">
        <v>281</v>
      </c>
      <c r="B53" s="18" t="s">
        <v>359</v>
      </c>
      <c r="C53" s="7" t="s">
        <v>458</v>
      </c>
      <c r="D53" s="18" t="s">
        <v>316</v>
      </c>
      <c r="E53" s="17" t="s">
        <v>361</v>
      </c>
    </row>
    <row r="54" customFormat="false" ht="15" hidden="false" customHeight="false" outlineLevel="0" collapsed="false">
      <c r="A54" s="3" t="s">
        <v>285</v>
      </c>
      <c r="B54" s="18" t="s">
        <v>360</v>
      </c>
      <c r="C54" s="22" t="n">
        <v>0</v>
      </c>
      <c r="D54" s="18" t="s">
        <v>333</v>
      </c>
      <c r="E54" s="17" t="s">
        <v>362</v>
      </c>
    </row>
    <row r="55" customFormat="false" ht="15" hidden="false" customHeight="false" outlineLevel="0" collapsed="false">
      <c r="A55" s="3" t="s">
        <v>363</v>
      </c>
      <c r="B55" s="18" t="s">
        <v>364</v>
      </c>
      <c r="C55" s="22" t="n">
        <v>0.015</v>
      </c>
      <c r="D55" s="18" t="s">
        <v>333</v>
      </c>
      <c r="E55" s="17" t="s">
        <v>365</v>
      </c>
    </row>
    <row r="57" customFormat="false" ht="15" hidden="false" customHeight="false" outlineLevel="0" collapsed="false">
      <c r="A57" s="15" t="s">
        <v>366</v>
      </c>
    </row>
    <row r="58" customFormat="false" ht="15" hidden="false" customHeight="false" outlineLevel="0" collapsed="false">
      <c r="A58" s="16" t="s">
        <v>367</v>
      </c>
      <c r="B58" s="16" t="s">
        <v>368</v>
      </c>
      <c r="C58" s="16" t="s">
        <v>217</v>
      </c>
      <c r="D58" s="16"/>
      <c r="E58" s="16" t="s">
        <v>369</v>
      </c>
    </row>
    <row r="59" customFormat="false" ht="22.35" hidden="false" customHeight="false" outlineLevel="0" collapsed="false">
      <c r="A59" s="3" t="s">
        <v>370</v>
      </c>
      <c r="B59" s="17" t="s">
        <v>371</v>
      </c>
      <c r="C59" s="24" t="n">
        <f aca="false">IF($C$46="market",$C$40,$C$41)</f>
        <v>0.8650036</v>
      </c>
      <c r="E59" s="17" t="s">
        <v>372</v>
      </c>
    </row>
    <row r="60" customFormat="false" ht="32.8" hidden="false" customHeight="false" outlineLevel="0" collapsed="false">
      <c r="A60" s="3" t="s">
        <v>373</v>
      </c>
      <c r="B60" s="17" t="s">
        <v>374</v>
      </c>
      <c r="C60" s="24" t="n">
        <f aca="false">IF($C$48="in_per_out",$C$59/(1+$C$44),$C$59*(1-$C$44))</f>
        <v>0.830403456</v>
      </c>
      <c r="E60" s="17" t="s">
        <v>375</v>
      </c>
    </row>
    <row r="61" customFormat="false" ht="23.85" hidden="false" customHeight="false" outlineLevel="0" collapsed="false">
      <c r="A61" s="3" t="s">
        <v>376</v>
      </c>
      <c r="B61" s="17" t="s">
        <v>377</v>
      </c>
      <c r="C61" s="25" t="n">
        <f aca="false">$C$36*$C$60</f>
        <v>41520.1728</v>
      </c>
      <c r="E61" s="17" t="s">
        <v>378</v>
      </c>
    </row>
    <row r="62" customFormat="false" ht="15" hidden="false" customHeight="false" outlineLevel="0" collapsed="false">
      <c r="A62" s="3" t="s">
        <v>379</v>
      </c>
      <c r="B62" s="17" t="s">
        <v>380</v>
      </c>
      <c r="C62" s="25" t="n">
        <f aca="false">$C$61*$C$45</f>
        <v>0</v>
      </c>
      <c r="E62" s="17" t="s">
        <v>378</v>
      </c>
    </row>
    <row r="63" customFormat="false" ht="15" hidden="false" customHeight="false" outlineLevel="0" collapsed="false">
      <c r="A63" s="3" t="s">
        <v>381</v>
      </c>
      <c r="B63" s="17" t="s">
        <v>382</v>
      </c>
      <c r="C63" s="25" t="n">
        <f aca="false">$C$61-$C$62</f>
        <v>41520.1728</v>
      </c>
      <c r="E63" s="17" t="s">
        <v>383</v>
      </c>
    </row>
    <row r="64" customFormat="false" ht="32.8" hidden="false" customHeight="false" outlineLevel="0" collapsed="false">
      <c r="A64" s="3" t="s">
        <v>384</v>
      </c>
      <c r="B64" s="17" t="s">
        <v>385</v>
      </c>
      <c r="C64" s="25" t="n">
        <f aca="false">IF($C$47="own_desk",$C$36*$C$40,IF($C$47="market_plus_pct",$C$36*$C$40*(1-$C$42),$C$36*$C$41))</f>
        <v>42904.17856</v>
      </c>
      <c r="E64" s="17" t="s">
        <v>386</v>
      </c>
    </row>
    <row r="65" customFormat="false" ht="22.35" hidden="false" customHeight="false" outlineLevel="0" collapsed="false">
      <c r="A65" s="3" t="s">
        <v>387</v>
      </c>
      <c r="B65" s="17" t="s">
        <v>388</v>
      </c>
      <c r="C65" s="25" t="n">
        <f aca="false">$C$36*$C$40-$C$64</f>
        <v>346.00144</v>
      </c>
      <c r="E65" s="17" t="s">
        <v>383</v>
      </c>
    </row>
    <row r="66" customFormat="false" ht="15" hidden="false" customHeight="false" outlineLevel="0" collapsed="false">
      <c r="A66" s="3" t="s">
        <v>389</v>
      </c>
      <c r="B66" s="17" t="s">
        <v>390</v>
      </c>
      <c r="C66" s="25" t="n">
        <f aca="false">$C$64-$C$63</f>
        <v>1384.00576</v>
      </c>
      <c r="E66" s="17" t="s">
        <v>391</v>
      </c>
    </row>
    <row r="67" customFormat="false" ht="15" hidden="false" customHeight="false" outlineLevel="0" collapsed="false">
      <c r="A67" s="3" t="s">
        <v>392</v>
      </c>
      <c r="B67" s="17" t="s">
        <v>393</v>
      </c>
      <c r="C67" s="26" t="n">
        <f aca="false">IF($C$36*$C$40=0,0,$C$66/($C$36*$C$40))</f>
        <v>0.032</v>
      </c>
      <c r="E67" s="17" t="s">
        <v>383</v>
      </c>
    </row>
    <row r="68" customFormat="false" ht="22.35" hidden="false" customHeight="false" outlineLevel="0" collapsed="false">
      <c r="A68" s="3" t="s">
        <v>394</v>
      </c>
      <c r="B68" s="17" t="s">
        <v>395</v>
      </c>
      <c r="C68" s="6" t="str">
        <f aca="false">IF($C$67&lt;$C$51,"YES — Finance approval","no")</f>
        <v>no</v>
      </c>
      <c r="E68" s="17" t="s">
        <v>396</v>
      </c>
    </row>
    <row r="69" customFormat="false" ht="22.35" hidden="false" customHeight="false" outlineLevel="0" collapsed="false">
      <c r="A69" s="3" t="s">
        <v>397</v>
      </c>
      <c r="B69" s="17" t="s">
        <v>398</v>
      </c>
      <c r="C69" s="25" t="n">
        <f aca="false">IF($C$49="round_up_unit",CEILING($C$63,$C$50),IF($C$49="nearest_unit",MROUND($C$63,$C$50),IF($C$49="nearest_n",MROUND($C$63,$C$50),FLOOR($C$63,$C$50))))</f>
        <v>41520</v>
      </c>
      <c r="E69" s="17" t="s">
        <v>399</v>
      </c>
    </row>
    <row r="70" customFormat="false" ht="23.85" hidden="false" customHeight="false" outlineLevel="0" collapsed="false">
      <c r="A70" s="3" t="s">
        <v>400</v>
      </c>
      <c r="B70" s="17" t="s">
        <v>401</v>
      </c>
      <c r="C70" s="25" t="n">
        <f aca="false">$C$63-$C$69</f>
        <v>0.172800000000279</v>
      </c>
      <c r="E70" s="17" t="s">
        <v>402</v>
      </c>
    </row>
    <row r="71" customFormat="false" ht="22.35" hidden="false" customHeight="false" outlineLevel="0" collapsed="false">
      <c r="A71" s="3" t="s">
        <v>403</v>
      </c>
      <c r="B71" s="17" t="s">
        <v>404</v>
      </c>
      <c r="C71" s="24" t="n">
        <f aca="false">IF($C$52="",$C$59,$C$60/(1-$C$52))</f>
        <v>0.8650036</v>
      </c>
      <c r="E71" s="17" t="s">
        <v>358</v>
      </c>
    </row>
    <row r="72" customFormat="false" ht="15" hidden="false" customHeight="false" outlineLevel="0" collapsed="false">
      <c r="A72" s="3" t="s">
        <v>405</v>
      </c>
      <c r="B72" s="17" t="s">
        <v>406</v>
      </c>
      <c r="C72" s="25" t="n">
        <f aca="false">IF($C$53="rebate",$C$65*$C$54,0)</f>
        <v>0</v>
      </c>
      <c r="E72" s="17" t="s">
        <v>407</v>
      </c>
    </row>
    <row r="73" customFormat="false" ht="15" hidden="false" customHeight="false" outlineLevel="0" collapsed="false">
      <c r="A73" s="3" t="s">
        <v>408</v>
      </c>
      <c r="B73" s="17" t="s">
        <v>409</v>
      </c>
      <c r="C73" s="25" t="n">
        <f aca="false">$C$36*$C$40*$C$55</f>
        <v>648.7527</v>
      </c>
      <c r="E73" s="17" t="s">
        <v>410</v>
      </c>
    </row>
    <row r="74" customFormat="false" ht="23.85" hidden="false" customHeight="false" outlineLevel="0" collapsed="false">
      <c r="A74" s="3" t="s">
        <v>411</v>
      </c>
      <c r="B74" s="17" t="s">
        <v>412</v>
      </c>
      <c r="C74" s="25" t="n">
        <f aca="false">ROUND($C$63+$C$65+$C$66-$C$36*$C$40,6)</f>
        <v>0</v>
      </c>
      <c r="E74" s="17" t="s">
        <v>413</v>
      </c>
    </row>
    <row r="76" customFormat="false" ht="15" hidden="false" customHeight="false" outlineLevel="0" collapsed="false">
      <c r="A76" s="15" t="s">
        <v>414</v>
      </c>
    </row>
    <row r="77" customFormat="false" ht="15" hidden="false" customHeight="false" outlineLevel="0" collapsed="false">
      <c r="A77" s="16" t="s">
        <v>415</v>
      </c>
      <c r="B77" s="16" t="s">
        <v>416</v>
      </c>
      <c r="C77" s="16" t="s">
        <v>417</v>
      </c>
      <c r="D77" s="16" t="s">
        <v>418</v>
      </c>
      <c r="E77" s="16" t="s">
        <v>419</v>
      </c>
    </row>
    <row r="78" customFormat="false" ht="15" hidden="false" customHeight="false" outlineLevel="0" collapsed="false">
      <c r="A78" s="6" t="str">
        <f aca="false">"CL."&amp;$C$39&amp;"."&amp;$C$37&amp;".COLLECTED"</f>
        <v>CL.AQUANOW.USDT.COLLECTED</v>
      </c>
      <c r="B78" s="6" t="s">
        <v>420</v>
      </c>
      <c r="C78" s="25" t="n">
        <f aca="false">$C$36</f>
        <v>50000</v>
      </c>
      <c r="D78" s="18" t="s">
        <v>421</v>
      </c>
      <c r="E78" s="18" t="s">
        <v>422</v>
      </c>
    </row>
    <row r="79" customFormat="false" ht="15" hidden="false" customHeight="false" outlineLevel="0" collapsed="false">
      <c r="A79" s="6" t="str">
        <f aca="false">"CL.PROJECT."&amp;$C$37&amp;".PAYABLE"</f>
        <v>CL.PROJECT.USDT.PAYABLE</v>
      </c>
      <c r="B79" s="6" t="s">
        <v>423</v>
      </c>
      <c r="C79" s="25" t="n">
        <f aca="false">$C$36</f>
        <v>50000</v>
      </c>
      <c r="D79" s="18" t="s">
        <v>421</v>
      </c>
      <c r="E79" s="18" t="s">
        <v>422</v>
      </c>
    </row>
    <row r="80" customFormat="false" ht="15" hidden="false" customHeight="false" outlineLevel="0" collapsed="false">
      <c r="A80" s="6" t="str">
        <f aca="false">"CL.PROJECT."&amp;$C$37&amp;".PAYABLE"</f>
        <v>CL.PROJECT.USDT.PAYABLE</v>
      </c>
      <c r="B80" s="6" t="s">
        <v>420</v>
      </c>
      <c r="C80" s="25" t="n">
        <f aca="false">$C$36</f>
        <v>50000</v>
      </c>
      <c r="D80" s="18" t="s">
        <v>421</v>
      </c>
      <c r="E80" s="18" t="s">
        <v>424</v>
      </c>
    </row>
    <row r="81" customFormat="false" ht="15" hidden="false" customHeight="false" outlineLevel="0" collapsed="false">
      <c r="A81" s="6" t="str">
        <f aca="false">"CL."&amp;$C$39&amp;"."&amp;$C$37&amp;".COLLECTED"</f>
        <v>CL.AQUANOW.USDT.COLLECTED</v>
      </c>
      <c r="B81" s="6" t="s">
        <v>423</v>
      </c>
      <c r="C81" s="25" t="n">
        <f aca="false">$C$36</f>
        <v>50000</v>
      </c>
      <c r="D81" s="18" t="s">
        <v>421</v>
      </c>
      <c r="E81" s="18" t="s">
        <v>424</v>
      </c>
    </row>
    <row r="82" customFormat="false" ht="15" hidden="false" customHeight="false" outlineLevel="0" collapsed="false">
      <c r="A82" s="6" t="str">
        <f aca="false">"CL."&amp;$C$39&amp;"."&amp;$C$38&amp;".DUE"</f>
        <v>CL.AQUANOW.EUR.DUE</v>
      </c>
      <c r="B82" s="6" t="s">
        <v>420</v>
      </c>
      <c r="C82" s="25" t="n">
        <f aca="false">$C$63</f>
        <v>41520.1728</v>
      </c>
      <c r="D82" s="18" t="s">
        <v>425</v>
      </c>
      <c r="E82" s="18" t="s">
        <v>426</v>
      </c>
    </row>
    <row r="83" customFormat="false" ht="15" hidden="false" customHeight="false" outlineLevel="0" collapsed="false">
      <c r="A83" s="6" t="str">
        <f aca="false">"CO."&amp;$C$39&amp;"."&amp;$C$38&amp;".POOL"</f>
        <v>CO.AQUANOW.EUR.POOL</v>
      </c>
      <c r="B83" s="6" t="s">
        <v>420</v>
      </c>
      <c r="C83" s="25" t="n">
        <f aca="false">IF($C$53="rebate",0,$C$66)</f>
        <v>1384.00576</v>
      </c>
      <c r="D83" s="18" t="s">
        <v>427</v>
      </c>
      <c r="E83" s="18" t="s">
        <v>428</v>
      </c>
    </row>
    <row r="84" customFormat="false" ht="15" hidden="false" customHeight="false" outlineLevel="0" collapsed="false">
      <c r="A84" s="6" t="str">
        <f aca="false">"CO."&amp;$C$39&amp;"."&amp;$C$38&amp;".REBATE_RECEIVABLE"</f>
        <v>CO.AQUANOW.EUR.REBATE_RECEIVABLE</v>
      </c>
      <c r="B84" s="6" t="s">
        <v>420</v>
      </c>
      <c r="C84" s="25" t="n">
        <f aca="false">$C$72</f>
        <v>0</v>
      </c>
      <c r="D84" s="18" t="s">
        <v>427</v>
      </c>
      <c r="E84" s="18" t="s">
        <v>429</v>
      </c>
    </row>
    <row r="85" customFormat="false" ht="15" hidden="false" customHeight="false" outlineLevel="0" collapsed="false">
      <c r="A85" s="6" t="str">
        <f aca="false">"CL.PROJECT."&amp;$C$38&amp;".PAYABLE"</f>
        <v>CL.PROJECT.EUR.PAYABLE</v>
      </c>
      <c r="B85" s="6" t="s">
        <v>423</v>
      </c>
      <c r="C85" s="25" t="n">
        <f aca="false">$C$63</f>
        <v>41520.1728</v>
      </c>
      <c r="D85" s="18" t="s">
        <v>421</v>
      </c>
      <c r="E85" s="18" t="s">
        <v>426</v>
      </c>
    </row>
    <row r="86" customFormat="false" ht="15" hidden="false" customHeight="false" outlineLevel="0" collapsed="false">
      <c r="A86" s="6" t="str">
        <f aca="false">"CO.NONE."&amp;$C$38&amp;".EARN_GROSS"</f>
        <v>CO.NONE.EUR.EARN_GROSS</v>
      </c>
      <c r="B86" s="6" t="s">
        <v>423</v>
      </c>
      <c r="C86" s="25" t="n">
        <f aca="false">$C$66+$C$72</f>
        <v>1384.00576</v>
      </c>
      <c r="D86" s="18" t="s">
        <v>427</v>
      </c>
      <c r="E86" s="18" t="s">
        <v>430</v>
      </c>
    </row>
    <row r="87" customFormat="false" ht="15" hidden="false" customHeight="false" outlineLevel="0" collapsed="false">
      <c r="A87" s="6" t="str">
        <f aca="false">"CL."&amp;$C$39&amp;"."&amp;$C$38&amp;".INTRANSIT"</f>
        <v>CL.AQUANOW.EUR.INTRANSIT</v>
      </c>
      <c r="B87" s="6" t="s">
        <v>420</v>
      </c>
      <c r="C87" s="25" t="n">
        <f aca="false">$C$69</f>
        <v>41520</v>
      </c>
      <c r="D87" s="18" t="s">
        <v>421</v>
      </c>
      <c r="E87" s="18" t="s">
        <v>431</v>
      </c>
    </row>
    <row r="88" customFormat="false" ht="15" hidden="false" customHeight="false" outlineLevel="0" collapsed="false">
      <c r="A88" s="6" t="str">
        <f aca="false">"CL."&amp;$C$39&amp;"."&amp;$C$38&amp;".DUE"</f>
        <v>CL.AQUANOW.EUR.DUE</v>
      </c>
      <c r="B88" s="6" t="s">
        <v>423</v>
      </c>
      <c r="C88" s="25" t="n">
        <f aca="false">$C$69</f>
        <v>41520</v>
      </c>
      <c r="D88" s="18" t="s">
        <v>421</v>
      </c>
      <c r="E88" s="18" t="s">
        <v>432</v>
      </c>
    </row>
    <row r="89" customFormat="false" ht="15" hidden="false" customHeight="false" outlineLevel="0" collapsed="false">
      <c r="A89" s="6" t="str">
        <f aca="false">"CL.PROJECT."&amp;$C$38&amp;".PAYABLE"</f>
        <v>CL.PROJECT.EUR.PAYABLE</v>
      </c>
      <c r="B89" s="6" t="s">
        <v>420</v>
      </c>
      <c r="C89" s="25" t="n">
        <f aca="false">$C$69</f>
        <v>41520</v>
      </c>
      <c r="D89" s="18" t="s">
        <v>421</v>
      </c>
      <c r="E89" s="18" t="s">
        <v>433</v>
      </c>
    </row>
    <row r="90" customFormat="false" ht="15" hidden="false" customHeight="false" outlineLevel="0" collapsed="false">
      <c r="A90" s="6" t="str">
        <f aca="false">"CL."&amp;$C$39&amp;"."&amp;$C$38&amp;".INTRANSIT"</f>
        <v>CL.AQUANOW.EUR.INTRANSIT</v>
      </c>
      <c r="B90" s="6" t="s">
        <v>423</v>
      </c>
      <c r="C90" s="25" t="n">
        <f aca="false">$C$69</f>
        <v>41520</v>
      </c>
      <c r="D90" s="18" t="s">
        <v>421</v>
      </c>
      <c r="E90" s="18" t="s">
        <v>433</v>
      </c>
    </row>
    <row r="91" customFormat="false" ht="15" hidden="false" customHeight="false" outlineLevel="0" collapsed="false">
      <c r="A91" s="6" t="str">
        <f aca="false">"CO.NONE."&amp;$C$38&amp;".EARN_GROSS"</f>
        <v>CO.NONE.EUR.EARN_GROSS</v>
      </c>
      <c r="B91" s="6" t="s">
        <v>420</v>
      </c>
      <c r="C91" s="25" t="n">
        <f aca="false">$C$73</f>
        <v>648.7527</v>
      </c>
      <c r="D91" s="18" t="s">
        <v>434</v>
      </c>
      <c r="E91" s="18" t="s">
        <v>435</v>
      </c>
    </row>
    <row r="92" customFormat="false" ht="15" hidden="false" customHeight="false" outlineLevel="0" collapsed="false">
      <c r="A92" s="6" t="str">
        <f aca="false">"CO.INTRODUCER."&amp;$C$38&amp;".REFERRAL_PAYABLE"</f>
        <v>CO.INTRODUCER.EUR.REFERRAL_PAYABLE</v>
      </c>
      <c r="B92" s="6" t="s">
        <v>423</v>
      </c>
      <c r="C92" s="25" t="n">
        <f aca="false">$C$73</f>
        <v>648.7527</v>
      </c>
      <c r="D92" s="18" t="s">
        <v>434</v>
      </c>
      <c r="E92" s="18" t="s">
        <v>436</v>
      </c>
    </row>
    <row r="93" customFormat="false" ht="30" hidden="false" customHeight="true" outlineLevel="0" collapsed="false">
      <c r="A93" s="27" t="s">
        <v>437</v>
      </c>
      <c r="C93" s="28" t="n">
        <f aca="false">ROUND(SUMIF($B$82:$B$92,"Dr",$C$82:$C$92)-SUMIF($B$82:$B$92,"Cr",$C$82:$C$92),6)</f>
        <v>0</v>
      </c>
      <c r="E93" s="17" t="s">
        <v>438</v>
      </c>
    </row>
    <row r="95" customFormat="false" ht="15" hidden="false" customHeight="false" outlineLevel="0" collapsed="false">
      <c r="A95" s="15" t="s">
        <v>439</v>
      </c>
    </row>
    <row r="96" customFormat="false" ht="15" hidden="false" customHeight="false" outlineLevel="0" collapsed="false">
      <c r="A96" s="16" t="s">
        <v>440</v>
      </c>
      <c r="B96" s="16" t="s">
        <v>441</v>
      </c>
      <c r="C96" s="16" t="s">
        <v>442</v>
      </c>
      <c r="D96" s="16" t="s">
        <v>443</v>
      </c>
      <c r="E96" s="16" t="s">
        <v>444</v>
      </c>
    </row>
    <row r="97" customFormat="false" ht="15.75" hidden="false" customHeight="true" outlineLevel="0" collapsed="false">
      <c r="A97" s="3" t="s">
        <v>521</v>
      </c>
      <c r="B97" s="19" t="n">
        <v>41520.17</v>
      </c>
      <c r="C97" s="25" t="n">
        <f aca="false">$C$61</f>
        <v>41520.1728</v>
      </c>
      <c r="D97" s="28" t="n">
        <f aca="false">ROUND(C97-B97,2)</f>
        <v>0</v>
      </c>
      <c r="E97" s="17" t="s">
        <v>522</v>
      </c>
    </row>
    <row r="99" customFormat="false" ht="15" hidden="false" customHeight="false" outlineLevel="0" collapsed="false">
      <c r="A99" s="15" t="s">
        <v>447</v>
      </c>
    </row>
    <row r="100" customFormat="false" ht="31.5" hidden="false" customHeight="true" outlineLevel="0" collapsed="false">
      <c r="A100" s="13" t="s">
        <v>448</v>
      </c>
      <c r="B100" s="29" t="s">
        <v>523</v>
      </c>
      <c r="C100" s="29"/>
      <c r="D100" s="29"/>
      <c r="E100" s="29"/>
    </row>
    <row r="101" customFormat="false" ht="31.5" hidden="false" customHeight="true" outlineLevel="0" collapsed="false">
      <c r="A101" s="13" t="s">
        <v>448</v>
      </c>
      <c r="B101" s="29" t="s">
        <v>524</v>
      </c>
      <c r="C101" s="29"/>
      <c r="D101" s="29"/>
      <c r="E101" s="29"/>
    </row>
    <row r="102" customFormat="false" ht="31.5" hidden="false" customHeight="true" outlineLevel="0" collapsed="false">
      <c r="A102" s="13" t="s">
        <v>448</v>
      </c>
      <c r="B102" s="29" t="s">
        <v>525</v>
      </c>
      <c r="C102" s="29"/>
      <c r="D102" s="29"/>
      <c r="E102" s="29"/>
    </row>
  </sheetData>
  <mergeCells count="3">
    <mergeCell ref="B100:E100"/>
    <mergeCell ref="B101:E101"/>
    <mergeCell ref="B102:E10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1" style="0" width="34"/>
    <col collapsed="false" customWidth="true" hidden="false" outlineLevel="0" max="3" min="3" style="0" width="22"/>
    <col collapsed="false" customWidth="true" hidden="false" outlineLevel="0" max="4" min="4" style="0" width="18"/>
    <col collapsed="false" customWidth="true" hidden="false" outlineLevel="0" max="5" min="5" style="0" width="48"/>
  </cols>
  <sheetData>
    <row r="1" customFormat="false" ht="16.15" hidden="false" customHeight="false" outlineLevel="0" collapsed="false">
      <c r="A1" s="1" t="s">
        <v>526</v>
      </c>
    </row>
    <row r="2" customFormat="false" ht="15" hidden="false" customHeight="false" outlineLevel="0" collapsed="false">
      <c r="A2" s="12" t="s">
        <v>210</v>
      </c>
      <c r="B2" s="13" t="s">
        <v>527</v>
      </c>
    </row>
    <row r="3" customFormat="false" ht="30" hidden="false" customHeight="true" outlineLevel="0" collapsed="false">
      <c r="A3" s="12" t="s">
        <v>212</v>
      </c>
      <c r="B3" s="14" t="s">
        <v>528</v>
      </c>
    </row>
    <row r="5" customFormat="false" ht="15" hidden="false" customHeight="false" outlineLevel="0" collapsed="false">
      <c r="A5" s="15" t="s">
        <v>214</v>
      </c>
    </row>
    <row r="6" customFormat="false" ht="15" hidden="false" customHeight="false" outlineLevel="0" collapsed="false">
      <c r="A6" s="16" t="s">
        <v>215</v>
      </c>
      <c r="B6" s="16" t="s">
        <v>216</v>
      </c>
      <c r="C6" s="16" t="s">
        <v>217</v>
      </c>
      <c r="D6" s="16" t="s">
        <v>218</v>
      </c>
      <c r="E6" s="16" t="s">
        <v>219</v>
      </c>
    </row>
    <row r="7" customFormat="false" ht="30" hidden="false" customHeight="true" outlineLevel="0" collapsed="false">
      <c r="A7" s="3" t="s">
        <v>220</v>
      </c>
      <c r="B7" s="3" t="s">
        <v>221</v>
      </c>
      <c r="C7" s="9" t="s">
        <v>179</v>
      </c>
      <c r="D7" s="3" t="s">
        <v>222</v>
      </c>
      <c r="E7" s="17" t="s">
        <v>223</v>
      </c>
    </row>
    <row r="8" customFormat="false" ht="30" hidden="false" customHeight="true" outlineLevel="0" collapsed="false">
      <c r="A8" s="3" t="s">
        <v>224</v>
      </c>
      <c r="B8" s="3" t="s">
        <v>225</v>
      </c>
      <c r="C8" s="9" t="s">
        <v>529</v>
      </c>
      <c r="D8" s="3" t="s">
        <v>222</v>
      </c>
      <c r="E8" s="17" t="s">
        <v>227</v>
      </c>
    </row>
    <row r="9" customFormat="false" ht="30" hidden="false" customHeight="true" outlineLevel="0" collapsed="false">
      <c r="A9" s="3" t="s">
        <v>228</v>
      </c>
      <c r="B9" s="3" t="s">
        <v>229</v>
      </c>
      <c r="C9" s="9" t="s">
        <v>530</v>
      </c>
      <c r="D9" s="3" t="s">
        <v>222</v>
      </c>
      <c r="E9" s="17" t="s">
        <v>230</v>
      </c>
    </row>
    <row r="10" customFormat="false" ht="30" hidden="false" customHeight="true" outlineLevel="0" collapsed="false">
      <c r="A10" s="3" t="s">
        <v>231</v>
      </c>
      <c r="B10" s="3" t="s">
        <v>232</v>
      </c>
      <c r="C10" s="9" t="s">
        <v>531</v>
      </c>
      <c r="D10" s="3" t="s">
        <v>222</v>
      </c>
      <c r="E10" s="17" t="s">
        <v>233</v>
      </c>
    </row>
    <row r="11" customFormat="false" ht="15.75" hidden="false" customHeight="true" outlineLevel="0" collapsed="false">
      <c r="A11" s="3" t="s">
        <v>234</v>
      </c>
      <c r="B11" s="3" t="s">
        <v>235</v>
      </c>
      <c r="C11" s="9" t="s">
        <v>236</v>
      </c>
      <c r="D11" s="3" t="s">
        <v>222</v>
      </c>
      <c r="E11" s="17" t="s">
        <v>237</v>
      </c>
    </row>
    <row r="12" customFormat="false" ht="30" hidden="false" customHeight="true" outlineLevel="0" collapsed="false">
      <c r="A12" s="3" t="s">
        <v>238</v>
      </c>
      <c r="B12" s="3" t="s">
        <v>239</v>
      </c>
      <c r="C12" s="9" t="s">
        <v>532</v>
      </c>
      <c r="D12" s="3" t="s">
        <v>222</v>
      </c>
      <c r="E12" s="17" t="s">
        <v>241</v>
      </c>
    </row>
    <row r="13" customFormat="false" ht="15.75" hidden="false" customHeight="true" outlineLevel="0" collapsed="false">
      <c r="A13" s="3" t="s">
        <v>242</v>
      </c>
      <c r="B13" s="3" t="s">
        <v>243</v>
      </c>
      <c r="C13" s="9" t="s">
        <v>533</v>
      </c>
      <c r="D13" s="3" t="s">
        <v>222</v>
      </c>
      <c r="E13" s="17"/>
    </row>
    <row r="14" customFormat="false" ht="30" hidden="false" customHeight="true" outlineLevel="0" collapsed="false">
      <c r="A14" s="3" t="s">
        <v>244</v>
      </c>
      <c r="B14" s="3" t="s">
        <v>245</v>
      </c>
      <c r="C14" s="9" t="s">
        <v>182</v>
      </c>
      <c r="D14" s="3" t="s">
        <v>222</v>
      </c>
      <c r="E14" s="17" t="s">
        <v>246</v>
      </c>
    </row>
    <row r="15" customFormat="false" ht="15.75" hidden="false" customHeight="true" outlineLevel="0" collapsed="false">
      <c r="A15" s="3" t="s">
        <v>247</v>
      </c>
      <c r="B15" s="3" t="s">
        <v>248</v>
      </c>
      <c r="C15" s="9" t="s">
        <v>534</v>
      </c>
      <c r="D15" s="3" t="s">
        <v>222</v>
      </c>
      <c r="E15" s="17" t="s">
        <v>249</v>
      </c>
    </row>
    <row r="16" customFormat="false" ht="30" hidden="false" customHeight="true" outlineLevel="0" collapsed="false">
      <c r="A16" s="3" t="s">
        <v>250</v>
      </c>
      <c r="B16" s="3" t="s">
        <v>251</v>
      </c>
      <c r="C16" s="9" t="s">
        <v>484</v>
      </c>
      <c r="D16" s="3" t="s">
        <v>222</v>
      </c>
      <c r="E16" s="17" t="s">
        <v>253</v>
      </c>
    </row>
    <row r="17" customFormat="false" ht="30" hidden="false" customHeight="true" outlineLevel="0" collapsed="false">
      <c r="A17" s="3" t="s">
        <v>254</v>
      </c>
      <c r="B17" s="3" t="s">
        <v>255</v>
      </c>
      <c r="C17" s="9" t="s">
        <v>256</v>
      </c>
      <c r="D17" s="3" t="s">
        <v>222</v>
      </c>
      <c r="E17" s="17" t="s">
        <v>257</v>
      </c>
    </row>
    <row r="18" customFormat="false" ht="15.75" hidden="false" customHeight="true" outlineLevel="0" collapsed="false">
      <c r="A18" s="3" t="s">
        <v>258</v>
      </c>
      <c r="B18" s="3" t="s">
        <v>259</v>
      </c>
      <c r="C18" s="9" t="s">
        <v>86</v>
      </c>
      <c r="D18" s="3" t="s">
        <v>222</v>
      </c>
      <c r="E18" s="17" t="s">
        <v>260</v>
      </c>
    </row>
    <row r="19" customFormat="false" ht="15.75" hidden="false" customHeight="true" outlineLevel="0" collapsed="false">
      <c r="A19" s="3" t="s">
        <v>261</v>
      </c>
      <c r="B19" s="3" t="s">
        <v>262</v>
      </c>
      <c r="C19" s="11" t="n">
        <v>0.02</v>
      </c>
      <c r="D19" s="3" t="s">
        <v>222</v>
      </c>
      <c r="E19" s="17" t="s">
        <v>263</v>
      </c>
    </row>
    <row r="20" customFormat="false" ht="15.75" hidden="false" customHeight="true" outlineLevel="0" collapsed="false">
      <c r="A20" s="3" t="s">
        <v>264</v>
      </c>
      <c r="B20" s="3" t="s">
        <v>265</v>
      </c>
      <c r="C20" s="11" t="n">
        <v>0.02</v>
      </c>
      <c r="D20" s="3" t="s">
        <v>222</v>
      </c>
      <c r="E20" s="17"/>
    </row>
    <row r="21" customFormat="false" ht="30" hidden="false" customHeight="true" outlineLevel="0" collapsed="false">
      <c r="A21" s="3" t="s">
        <v>266</v>
      </c>
      <c r="B21" s="3" t="s">
        <v>267</v>
      </c>
      <c r="C21" s="11" t="n">
        <v>0</v>
      </c>
      <c r="D21" s="3" t="s">
        <v>222</v>
      </c>
      <c r="E21" s="17" t="s">
        <v>268</v>
      </c>
    </row>
    <row r="22" customFormat="false" ht="15.75" hidden="false" customHeight="true" outlineLevel="0" collapsed="false">
      <c r="A22" s="3" t="s">
        <v>269</v>
      </c>
      <c r="B22" s="3" t="s">
        <v>270</v>
      </c>
      <c r="C22" s="10"/>
      <c r="D22" s="3" t="s">
        <v>226</v>
      </c>
      <c r="E22" s="17" t="s">
        <v>271</v>
      </c>
    </row>
    <row r="23" customFormat="false" ht="15.75" hidden="false" customHeight="true" outlineLevel="0" collapsed="false">
      <c r="A23" s="3" t="s">
        <v>272</v>
      </c>
      <c r="B23" s="3" t="s">
        <v>273</v>
      </c>
      <c r="C23" s="10"/>
      <c r="D23" s="3" t="s">
        <v>226</v>
      </c>
      <c r="E23" s="17" t="s">
        <v>271</v>
      </c>
    </row>
    <row r="24" customFormat="false" ht="15.75" hidden="false" customHeight="true" outlineLevel="0" collapsed="false">
      <c r="A24" s="3" t="s">
        <v>274</v>
      </c>
      <c r="B24" s="3" t="s">
        <v>275</v>
      </c>
      <c r="C24" s="10"/>
      <c r="D24" s="3" t="s">
        <v>226</v>
      </c>
      <c r="E24" s="17" t="s">
        <v>276</v>
      </c>
    </row>
    <row r="25" customFormat="false" ht="30" hidden="false" customHeight="true" outlineLevel="0" collapsed="false">
      <c r="A25" s="3" t="s">
        <v>277</v>
      </c>
      <c r="B25" s="3" t="s">
        <v>278</v>
      </c>
      <c r="C25" s="10"/>
      <c r="D25" s="3" t="s">
        <v>279</v>
      </c>
      <c r="E25" s="17" t="s">
        <v>280</v>
      </c>
    </row>
    <row r="26" customFormat="false" ht="15.75" hidden="false" customHeight="true" outlineLevel="0" collapsed="false">
      <c r="A26" s="3" t="s">
        <v>281</v>
      </c>
      <c r="B26" s="3" t="s">
        <v>282</v>
      </c>
      <c r="C26" s="9" t="s">
        <v>183</v>
      </c>
      <c r="D26" s="3" t="s">
        <v>222</v>
      </c>
      <c r="E26" s="17" t="s">
        <v>284</v>
      </c>
    </row>
    <row r="27" customFormat="false" ht="15.75" hidden="false" customHeight="true" outlineLevel="0" collapsed="false">
      <c r="A27" s="3" t="s">
        <v>285</v>
      </c>
      <c r="B27" s="3" t="s">
        <v>286</v>
      </c>
      <c r="C27" s="10"/>
      <c r="D27" s="3" t="s">
        <v>279</v>
      </c>
      <c r="E27" s="17" t="s">
        <v>288</v>
      </c>
    </row>
    <row r="28" customFormat="false" ht="15.75" hidden="false" customHeight="true" outlineLevel="0" collapsed="false">
      <c r="A28" s="3" t="s">
        <v>289</v>
      </c>
      <c r="B28" s="3" t="s">
        <v>290</v>
      </c>
      <c r="C28" s="9"/>
      <c r="D28" s="3" t="s">
        <v>279</v>
      </c>
      <c r="E28" s="17" t="s">
        <v>291</v>
      </c>
    </row>
    <row r="29" customFormat="false" ht="30" hidden="false" customHeight="true" outlineLevel="0" collapsed="false">
      <c r="A29" s="3" t="s">
        <v>292</v>
      </c>
      <c r="B29" s="3" t="s">
        <v>293</v>
      </c>
      <c r="C29" s="9" t="s">
        <v>535</v>
      </c>
      <c r="D29" s="3" t="s">
        <v>222</v>
      </c>
      <c r="E29" s="17" t="s">
        <v>295</v>
      </c>
    </row>
    <row r="30" customFormat="false" ht="15.75" hidden="false" customHeight="true" outlineLevel="0" collapsed="false">
      <c r="A30" s="3" t="s">
        <v>296</v>
      </c>
      <c r="B30" s="3" t="s">
        <v>297</v>
      </c>
      <c r="C30" s="10"/>
      <c r="D30" s="3" t="s">
        <v>226</v>
      </c>
      <c r="E30" s="17"/>
    </row>
    <row r="31" customFormat="false" ht="15.75" hidden="false" customHeight="true" outlineLevel="0" collapsed="false">
      <c r="A31" s="3" t="s">
        <v>298</v>
      </c>
      <c r="B31" s="3" t="s">
        <v>299</v>
      </c>
      <c r="C31" s="10"/>
      <c r="D31" s="3" t="s">
        <v>226</v>
      </c>
      <c r="E31" s="17" t="s">
        <v>300</v>
      </c>
    </row>
    <row r="32" customFormat="false" ht="30" hidden="false" customHeight="true" outlineLevel="0" collapsed="false">
      <c r="A32" s="3" t="s">
        <v>301</v>
      </c>
      <c r="B32" s="3" t="s">
        <v>302</v>
      </c>
      <c r="C32" s="10"/>
      <c r="D32" s="3" t="s">
        <v>226</v>
      </c>
      <c r="E32" s="17" t="s">
        <v>303</v>
      </c>
    </row>
    <row r="34" customFormat="false" ht="15" hidden="false" customHeight="false" outlineLevel="0" collapsed="false">
      <c r="A34" s="15" t="s">
        <v>304</v>
      </c>
    </row>
    <row r="35" customFormat="false" ht="15" hidden="false" customHeight="false" outlineLevel="0" collapsed="false">
      <c r="A35" s="16" t="s">
        <v>305</v>
      </c>
      <c r="B35" s="16" t="s">
        <v>306</v>
      </c>
      <c r="C35" s="16" t="s">
        <v>217</v>
      </c>
      <c r="D35" s="16" t="s">
        <v>307</v>
      </c>
      <c r="E35" s="16" t="s">
        <v>308</v>
      </c>
    </row>
    <row r="36" customFormat="false" ht="15" hidden="false" customHeight="false" outlineLevel="0" collapsed="false">
      <c r="A36" s="3" t="s">
        <v>309</v>
      </c>
      <c r="B36" s="18" t="s">
        <v>310</v>
      </c>
      <c r="C36" s="19" t="n">
        <v>2600</v>
      </c>
      <c r="D36" s="18" t="s">
        <v>311</v>
      </c>
      <c r="E36" s="17" t="s">
        <v>312</v>
      </c>
    </row>
    <row r="37" customFormat="false" ht="15" hidden="false" customHeight="false" outlineLevel="0" collapsed="false">
      <c r="A37" s="3" t="s">
        <v>313</v>
      </c>
      <c r="B37" s="18" t="s">
        <v>314</v>
      </c>
      <c r="C37" s="7" t="s">
        <v>315</v>
      </c>
      <c r="D37" s="18" t="s">
        <v>316</v>
      </c>
      <c r="E37" s="17"/>
    </row>
    <row r="38" customFormat="false" ht="15" hidden="false" customHeight="false" outlineLevel="0" collapsed="false">
      <c r="A38" s="3" t="s">
        <v>317</v>
      </c>
      <c r="B38" s="18" t="s">
        <v>318</v>
      </c>
      <c r="C38" s="7" t="s">
        <v>319</v>
      </c>
      <c r="D38" s="18" t="s">
        <v>316</v>
      </c>
      <c r="E38" s="17"/>
    </row>
    <row r="39" customFormat="false" ht="15" hidden="false" customHeight="false" outlineLevel="0" collapsed="false">
      <c r="A39" s="3" t="s">
        <v>320</v>
      </c>
      <c r="B39" s="18" t="s">
        <v>321</v>
      </c>
      <c r="C39" s="7" t="s">
        <v>536</v>
      </c>
      <c r="D39" s="18" t="s">
        <v>316</v>
      </c>
      <c r="E39" s="17" t="s">
        <v>323</v>
      </c>
    </row>
    <row r="40" customFormat="false" ht="15" hidden="false" customHeight="false" outlineLevel="0" collapsed="false">
      <c r="A40" s="3" t="s">
        <v>324</v>
      </c>
      <c r="B40" s="18" t="s">
        <v>325</v>
      </c>
      <c r="C40" s="20" t="n">
        <v>0.8716</v>
      </c>
      <c r="D40" s="18" t="s">
        <v>326</v>
      </c>
      <c r="E40" s="17" t="s">
        <v>327</v>
      </c>
    </row>
    <row r="41" customFormat="false" ht="22.35" hidden="false" customHeight="false" outlineLevel="0" collapsed="false">
      <c r="A41" s="3" t="s">
        <v>328</v>
      </c>
      <c r="B41" s="18" t="s">
        <v>329</v>
      </c>
      <c r="C41" s="21"/>
      <c r="D41" s="18" t="s">
        <v>326</v>
      </c>
      <c r="E41" s="17" t="s">
        <v>330</v>
      </c>
    </row>
    <row r="42" customFormat="false" ht="22.35" hidden="false" customHeight="false" outlineLevel="0" collapsed="false">
      <c r="A42" s="3" t="s">
        <v>331</v>
      </c>
      <c r="B42" s="18" t="s">
        <v>332</v>
      </c>
      <c r="C42" s="22" t="n">
        <v>0</v>
      </c>
      <c r="D42" s="18" t="s">
        <v>333</v>
      </c>
      <c r="E42" s="17" t="s">
        <v>334</v>
      </c>
    </row>
    <row r="43" customFormat="false" ht="15" hidden="false" customHeight="false" outlineLevel="0" collapsed="false">
      <c r="A43" s="3" t="s">
        <v>335</v>
      </c>
      <c r="B43" s="18" t="s">
        <v>336</v>
      </c>
      <c r="C43" s="22" t="n">
        <v>0.02</v>
      </c>
      <c r="D43" s="18" t="s">
        <v>333</v>
      </c>
      <c r="E43" s="17" t="s">
        <v>262</v>
      </c>
    </row>
    <row r="44" customFormat="false" ht="15" hidden="false" customHeight="false" outlineLevel="0" collapsed="false">
      <c r="A44" s="3" t="s">
        <v>337</v>
      </c>
      <c r="B44" s="18" t="s">
        <v>338</v>
      </c>
      <c r="C44" s="22" t="n">
        <v>0.02</v>
      </c>
      <c r="D44" s="18" t="s">
        <v>333</v>
      </c>
      <c r="E44" s="17" t="s">
        <v>265</v>
      </c>
    </row>
    <row r="45" customFormat="false" ht="15" hidden="false" customHeight="false" outlineLevel="0" collapsed="false">
      <c r="A45" s="3" t="s">
        <v>339</v>
      </c>
      <c r="B45" s="18" t="s">
        <v>340</v>
      </c>
      <c r="C45" s="22" t="n">
        <v>0</v>
      </c>
      <c r="D45" s="18" t="s">
        <v>333</v>
      </c>
      <c r="E45" s="17" t="s">
        <v>267</v>
      </c>
    </row>
    <row r="46" customFormat="false" ht="15" hidden="false" customHeight="false" outlineLevel="0" collapsed="false">
      <c r="A46" s="3" t="s">
        <v>254</v>
      </c>
      <c r="B46" s="18" t="s">
        <v>341</v>
      </c>
      <c r="C46" s="7" t="s">
        <v>256</v>
      </c>
      <c r="D46" s="18" t="s">
        <v>316</v>
      </c>
      <c r="E46" s="17" t="s">
        <v>342</v>
      </c>
    </row>
    <row r="47" customFormat="false" ht="15" hidden="false" customHeight="false" outlineLevel="0" collapsed="false">
      <c r="A47" s="3" t="s">
        <v>244</v>
      </c>
      <c r="B47" s="18" t="s">
        <v>343</v>
      </c>
      <c r="C47" s="7" t="s">
        <v>537</v>
      </c>
      <c r="D47" s="18" t="s">
        <v>316</v>
      </c>
      <c r="E47" s="17" t="s">
        <v>344</v>
      </c>
    </row>
    <row r="48" customFormat="false" ht="15" hidden="false" customHeight="false" outlineLevel="0" collapsed="false">
      <c r="A48" s="3" t="s">
        <v>250</v>
      </c>
      <c r="B48" s="18" t="s">
        <v>345</v>
      </c>
      <c r="C48" s="7" t="s">
        <v>484</v>
      </c>
      <c r="D48" s="18" t="s">
        <v>316</v>
      </c>
      <c r="E48" s="17" t="s">
        <v>346</v>
      </c>
    </row>
    <row r="49" customFormat="false" ht="15" hidden="false" customHeight="false" outlineLevel="0" collapsed="false">
      <c r="A49" s="3" t="s">
        <v>347</v>
      </c>
      <c r="B49" s="18" t="s">
        <v>348</v>
      </c>
      <c r="C49" s="7" t="s">
        <v>349</v>
      </c>
      <c r="D49" s="18" t="s">
        <v>316</v>
      </c>
      <c r="E49" s="17" t="s">
        <v>350</v>
      </c>
    </row>
    <row r="50" customFormat="false" ht="15" hidden="false" customHeight="false" outlineLevel="0" collapsed="false">
      <c r="A50" s="3" t="s">
        <v>351</v>
      </c>
      <c r="B50" s="18" t="s">
        <v>352</v>
      </c>
      <c r="C50" s="19" t="n">
        <v>1</v>
      </c>
      <c r="D50" s="18" t="s">
        <v>311</v>
      </c>
      <c r="E50" s="17" t="s">
        <v>353</v>
      </c>
    </row>
    <row r="51" customFormat="false" ht="15" hidden="false" customHeight="false" outlineLevel="0" collapsed="false">
      <c r="A51" s="3" t="s">
        <v>354</v>
      </c>
      <c r="B51" s="18" t="s">
        <v>355</v>
      </c>
      <c r="C51" s="22" t="n">
        <v>0</v>
      </c>
      <c r="D51" s="18" t="s">
        <v>333</v>
      </c>
      <c r="E51" s="17" t="s">
        <v>275</v>
      </c>
    </row>
    <row r="52" customFormat="false" ht="15" hidden="false" customHeight="false" outlineLevel="0" collapsed="false">
      <c r="A52" s="3" t="s">
        <v>356</v>
      </c>
      <c r="B52" s="18" t="s">
        <v>357</v>
      </c>
      <c r="C52" s="23"/>
      <c r="D52" s="18" t="s">
        <v>333</v>
      </c>
      <c r="E52" s="17" t="s">
        <v>358</v>
      </c>
    </row>
    <row r="53" customFormat="false" ht="15" hidden="false" customHeight="false" outlineLevel="0" collapsed="false">
      <c r="A53" s="3" t="s">
        <v>281</v>
      </c>
      <c r="B53" s="18" t="s">
        <v>359</v>
      </c>
      <c r="C53" s="7" t="s">
        <v>537</v>
      </c>
      <c r="D53" s="18" t="s">
        <v>316</v>
      </c>
      <c r="E53" s="17" t="s">
        <v>361</v>
      </c>
    </row>
    <row r="54" customFormat="false" ht="15" hidden="false" customHeight="false" outlineLevel="0" collapsed="false">
      <c r="A54" s="3" t="s">
        <v>285</v>
      </c>
      <c r="B54" s="18" t="s">
        <v>360</v>
      </c>
      <c r="C54" s="22" t="n">
        <v>0</v>
      </c>
      <c r="D54" s="18" t="s">
        <v>333</v>
      </c>
      <c r="E54" s="17" t="s">
        <v>362</v>
      </c>
    </row>
    <row r="55" customFormat="false" ht="15" hidden="false" customHeight="false" outlineLevel="0" collapsed="false">
      <c r="A55" s="3" t="s">
        <v>363</v>
      </c>
      <c r="B55" s="18" t="s">
        <v>364</v>
      </c>
      <c r="C55" s="22" t="n">
        <v>0</v>
      </c>
      <c r="D55" s="18" t="s">
        <v>333</v>
      </c>
      <c r="E55" s="17" t="s">
        <v>365</v>
      </c>
    </row>
    <row r="57" customFormat="false" ht="15" hidden="false" customHeight="false" outlineLevel="0" collapsed="false">
      <c r="A57" s="15" t="s">
        <v>366</v>
      </c>
    </row>
    <row r="58" customFormat="false" ht="15" hidden="false" customHeight="false" outlineLevel="0" collapsed="false">
      <c r="A58" s="16" t="s">
        <v>367</v>
      </c>
      <c r="B58" s="16" t="s">
        <v>368</v>
      </c>
      <c r="C58" s="16" t="s">
        <v>217</v>
      </c>
      <c r="D58" s="16"/>
      <c r="E58" s="16" t="s">
        <v>369</v>
      </c>
    </row>
    <row r="59" customFormat="false" ht="22.35" hidden="false" customHeight="false" outlineLevel="0" collapsed="false">
      <c r="A59" s="3" t="s">
        <v>370</v>
      </c>
      <c r="B59" s="17" t="s">
        <v>371</v>
      </c>
      <c r="C59" s="24" t="n">
        <f aca="false">IF($C$46="market",$C$40,$C$41)</f>
        <v>0.8716</v>
      </c>
      <c r="E59" s="17" t="s">
        <v>372</v>
      </c>
    </row>
    <row r="60" customFormat="false" ht="32.8" hidden="false" customHeight="false" outlineLevel="0" collapsed="false">
      <c r="A60" s="3" t="s">
        <v>373</v>
      </c>
      <c r="B60" s="17" t="s">
        <v>374</v>
      </c>
      <c r="C60" s="24" t="n">
        <f aca="false">IF($C$48="in_per_out",$C$59/(1+$C$44),$C$59*(1-$C$44))</f>
        <v>0.854509803921569</v>
      </c>
      <c r="E60" s="17" t="s">
        <v>375</v>
      </c>
    </row>
    <row r="61" customFormat="false" ht="23.85" hidden="false" customHeight="false" outlineLevel="0" collapsed="false">
      <c r="A61" s="3" t="s">
        <v>376</v>
      </c>
      <c r="B61" s="17" t="s">
        <v>377</v>
      </c>
      <c r="C61" s="25" t="n">
        <f aca="false">$C$36*$C$60</f>
        <v>2221.72549019608</v>
      </c>
      <c r="E61" s="17" t="s">
        <v>378</v>
      </c>
    </row>
    <row r="62" customFormat="false" ht="15" hidden="false" customHeight="false" outlineLevel="0" collapsed="false">
      <c r="A62" s="3" t="s">
        <v>379</v>
      </c>
      <c r="B62" s="17" t="s">
        <v>380</v>
      </c>
      <c r="C62" s="25" t="n">
        <f aca="false">$C$61*$C$45</f>
        <v>0</v>
      </c>
      <c r="E62" s="17" t="s">
        <v>378</v>
      </c>
    </row>
    <row r="63" customFormat="false" ht="15" hidden="false" customHeight="false" outlineLevel="0" collapsed="false">
      <c r="A63" s="3" t="s">
        <v>381</v>
      </c>
      <c r="B63" s="17" t="s">
        <v>382</v>
      </c>
      <c r="C63" s="25" t="n">
        <f aca="false">$C$61-$C$62</f>
        <v>2221.72549019608</v>
      </c>
      <c r="E63" s="17" t="s">
        <v>383</v>
      </c>
    </row>
    <row r="64" customFormat="false" ht="32.8" hidden="false" customHeight="false" outlineLevel="0" collapsed="false">
      <c r="A64" s="3" t="s">
        <v>384</v>
      </c>
      <c r="B64" s="17" t="s">
        <v>385</v>
      </c>
      <c r="C64" s="25" t="n">
        <f aca="false">IF($C$47="own_desk",$C$36*$C$40,IF($C$47="market_plus_pct",$C$36*$C$40*(1-$C$42),$C$36*$C$41))</f>
        <v>2266.16</v>
      </c>
      <c r="E64" s="17" t="s">
        <v>386</v>
      </c>
    </row>
    <row r="65" customFormat="false" ht="22.35" hidden="false" customHeight="false" outlineLevel="0" collapsed="false">
      <c r="A65" s="3" t="s">
        <v>387</v>
      </c>
      <c r="B65" s="17" t="s">
        <v>388</v>
      </c>
      <c r="C65" s="25" t="n">
        <f aca="false">$C$36*$C$40-$C$64</f>
        <v>0</v>
      </c>
      <c r="E65" s="17" t="s">
        <v>383</v>
      </c>
    </row>
    <row r="66" customFormat="false" ht="15" hidden="false" customHeight="false" outlineLevel="0" collapsed="false">
      <c r="A66" s="3" t="s">
        <v>389</v>
      </c>
      <c r="B66" s="17" t="s">
        <v>390</v>
      </c>
      <c r="C66" s="25" t="n">
        <f aca="false">$C$64-$C$63</f>
        <v>44.4345098039221</v>
      </c>
      <c r="E66" s="17" t="s">
        <v>391</v>
      </c>
    </row>
    <row r="67" customFormat="false" ht="15" hidden="false" customHeight="false" outlineLevel="0" collapsed="false">
      <c r="A67" s="3" t="s">
        <v>392</v>
      </c>
      <c r="B67" s="17" t="s">
        <v>393</v>
      </c>
      <c r="C67" s="26" t="n">
        <f aca="false">IF($C$36*$C$40=0,0,$C$66/($C$36*$C$40))</f>
        <v>0.0196078431372551</v>
      </c>
      <c r="E67" s="17" t="s">
        <v>383</v>
      </c>
    </row>
    <row r="68" customFormat="false" ht="22.35" hidden="false" customHeight="false" outlineLevel="0" collapsed="false">
      <c r="A68" s="3" t="s">
        <v>394</v>
      </c>
      <c r="B68" s="17" t="s">
        <v>395</v>
      </c>
      <c r="C68" s="6" t="str">
        <f aca="false">IF($C$67&lt;$C$51,"YES — Finance approval","no")</f>
        <v>no</v>
      </c>
      <c r="E68" s="17" t="s">
        <v>396</v>
      </c>
    </row>
    <row r="69" customFormat="false" ht="22.35" hidden="false" customHeight="false" outlineLevel="0" collapsed="false">
      <c r="A69" s="3" t="s">
        <v>397</v>
      </c>
      <c r="B69" s="17" t="s">
        <v>398</v>
      </c>
      <c r="C69" s="25" t="n">
        <f aca="false">IF($C$49="round_up_unit",CEILING($C$63,$C$50),IF($C$49="nearest_unit",MROUND($C$63,$C$50),IF($C$49="nearest_n",MROUND($C$63,$C$50),FLOOR($C$63,$C$50))))</f>
        <v>2221</v>
      </c>
      <c r="E69" s="17" t="s">
        <v>399</v>
      </c>
    </row>
    <row r="70" customFormat="false" ht="23.85" hidden="false" customHeight="false" outlineLevel="0" collapsed="false">
      <c r="A70" s="3" t="s">
        <v>400</v>
      </c>
      <c r="B70" s="17" t="s">
        <v>401</v>
      </c>
      <c r="C70" s="25" t="n">
        <f aca="false">$C$63-$C$69</f>
        <v>0.725490196078226</v>
      </c>
      <c r="E70" s="17" t="s">
        <v>402</v>
      </c>
    </row>
    <row r="71" customFormat="false" ht="22.35" hidden="false" customHeight="false" outlineLevel="0" collapsed="false">
      <c r="A71" s="3" t="s">
        <v>403</v>
      </c>
      <c r="B71" s="17" t="s">
        <v>404</v>
      </c>
      <c r="C71" s="24" t="n">
        <f aca="false">IF($C$52="",$C$59,$C$60/(1-$C$52))</f>
        <v>0.8716</v>
      </c>
      <c r="E71" s="17" t="s">
        <v>358</v>
      </c>
    </row>
    <row r="72" customFormat="false" ht="15" hidden="false" customHeight="false" outlineLevel="0" collapsed="false">
      <c r="A72" s="3" t="s">
        <v>405</v>
      </c>
      <c r="B72" s="17" t="s">
        <v>406</v>
      </c>
      <c r="C72" s="25" t="n">
        <f aca="false">IF($C$53="rebate",$C$65*$C$54,0)</f>
        <v>0</v>
      </c>
      <c r="E72" s="17" t="s">
        <v>407</v>
      </c>
    </row>
    <row r="73" customFormat="false" ht="15" hidden="false" customHeight="false" outlineLevel="0" collapsed="false">
      <c r="A73" s="3" t="s">
        <v>408</v>
      </c>
      <c r="B73" s="17" t="s">
        <v>409</v>
      </c>
      <c r="C73" s="25" t="n">
        <f aca="false">$C$36*$C$40*$C$55</f>
        <v>0</v>
      </c>
      <c r="E73" s="17" t="s">
        <v>410</v>
      </c>
    </row>
    <row r="74" customFormat="false" ht="23.85" hidden="false" customHeight="false" outlineLevel="0" collapsed="false">
      <c r="A74" s="3" t="s">
        <v>411</v>
      </c>
      <c r="B74" s="17" t="s">
        <v>412</v>
      </c>
      <c r="C74" s="25" t="n">
        <f aca="false">ROUND($C$63+$C$65+$C$66-$C$36*$C$40,6)</f>
        <v>0</v>
      </c>
      <c r="E74" s="17" t="s">
        <v>413</v>
      </c>
    </row>
    <row r="76" customFormat="false" ht="15" hidden="false" customHeight="false" outlineLevel="0" collapsed="false">
      <c r="A76" s="15" t="s">
        <v>414</v>
      </c>
    </row>
    <row r="77" customFormat="false" ht="15" hidden="false" customHeight="false" outlineLevel="0" collapsed="false">
      <c r="A77" s="16" t="s">
        <v>415</v>
      </c>
      <c r="B77" s="16" t="s">
        <v>416</v>
      </c>
      <c r="C77" s="16" t="s">
        <v>417</v>
      </c>
      <c r="D77" s="16" t="s">
        <v>418</v>
      </c>
      <c r="E77" s="16" t="s">
        <v>419</v>
      </c>
    </row>
    <row r="78" customFormat="false" ht="15" hidden="false" customHeight="false" outlineLevel="0" collapsed="false">
      <c r="A78" s="6" t="str">
        <f aca="false">"CL."&amp;$C$39&amp;"."&amp;$C$37&amp;".COLLECTED"</f>
        <v>CL.OWNDESK.USDT.COLLECTED</v>
      </c>
      <c r="B78" s="6" t="s">
        <v>420</v>
      </c>
      <c r="C78" s="25" t="n">
        <f aca="false">$C$36</f>
        <v>2600</v>
      </c>
      <c r="D78" s="18" t="s">
        <v>421</v>
      </c>
      <c r="E78" s="18" t="s">
        <v>422</v>
      </c>
    </row>
    <row r="79" customFormat="false" ht="15" hidden="false" customHeight="false" outlineLevel="0" collapsed="false">
      <c r="A79" s="6" t="str">
        <f aca="false">"CL.PROJECT."&amp;$C$37&amp;".PAYABLE"</f>
        <v>CL.PROJECT.USDT.PAYABLE</v>
      </c>
      <c r="B79" s="6" t="s">
        <v>423</v>
      </c>
      <c r="C79" s="25" t="n">
        <f aca="false">$C$36</f>
        <v>2600</v>
      </c>
      <c r="D79" s="18" t="s">
        <v>421</v>
      </c>
      <c r="E79" s="18" t="s">
        <v>422</v>
      </c>
    </row>
    <row r="80" customFormat="false" ht="15" hidden="false" customHeight="false" outlineLevel="0" collapsed="false">
      <c r="A80" s="6" t="str">
        <f aca="false">"CL.PROJECT."&amp;$C$37&amp;".PAYABLE"</f>
        <v>CL.PROJECT.USDT.PAYABLE</v>
      </c>
      <c r="B80" s="6" t="s">
        <v>420</v>
      </c>
      <c r="C80" s="25" t="n">
        <f aca="false">$C$36</f>
        <v>2600</v>
      </c>
      <c r="D80" s="18" t="s">
        <v>421</v>
      </c>
      <c r="E80" s="18" t="s">
        <v>424</v>
      </c>
    </row>
    <row r="81" customFormat="false" ht="15" hidden="false" customHeight="false" outlineLevel="0" collapsed="false">
      <c r="A81" s="6" t="str">
        <f aca="false">"CL."&amp;$C$39&amp;"."&amp;$C$37&amp;".COLLECTED"</f>
        <v>CL.OWNDESK.USDT.COLLECTED</v>
      </c>
      <c r="B81" s="6" t="s">
        <v>423</v>
      </c>
      <c r="C81" s="25" t="n">
        <f aca="false">$C$36</f>
        <v>2600</v>
      </c>
      <c r="D81" s="18" t="s">
        <v>421</v>
      </c>
      <c r="E81" s="18" t="s">
        <v>424</v>
      </c>
    </row>
    <row r="82" customFormat="false" ht="15" hidden="false" customHeight="false" outlineLevel="0" collapsed="false">
      <c r="A82" s="6" t="str">
        <f aca="false">"CL."&amp;$C$39&amp;"."&amp;$C$38&amp;".DUE"</f>
        <v>CL.OWNDESK.EUR.DUE</v>
      </c>
      <c r="B82" s="6" t="s">
        <v>420</v>
      </c>
      <c r="C82" s="25" t="n">
        <f aca="false">$C$63</f>
        <v>2221.72549019608</v>
      </c>
      <c r="D82" s="18" t="s">
        <v>425</v>
      </c>
      <c r="E82" s="18" t="s">
        <v>426</v>
      </c>
    </row>
    <row r="83" customFormat="false" ht="15" hidden="false" customHeight="false" outlineLevel="0" collapsed="false">
      <c r="A83" s="6" t="str">
        <f aca="false">"CO."&amp;$C$39&amp;"."&amp;$C$38&amp;".POOL"</f>
        <v>CO.OWNDESK.EUR.POOL</v>
      </c>
      <c r="B83" s="6" t="s">
        <v>420</v>
      </c>
      <c r="C83" s="25" t="n">
        <f aca="false">IF($C$53="rebate",0,$C$66)</f>
        <v>44.4345098039221</v>
      </c>
      <c r="D83" s="18" t="s">
        <v>427</v>
      </c>
      <c r="E83" s="18" t="s">
        <v>428</v>
      </c>
    </row>
    <row r="84" customFormat="false" ht="15" hidden="false" customHeight="false" outlineLevel="0" collapsed="false">
      <c r="A84" s="6" t="str">
        <f aca="false">"CO."&amp;$C$39&amp;"."&amp;$C$38&amp;".REBATE_RECEIVABLE"</f>
        <v>CO.OWNDESK.EUR.REBATE_RECEIVABLE</v>
      </c>
      <c r="B84" s="6" t="s">
        <v>420</v>
      </c>
      <c r="C84" s="25" t="n">
        <f aca="false">$C$72</f>
        <v>0</v>
      </c>
      <c r="D84" s="18" t="s">
        <v>427</v>
      </c>
      <c r="E84" s="18" t="s">
        <v>429</v>
      </c>
    </row>
    <row r="85" customFormat="false" ht="15" hidden="false" customHeight="false" outlineLevel="0" collapsed="false">
      <c r="A85" s="6" t="str">
        <f aca="false">"CL.PROJECT."&amp;$C$38&amp;".PAYABLE"</f>
        <v>CL.PROJECT.EUR.PAYABLE</v>
      </c>
      <c r="B85" s="6" t="s">
        <v>423</v>
      </c>
      <c r="C85" s="25" t="n">
        <f aca="false">$C$63</f>
        <v>2221.72549019608</v>
      </c>
      <c r="D85" s="18" t="s">
        <v>421</v>
      </c>
      <c r="E85" s="18" t="s">
        <v>426</v>
      </c>
    </row>
    <row r="86" customFormat="false" ht="15" hidden="false" customHeight="false" outlineLevel="0" collapsed="false">
      <c r="A86" s="6" t="str">
        <f aca="false">"CO.NONE."&amp;$C$38&amp;".EARN_GROSS"</f>
        <v>CO.NONE.EUR.EARN_GROSS</v>
      </c>
      <c r="B86" s="6" t="s">
        <v>423</v>
      </c>
      <c r="C86" s="25" t="n">
        <f aca="false">$C$66+$C$72</f>
        <v>44.4345098039221</v>
      </c>
      <c r="D86" s="18" t="s">
        <v>427</v>
      </c>
      <c r="E86" s="18" t="s">
        <v>430</v>
      </c>
    </row>
    <row r="87" customFormat="false" ht="15" hidden="false" customHeight="false" outlineLevel="0" collapsed="false">
      <c r="A87" s="6" t="str">
        <f aca="false">"CL."&amp;$C$39&amp;"."&amp;$C$38&amp;".INTRANSIT"</f>
        <v>CL.OWNDESK.EUR.INTRANSIT</v>
      </c>
      <c r="B87" s="6" t="s">
        <v>420</v>
      </c>
      <c r="C87" s="25" t="n">
        <f aca="false">$C$69</f>
        <v>2221</v>
      </c>
      <c r="D87" s="18" t="s">
        <v>421</v>
      </c>
      <c r="E87" s="18" t="s">
        <v>431</v>
      </c>
    </row>
    <row r="88" customFormat="false" ht="15" hidden="false" customHeight="false" outlineLevel="0" collapsed="false">
      <c r="A88" s="6" t="str">
        <f aca="false">"CL."&amp;$C$39&amp;"."&amp;$C$38&amp;".DUE"</f>
        <v>CL.OWNDESK.EUR.DUE</v>
      </c>
      <c r="B88" s="6" t="s">
        <v>423</v>
      </c>
      <c r="C88" s="25" t="n">
        <f aca="false">$C$69</f>
        <v>2221</v>
      </c>
      <c r="D88" s="18" t="s">
        <v>421</v>
      </c>
      <c r="E88" s="18" t="s">
        <v>432</v>
      </c>
    </row>
    <row r="89" customFormat="false" ht="15" hidden="false" customHeight="false" outlineLevel="0" collapsed="false">
      <c r="A89" s="6" t="str">
        <f aca="false">"CL.PROJECT."&amp;$C$38&amp;".PAYABLE"</f>
        <v>CL.PROJECT.EUR.PAYABLE</v>
      </c>
      <c r="B89" s="6" t="s">
        <v>420</v>
      </c>
      <c r="C89" s="25" t="n">
        <f aca="false">$C$69</f>
        <v>2221</v>
      </c>
      <c r="D89" s="18" t="s">
        <v>421</v>
      </c>
      <c r="E89" s="18" t="s">
        <v>433</v>
      </c>
    </row>
    <row r="90" customFormat="false" ht="15" hidden="false" customHeight="false" outlineLevel="0" collapsed="false">
      <c r="A90" s="6" t="str">
        <f aca="false">"CL."&amp;$C$39&amp;"."&amp;$C$38&amp;".INTRANSIT"</f>
        <v>CL.OWNDESK.EUR.INTRANSIT</v>
      </c>
      <c r="B90" s="6" t="s">
        <v>423</v>
      </c>
      <c r="C90" s="25" t="n">
        <f aca="false">$C$69</f>
        <v>2221</v>
      </c>
      <c r="D90" s="18" t="s">
        <v>421</v>
      </c>
      <c r="E90" s="18" t="s">
        <v>433</v>
      </c>
    </row>
    <row r="91" customFormat="false" ht="15" hidden="false" customHeight="false" outlineLevel="0" collapsed="false">
      <c r="A91" s="6" t="str">
        <f aca="false">"CO.NONE."&amp;$C$38&amp;".EARN_GROSS"</f>
        <v>CO.NONE.EUR.EARN_GROSS</v>
      </c>
      <c r="B91" s="6" t="s">
        <v>420</v>
      </c>
      <c r="C91" s="25" t="n">
        <f aca="false">$C$73</f>
        <v>0</v>
      </c>
      <c r="D91" s="18" t="s">
        <v>434</v>
      </c>
      <c r="E91" s="18" t="s">
        <v>435</v>
      </c>
    </row>
    <row r="92" customFormat="false" ht="15" hidden="false" customHeight="false" outlineLevel="0" collapsed="false">
      <c r="A92" s="6" t="str">
        <f aca="false">"CO.INTRODUCER."&amp;$C$38&amp;".REFERRAL_PAYABLE"</f>
        <v>CO.INTRODUCER.EUR.REFERRAL_PAYABLE</v>
      </c>
      <c r="B92" s="6" t="s">
        <v>423</v>
      </c>
      <c r="C92" s="25" t="n">
        <f aca="false">$C$73</f>
        <v>0</v>
      </c>
      <c r="D92" s="18" t="s">
        <v>434</v>
      </c>
      <c r="E92" s="18" t="s">
        <v>436</v>
      </c>
    </row>
    <row r="93" customFormat="false" ht="30" hidden="false" customHeight="true" outlineLevel="0" collapsed="false">
      <c r="A93" s="27" t="s">
        <v>437</v>
      </c>
      <c r="C93" s="28" t="n">
        <f aca="false">ROUND(SUMIF($B$82:$B$92,"Dr",$C$82:$C$92)-SUMIF($B$82:$B$92,"Cr",$C$82:$C$92),6)</f>
        <v>0</v>
      </c>
      <c r="E93" s="17" t="s">
        <v>438</v>
      </c>
    </row>
    <row r="95" customFormat="false" ht="15" hidden="false" customHeight="false" outlineLevel="0" collapsed="false">
      <c r="A95" s="15" t="s">
        <v>439</v>
      </c>
    </row>
    <row r="96" customFormat="false" ht="15" hidden="false" customHeight="false" outlineLevel="0" collapsed="false">
      <c r="A96" s="16" t="s">
        <v>440</v>
      </c>
      <c r="B96" s="16" t="s">
        <v>441</v>
      </c>
      <c r="C96" s="16" t="s">
        <v>442</v>
      </c>
      <c r="D96" s="16" t="s">
        <v>443</v>
      </c>
      <c r="E96" s="16" t="s">
        <v>444</v>
      </c>
    </row>
    <row r="97" customFormat="false" ht="30" hidden="false" customHeight="true" outlineLevel="0" collapsed="false">
      <c r="A97" s="3" t="s">
        <v>538</v>
      </c>
      <c r="B97" s="19" t="n">
        <v>2220</v>
      </c>
      <c r="C97" s="25" t="n">
        <f aca="false">$C$61</f>
        <v>2221.72549019608</v>
      </c>
      <c r="D97" s="28" t="n">
        <f aca="false">ROUND(C97-B97,2)</f>
        <v>1.73</v>
      </c>
      <c r="E97" s="17" t="s">
        <v>539</v>
      </c>
    </row>
    <row r="99" customFormat="false" ht="15" hidden="false" customHeight="false" outlineLevel="0" collapsed="false">
      <c r="A99" s="15" t="s">
        <v>540</v>
      </c>
    </row>
    <row r="100" customFormat="false" ht="15" hidden="false" customHeight="false" outlineLevel="0" collapsed="false">
      <c r="A100" s="16" t="s">
        <v>367</v>
      </c>
      <c r="B100" s="16"/>
      <c r="C100" s="16" t="s">
        <v>217</v>
      </c>
      <c r="D100" s="16"/>
      <c r="E100" s="16" t="s">
        <v>218</v>
      </c>
    </row>
    <row r="101" customFormat="false" ht="15" hidden="false" customHeight="false" outlineLevel="0" collapsed="false">
      <c r="A101" s="6" t="s">
        <v>541</v>
      </c>
      <c r="C101" s="19" t="n">
        <v>1358.98</v>
      </c>
      <c r="E101" s="18" t="s">
        <v>542</v>
      </c>
    </row>
    <row r="102" customFormat="false" ht="15" hidden="false" customHeight="false" outlineLevel="0" collapsed="false">
      <c r="A102" s="6" t="s">
        <v>543</v>
      </c>
      <c r="C102" s="20" t="n">
        <v>1.14096508276625</v>
      </c>
      <c r="E102" s="18" t="s">
        <v>544</v>
      </c>
    </row>
    <row r="103" customFormat="false" ht="15" hidden="false" customHeight="false" outlineLevel="0" collapsed="false">
      <c r="A103" s="6" t="s">
        <v>545</v>
      </c>
      <c r="C103" s="25" t="n">
        <f aca="false">ROUND($C$101*$C$102,2)</f>
        <v>1550.55</v>
      </c>
      <c r="E103" s="18" t="s">
        <v>546</v>
      </c>
    </row>
    <row r="104" customFormat="false" ht="15" hidden="false" customHeight="false" outlineLevel="0" collapsed="false">
      <c r="A104" s="6" t="s">
        <v>547</v>
      </c>
      <c r="C104" s="25" t="n">
        <f aca="false">$C$101</f>
        <v>1358.98</v>
      </c>
      <c r="E104" s="18" t="s">
        <v>548</v>
      </c>
    </row>
    <row r="105" customFormat="false" ht="30" hidden="false" customHeight="true" outlineLevel="0" collapsed="false">
      <c r="A105" s="4" t="s">
        <v>549</v>
      </c>
      <c r="C105" s="28" t="n">
        <f aca="false">ROUND($C$63-$C$101,2)</f>
        <v>862.75</v>
      </c>
      <c r="E105" s="17" t="s">
        <v>550</v>
      </c>
    </row>
    <row r="107" customFormat="false" ht="15" hidden="false" customHeight="false" outlineLevel="0" collapsed="false">
      <c r="A107" s="15" t="s">
        <v>447</v>
      </c>
    </row>
    <row r="108" customFormat="false" ht="31.5" hidden="false" customHeight="true" outlineLevel="0" collapsed="false">
      <c r="A108" s="13" t="s">
        <v>448</v>
      </c>
      <c r="B108" s="29" t="s">
        <v>551</v>
      </c>
      <c r="C108" s="29"/>
      <c r="D108" s="29"/>
      <c r="E108" s="29"/>
    </row>
    <row r="109" customFormat="false" ht="31.5" hidden="false" customHeight="true" outlineLevel="0" collapsed="false">
      <c r="A109" s="13" t="s">
        <v>448</v>
      </c>
      <c r="B109" s="29" t="s">
        <v>552</v>
      </c>
      <c r="C109" s="29"/>
      <c r="D109" s="29"/>
      <c r="E109" s="29"/>
    </row>
    <row r="110" customFormat="false" ht="31.5" hidden="false" customHeight="true" outlineLevel="0" collapsed="false">
      <c r="A110" s="13" t="s">
        <v>448</v>
      </c>
      <c r="B110" s="29" t="s">
        <v>553</v>
      </c>
      <c r="C110" s="29"/>
      <c r="D110" s="29"/>
      <c r="E110" s="29"/>
    </row>
    <row r="111" customFormat="false" ht="31.5" hidden="false" customHeight="true" outlineLevel="0" collapsed="false">
      <c r="A111" s="13" t="s">
        <v>448</v>
      </c>
      <c r="B111" s="29" t="s">
        <v>554</v>
      </c>
      <c r="C111" s="29"/>
      <c r="D111" s="29"/>
      <c r="E111" s="29"/>
    </row>
  </sheetData>
  <mergeCells count="4">
    <mergeCell ref="B108:E108"/>
    <mergeCell ref="B109:E109"/>
    <mergeCell ref="B110:E110"/>
    <mergeCell ref="B111:E11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1" style="0" width="34"/>
    <col collapsed="false" customWidth="true" hidden="false" outlineLevel="0" max="3" min="3" style="0" width="22"/>
    <col collapsed="false" customWidth="true" hidden="false" outlineLevel="0" max="4" min="4" style="0" width="18"/>
    <col collapsed="false" customWidth="true" hidden="false" outlineLevel="0" max="5" min="5" style="0" width="48"/>
  </cols>
  <sheetData>
    <row r="1" customFormat="false" ht="16.15" hidden="false" customHeight="false" outlineLevel="0" collapsed="false">
      <c r="A1" s="1" t="s">
        <v>555</v>
      </c>
    </row>
    <row r="2" customFormat="false" ht="15" hidden="false" customHeight="false" outlineLevel="0" collapsed="false">
      <c r="A2" s="12" t="s">
        <v>210</v>
      </c>
      <c r="B2" s="13" t="s">
        <v>556</v>
      </c>
    </row>
    <row r="3" customFormat="false" ht="30" hidden="false" customHeight="true" outlineLevel="0" collapsed="false">
      <c r="A3" s="12" t="s">
        <v>212</v>
      </c>
      <c r="B3" s="14" t="s">
        <v>557</v>
      </c>
    </row>
    <row r="5" customFormat="false" ht="15" hidden="false" customHeight="false" outlineLevel="0" collapsed="false">
      <c r="A5" s="15" t="s">
        <v>214</v>
      </c>
    </row>
    <row r="6" customFormat="false" ht="15" hidden="false" customHeight="false" outlineLevel="0" collapsed="false">
      <c r="A6" s="16" t="s">
        <v>215</v>
      </c>
      <c r="B6" s="16" t="s">
        <v>216</v>
      </c>
      <c r="C6" s="16" t="s">
        <v>217</v>
      </c>
      <c r="D6" s="16" t="s">
        <v>218</v>
      </c>
      <c r="E6" s="16" t="s">
        <v>219</v>
      </c>
    </row>
    <row r="7" customFormat="false" ht="30" hidden="false" customHeight="true" outlineLevel="0" collapsed="false">
      <c r="A7" s="3" t="s">
        <v>220</v>
      </c>
      <c r="B7" s="3" t="s">
        <v>221</v>
      </c>
      <c r="C7" s="9" t="s">
        <v>175</v>
      </c>
      <c r="D7" s="3" t="s">
        <v>222</v>
      </c>
      <c r="E7" s="17" t="s">
        <v>223</v>
      </c>
    </row>
    <row r="8" customFormat="false" ht="30" hidden="false" customHeight="true" outlineLevel="0" collapsed="false">
      <c r="A8" s="3" t="s">
        <v>224</v>
      </c>
      <c r="B8" s="3" t="s">
        <v>225</v>
      </c>
      <c r="C8" s="9" t="s">
        <v>558</v>
      </c>
      <c r="D8" s="3" t="s">
        <v>222</v>
      </c>
      <c r="E8" s="17" t="s">
        <v>227</v>
      </c>
    </row>
    <row r="9" customFormat="false" ht="30" hidden="false" customHeight="true" outlineLevel="0" collapsed="false">
      <c r="A9" s="3" t="s">
        <v>228</v>
      </c>
      <c r="B9" s="3" t="s">
        <v>229</v>
      </c>
      <c r="C9" s="9" t="s">
        <v>559</v>
      </c>
      <c r="D9" s="3" t="s">
        <v>222</v>
      </c>
      <c r="E9" s="17" t="s">
        <v>230</v>
      </c>
    </row>
    <row r="10" customFormat="false" ht="30" hidden="false" customHeight="true" outlineLevel="0" collapsed="false">
      <c r="A10" s="3" t="s">
        <v>231</v>
      </c>
      <c r="B10" s="3" t="s">
        <v>232</v>
      </c>
      <c r="C10" s="9" t="s">
        <v>560</v>
      </c>
      <c r="D10" s="3" t="s">
        <v>222</v>
      </c>
      <c r="E10" s="17" t="s">
        <v>233</v>
      </c>
    </row>
    <row r="11" customFormat="false" ht="15.75" hidden="false" customHeight="true" outlineLevel="0" collapsed="false">
      <c r="A11" s="3" t="s">
        <v>234</v>
      </c>
      <c r="B11" s="3" t="s">
        <v>235</v>
      </c>
      <c r="C11" s="9" t="s">
        <v>561</v>
      </c>
      <c r="D11" s="3" t="s">
        <v>222</v>
      </c>
      <c r="E11" s="17" t="s">
        <v>237</v>
      </c>
    </row>
    <row r="12" customFormat="false" ht="30" hidden="false" customHeight="true" outlineLevel="0" collapsed="false">
      <c r="A12" s="3" t="s">
        <v>238</v>
      </c>
      <c r="B12" s="3" t="s">
        <v>239</v>
      </c>
      <c r="C12" s="9" t="s">
        <v>562</v>
      </c>
      <c r="D12" s="3" t="s">
        <v>222</v>
      </c>
      <c r="E12" s="17" t="s">
        <v>241</v>
      </c>
    </row>
    <row r="13" customFormat="false" ht="15.75" hidden="false" customHeight="true" outlineLevel="0" collapsed="false">
      <c r="A13" s="3" t="s">
        <v>242</v>
      </c>
      <c r="B13" s="3" t="s">
        <v>243</v>
      </c>
      <c r="C13" s="9" t="s">
        <v>93</v>
      </c>
      <c r="D13" s="3" t="s">
        <v>222</v>
      </c>
      <c r="E13" s="17"/>
    </row>
    <row r="14" customFormat="false" ht="30" hidden="false" customHeight="true" outlineLevel="0" collapsed="false">
      <c r="A14" s="3" t="s">
        <v>244</v>
      </c>
      <c r="B14" s="3" t="s">
        <v>245</v>
      </c>
      <c r="C14" s="9" t="s">
        <v>94</v>
      </c>
      <c r="D14" s="3" t="s">
        <v>222</v>
      </c>
      <c r="E14" s="17" t="s">
        <v>246</v>
      </c>
    </row>
    <row r="15" customFormat="false" ht="15.75" hidden="false" customHeight="true" outlineLevel="0" collapsed="false">
      <c r="A15" s="3" t="s">
        <v>247</v>
      </c>
      <c r="B15" s="3" t="s">
        <v>248</v>
      </c>
      <c r="C15" s="9" t="s">
        <v>563</v>
      </c>
      <c r="D15" s="3" t="s">
        <v>222</v>
      </c>
      <c r="E15" s="17" t="s">
        <v>249</v>
      </c>
    </row>
    <row r="16" customFormat="false" ht="30" hidden="false" customHeight="true" outlineLevel="0" collapsed="false">
      <c r="A16" s="3" t="s">
        <v>250</v>
      </c>
      <c r="B16" s="3" t="s">
        <v>251</v>
      </c>
      <c r="C16" s="9" t="s">
        <v>484</v>
      </c>
      <c r="D16" s="3" t="s">
        <v>222</v>
      </c>
      <c r="E16" s="17" t="s">
        <v>253</v>
      </c>
    </row>
    <row r="17" customFormat="false" ht="30" hidden="false" customHeight="true" outlineLevel="0" collapsed="false">
      <c r="A17" s="3" t="s">
        <v>254</v>
      </c>
      <c r="B17" s="3" t="s">
        <v>255</v>
      </c>
      <c r="C17" s="9" t="s">
        <v>256</v>
      </c>
      <c r="D17" s="3" t="s">
        <v>222</v>
      </c>
      <c r="E17" s="17" t="s">
        <v>257</v>
      </c>
    </row>
    <row r="18" customFormat="false" ht="15.75" hidden="false" customHeight="true" outlineLevel="0" collapsed="false">
      <c r="A18" s="3" t="s">
        <v>258</v>
      </c>
      <c r="B18" s="3" t="s">
        <v>259</v>
      </c>
      <c r="C18" s="9" t="s">
        <v>86</v>
      </c>
      <c r="D18" s="3" t="s">
        <v>222</v>
      </c>
      <c r="E18" s="17" t="s">
        <v>260</v>
      </c>
    </row>
    <row r="19" customFormat="false" ht="15.75" hidden="false" customHeight="true" outlineLevel="0" collapsed="false">
      <c r="A19" s="3" t="s">
        <v>261</v>
      </c>
      <c r="B19" s="3" t="s">
        <v>262</v>
      </c>
      <c r="C19" s="11" t="n">
        <v>0.02</v>
      </c>
      <c r="D19" s="3" t="s">
        <v>222</v>
      </c>
      <c r="E19" s="17" t="s">
        <v>263</v>
      </c>
    </row>
    <row r="20" customFormat="false" ht="15.75" hidden="false" customHeight="true" outlineLevel="0" collapsed="false">
      <c r="A20" s="3" t="s">
        <v>264</v>
      </c>
      <c r="B20" s="3" t="s">
        <v>265</v>
      </c>
      <c r="C20" s="11" t="n">
        <v>0.02</v>
      </c>
      <c r="D20" s="3" t="s">
        <v>222</v>
      </c>
      <c r="E20" s="17"/>
    </row>
    <row r="21" customFormat="false" ht="30" hidden="false" customHeight="true" outlineLevel="0" collapsed="false">
      <c r="A21" s="3" t="s">
        <v>266</v>
      </c>
      <c r="B21" s="3" t="s">
        <v>267</v>
      </c>
      <c r="C21" s="11" t="n">
        <v>0</v>
      </c>
      <c r="D21" s="3" t="s">
        <v>222</v>
      </c>
      <c r="E21" s="17" t="s">
        <v>268</v>
      </c>
    </row>
    <row r="22" customFormat="false" ht="15.75" hidden="false" customHeight="true" outlineLevel="0" collapsed="false">
      <c r="A22" s="3" t="s">
        <v>269</v>
      </c>
      <c r="B22" s="3" t="s">
        <v>270</v>
      </c>
      <c r="C22" s="10"/>
      <c r="D22" s="3" t="s">
        <v>226</v>
      </c>
      <c r="E22" s="17" t="s">
        <v>271</v>
      </c>
    </row>
    <row r="23" customFormat="false" ht="15.75" hidden="false" customHeight="true" outlineLevel="0" collapsed="false">
      <c r="A23" s="3" t="s">
        <v>272</v>
      </c>
      <c r="B23" s="3" t="s">
        <v>273</v>
      </c>
      <c r="C23" s="10"/>
      <c r="D23" s="3" t="s">
        <v>226</v>
      </c>
      <c r="E23" s="17" t="s">
        <v>271</v>
      </c>
    </row>
    <row r="24" customFormat="false" ht="15.75" hidden="false" customHeight="true" outlineLevel="0" collapsed="false">
      <c r="A24" s="3" t="s">
        <v>274</v>
      </c>
      <c r="B24" s="3" t="s">
        <v>275</v>
      </c>
      <c r="C24" s="11" t="n">
        <v>0.005</v>
      </c>
      <c r="D24" s="3" t="s">
        <v>222</v>
      </c>
      <c r="E24" s="17" t="s">
        <v>276</v>
      </c>
    </row>
    <row r="25" customFormat="false" ht="30" hidden="false" customHeight="true" outlineLevel="0" collapsed="false">
      <c r="A25" s="3" t="s">
        <v>277</v>
      </c>
      <c r="B25" s="3" t="s">
        <v>278</v>
      </c>
      <c r="C25" s="10"/>
      <c r="D25" s="3" t="s">
        <v>279</v>
      </c>
      <c r="E25" s="17" t="s">
        <v>280</v>
      </c>
    </row>
    <row r="26" customFormat="false" ht="15.75" hidden="false" customHeight="true" outlineLevel="0" collapsed="false">
      <c r="A26" s="3" t="s">
        <v>281</v>
      </c>
      <c r="B26" s="3" t="s">
        <v>282</v>
      </c>
      <c r="C26" s="9" t="s">
        <v>95</v>
      </c>
      <c r="D26" s="3" t="s">
        <v>222</v>
      </c>
      <c r="E26" s="17" t="s">
        <v>284</v>
      </c>
    </row>
    <row r="27" customFormat="false" ht="15.75" hidden="false" customHeight="true" outlineLevel="0" collapsed="false">
      <c r="A27" s="3" t="s">
        <v>285</v>
      </c>
      <c r="B27" s="3" t="s">
        <v>286</v>
      </c>
      <c r="C27" s="10"/>
      <c r="D27" s="3" t="s">
        <v>279</v>
      </c>
      <c r="E27" s="17" t="s">
        <v>288</v>
      </c>
    </row>
    <row r="28" customFormat="false" ht="15.75" hidden="false" customHeight="true" outlineLevel="0" collapsed="false">
      <c r="A28" s="3" t="s">
        <v>289</v>
      </c>
      <c r="B28" s="3" t="s">
        <v>290</v>
      </c>
      <c r="C28" s="9"/>
      <c r="D28" s="3" t="s">
        <v>279</v>
      </c>
      <c r="E28" s="17" t="s">
        <v>291</v>
      </c>
    </row>
    <row r="29" customFormat="false" ht="30" hidden="false" customHeight="true" outlineLevel="0" collapsed="false">
      <c r="A29" s="3" t="s">
        <v>292</v>
      </c>
      <c r="B29" s="3" t="s">
        <v>293</v>
      </c>
      <c r="C29" s="9" t="s">
        <v>564</v>
      </c>
      <c r="D29" s="3" t="s">
        <v>222</v>
      </c>
      <c r="E29" s="17" t="s">
        <v>295</v>
      </c>
    </row>
    <row r="30" customFormat="false" ht="15.75" hidden="false" customHeight="true" outlineLevel="0" collapsed="false">
      <c r="A30" s="3" t="s">
        <v>296</v>
      </c>
      <c r="B30" s="3" t="s">
        <v>297</v>
      </c>
      <c r="C30" s="10"/>
      <c r="D30" s="3" t="s">
        <v>226</v>
      </c>
      <c r="E30" s="17"/>
    </row>
    <row r="31" customFormat="false" ht="15.75" hidden="false" customHeight="true" outlineLevel="0" collapsed="false">
      <c r="A31" s="3" t="s">
        <v>298</v>
      </c>
      <c r="B31" s="3" t="s">
        <v>299</v>
      </c>
      <c r="C31" s="10"/>
      <c r="D31" s="3" t="s">
        <v>226</v>
      </c>
      <c r="E31" s="17" t="s">
        <v>300</v>
      </c>
    </row>
    <row r="32" customFormat="false" ht="30" hidden="false" customHeight="true" outlineLevel="0" collapsed="false">
      <c r="A32" s="3" t="s">
        <v>301</v>
      </c>
      <c r="B32" s="3" t="s">
        <v>302</v>
      </c>
      <c r="C32" s="10"/>
      <c r="D32" s="3" t="s">
        <v>226</v>
      </c>
      <c r="E32" s="17" t="s">
        <v>303</v>
      </c>
    </row>
    <row r="34" customFormat="false" ht="15" hidden="false" customHeight="false" outlineLevel="0" collapsed="false">
      <c r="A34" s="15" t="s">
        <v>304</v>
      </c>
    </row>
    <row r="35" customFormat="false" ht="15" hidden="false" customHeight="false" outlineLevel="0" collapsed="false">
      <c r="A35" s="16" t="s">
        <v>305</v>
      </c>
      <c r="B35" s="16" t="s">
        <v>306</v>
      </c>
      <c r="C35" s="16" t="s">
        <v>217</v>
      </c>
      <c r="D35" s="16" t="s">
        <v>307</v>
      </c>
      <c r="E35" s="16" t="s">
        <v>308</v>
      </c>
    </row>
    <row r="36" customFormat="false" ht="15" hidden="false" customHeight="false" outlineLevel="0" collapsed="false">
      <c r="A36" s="3" t="s">
        <v>309</v>
      </c>
      <c r="B36" s="18" t="s">
        <v>310</v>
      </c>
      <c r="C36" s="19" t="n">
        <v>17000000</v>
      </c>
      <c r="D36" s="18" t="s">
        <v>311</v>
      </c>
      <c r="E36" s="17" t="s">
        <v>312</v>
      </c>
    </row>
    <row r="37" customFormat="false" ht="15" hidden="false" customHeight="false" outlineLevel="0" collapsed="false">
      <c r="A37" s="3" t="s">
        <v>313</v>
      </c>
      <c r="B37" s="18" t="s">
        <v>314</v>
      </c>
      <c r="C37" s="7" t="s">
        <v>565</v>
      </c>
      <c r="D37" s="18" t="s">
        <v>316</v>
      </c>
      <c r="E37" s="17"/>
    </row>
    <row r="38" customFormat="false" ht="15" hidden="false" customHeight="false" outlineLevel="0" collapsed="false">
      <c r="A38" s="3" t="s">
        <v>317</v>
      </c>
      <c r="B38" s="18" t="s">
        <v>318</v>
      </c>
      <c r="C38" s="7" t="s">
        <v>319</v>
      </c>
      <c r="D38" s="18" t="s">
        <v>316</v>
      </c>
      <c r="E38" s="17"/>
    </row>
    <row r="39" customFormat="false" ht="15" hidden="false" customHeight="false" outlineLevel="0" collapsed="false">
      <c r="A39" s="3" t="s">
        <v>320</v>
      </c>
      <c r="B39" s="18" t="s">
        <v>321</v>
      </c>
      <c r="C39" s="7" t="s">
        <v>457</v>
      </c>
      <c r="D39" s="18" t="s">
        <v>316</v>
      </c>
      <c r="E39" s="17" t="s">
        <v>323</v>
      </c>
    </row>
    <row r="40" customFormat="false" ht="15" hidden="false" customHeight="false" outlineLevel="0" collapsed="false">
      <c r="A40" s="3" t="s">
        <v>324</v>
      </c>
      <c r="B40" s="18" t="s">
        <v>325</v>
      </c>
      <c r="C40" s="20" t="n">
        <v>0.0259463782412186</v>
      </c>
      <c r="D40" s="18" t="s">
        <v>326</v>
      </c>
      <c r="E40" s="17" t="s">
        <v>327</v>
      </c>
    </row>
    <row r="41" customFormat="false" ht="22.35" hidden="false" customHeight="false" outlineLevel="0" collapsed="false">
      <c r="A41" s="3" t="s">
        <v>328</v>
      </c>
      <c r="B41" s="18" t="s">
        <v>329</v>
      </c>
      <c r="C41" s="21"/>
      <c r="D41" s="18" t="s">
        <v>326</v>
      </c>
      <c r="E41" s="17" t="s">
        <v>330</v>
      </c>
    </row>
    <row r="42" customFormat="false" ht="22.35" hidden="false" customHeight="false" outlineLevel="0" collapsed="false">
      <c r="A42" s="3" t="s">
        <v>331</v>
      </c>
      <c r="B42" s="18" t="s">
        <v>332</v>
      </c>
      <c r="C42" s="22" t="n">
        <v>0</v>
      </c>
      <c r="D42" s="18" t="s">
        <v>333</v>
      </c>
      <c r="E42" s="17" t="s">
        <v>334</v>
      </c>
    </row>
    <row r="43" customFormat="false" ht="15" hidden="false" customHeight="false" outlineLevel="0" collapsed="false">
      <c r="A43" s="3" t="s">
        <v>335</v>
      </c>
      <c r="B43" s="18" t="s">
        <v>336</v>
      </c>
      <c r="C43" s="22" t="n">
        <v>0.02</v>
      </c>
      <c r="D43" s="18" t="s">
        <v>333</v>
      </c>
      <c r="E43" s="17" t="s">
        <v>262</v>
      </c>
    </row>
    <row r="44" customFormat="false" ht="15" hidden="false" customHeight="false" outlineLevel="0" collapsed="false">
      <c r="A44" s="3" t="s">
        <v>337</v>
      </c>
      <c r="B44" s="18" t="s">
        <v>338</v>
      </c>
      <c r="C44" s="22" t="n">
        <v>0.02</v>
      </c>
      <c r="D44" s="18" t="s">
        <v>333</v>
      </c>
      <c r="E44" s="17" t="s">
        <v>265</v>
      </c>
    </row>
    <row r="45" customFormat="false" ht="15" hidden="false" customHeight="false" outlineLevel="0" collapsed="false">
      <c r="A45" s="3" t="s">
        <v>339</v>
      </c>
      <c r="B45" s="18" t="s">
        <v>340</v>
      </c>
      <c r="C45" s="22" t="n">
        <v>0</v>
      </c>
      <c r="D45" s="18" t="s">
        <v>333</v>
      </c>
      <c r="E45" s="17" t="s">
        <v>267</v>
      </c>
    </row>
    <row r="46" customFormat="false" ht="15" hidden="false" customHeight="false" outlineLevel="0" collapsed="false">
      <c r="A46" s="3" t="s">
        <v>254</v>
      </c>
      <c r="B46" s="18" t="s">
        <v>341</v>
      </c>
      <c r="C46" s="7" t="s">
        <v>256</v>
      </c>
      <c r="D46" s="18" t="s">
        <v>316</v>
      </c>
      <c r="E46" s="17" t="s">
        <v>342</v>
      </c>
    </row>
    <row r="47" customFormat="false" ht="15" hidden="false" customHeight="false" outlineLevel="0" collapsed="false">
      <c r="A47" s="3" t="s">
        <v>244</v>
      </c>
      <c r="B47" s="18" t="s">
        <v>343</v>
      </c>
      <c r="C47" s="7" t="s">
        <v>94</v>
      </c>
      <c r="D47" s="18" t="s">
        <v>316</v>
      </c>
      <c r="E47" s="17" t="s">
        <v>344</v>
      </c>
    </row>
    <row r="48" customFormat="false" ht="15" hidden="false" customHeight="false" outlineLevel="0" collapsed="false">
      <c r="A48" s="3" t="s">
        <v>250</v>
      </c>
      <c r="B48" s="18" t="s">
        <v>345</v>
      </c>
      <c r="C48" s="7" t="s">
        <v>252</v>
      </c>
      <c r="D48" s="18" t="s">
        <v>316</v>
      </c>
      <c r="E48" s="17" t="s">
        <v>346</v>
      </c>
    </row>
    <row r="49" customFormat="false" ht="15" hidden="false" customHeight="false" outlineLevel="0" collapsed="false">
      <c r="A49" s="3" t="s">
        <v>347</v>
      </c>
      <c r="B49" s="18" t="s">
        <v>348</v>
      </c>
      <c r="C49" s="7" t="s">
        <v>349</v>
      </c>
      <c r="D49" s="18" t="s">
        <v>316</v>
      </c>
      <c r="E49" s="17" t="s">
        <v>350</v>
      </c>
    </row>
    <row r="50" customFormat="false" ht="15" hidden="false" customHeight="false" outlineLevel="0" collapsed="false">
      <c r="A50" s="3" t="s">
        <v>351</v>
      </c>
      <c r="B50" s="18" t="s">
        <v>352</v>
      </c>
      <c r="C50" s="19" t="n">
        <v>1</v>
      </c>
      <c r="D50" s="18" t="s">
        <v>311</v>
      </c>
      <c r="E50" s="17" t="s">
        <v>353</v>
      </c>
    </row>
    <row r="51" customFormat="false" ht="15" hidden="false" customHeight="false" outlineLevel="0" collapsed="false">
      <c r="A51" s="3" t="s">
        <v>354</v>
      </c>
      <c r="B51" s="18" t="s">
        <v>355</v>
      </c>
      <c r="C51" s="22" t="n">
        <v>0.005</v>
      </c>
      <c r="D51" s="18" t="s">
        <v>333</v>
      </c>
      <c r="E51" s="17" t="s">
        <v>275</v>
      </c>
    </row>
    <row r="52" customFormat="false" ht="15" hidden="false" customHeight="false" outlineLevel="0" collapsed="false">
      <c r="A52" s="3" t="s">
        <v>356</v>
      </c>
      <c r="B52" s="18" t="s">
        <v>357</v>
      </c>
      <c r="C52" s="23"/>
      <c r="D52" s="18" t="s">
        <v>333</v>
      </c>
      <c r="E52" s="17" t="s">
        <v>358</v>
      </c>
    </row>
    <row r="53" customFormat="false" ht="15" hidden="false" customHeight="false" outlineLevel="0" collapsed="false">
      <c r="A53" s="3" t="s">
        <v>281</v>
      </c>
      <c r="B53" s="18" t="s">
        <v>359</v>
      </c>
      <c r="C53" s="7" t="s">
        <v>458</v>
      </c>
      <c r="D53" s="18" t="s">
        <v>316</v>
      </c>
      <c r="E53" s="17" t="s">
        <v>361</v>
      </c>
    </row>
    <row r="54" customFormat="false" ht="15" hidden="false" customHeight="false" outlineLevel="0" collapsed="false">
      <c r="A54" s="3" t="s">
        <v>285</v>
      </c>
      <c r="B54" s="18" t="s">
        <v>360</v>
      </c>
      <c r="C54" s="22" t="n">
        <v>0</v>
      </c>
      <c r="D54" s="18" t="s">
        <v>333</v>
      </c>
      <c r="E54" s="17" t="s">
        <v>362</v>
      </c>
    </row>
    <row r="55" customFormat="false" ht="15" hidden="false" customHeight="false" outlineLevel="0" collapsed="false">
      <c r="A55" s="3" t="s">
        <v>363</v>
      </c>
      <c r="B55" s="18" t="s">
        <v>364</v>
      </c>
      <c r="C55" s="22" t="n">
        <v>0</v>
      </c>
      <c r="D55" s="18" t="s">
        <v>333</v>
      </c>
      <c r="E55" s="17" t="s">
        <v>365</v>
      </c>
    </row>
    <row r="57" customFormat="false" ht="15" hidden="false" customHeight="false" outlineLevel="0" collapsed="false">
      <c r="A57" s="15" t="s">
        <v>366</v>
      </c>
    </row>
    <row r="58" customFormat="false" ht="15" hidden="false" customHeight="false" outlineLevel="0" collapsed="false">
      <c r="A58" s="16" t="s">
        <v>367</v>
      </c>
      <c r="B58" s="16" t="s">
        <v>368</v>
      </c>
      <c r="C58" s="16" t="s">
        <v>217</v>
      </c>
      <c r="D58" s="16"/>
      <c r="E58" s="16" t="s">
        <v>369</v>
      </c>
    </row>
    <row r="59" customFormat="false" ht="22.35" hidden="false" customHeight="false" outlineLevel="0" collapsed="false">
      <c r="A59" s="3" t="s">
        <v>370</v>
      </c>
      <c r="B59" s="17" t="s">
        <v>371</v>
      </c>
      <c r="C59" s="24" t="n">
        <f aca="false">IF($C$46="market",$C$40,$C$41)</f>
        <v>0.0259463782412186</v>
      </c>
      <c r="E59" s="17" t="s">
        <v>372</v>
      </c>
    </row>
    <row r="60" customFormat="false" ht="32.8" hidden="false" customHeight="false" outlineLevel="0" collapsed="false">
      <c r="A60" s="3" t="s">
        <v>373</v>
      </c>
      <c r="B60" s="17" t="s">
        <v>374</v>
      </c>
      <c r="C60" s="24" t="n">
        <f aca="false">IF($C$48="in_per_out",$C$59/(1+$C$44),$C$59*(1-$C$44))</f>
        <v>0.0254274506763942</v>
      </c>
      <c r="E60" s="17" t="s">
        <v>375</v>
      </c>
    </row>
    <row r="61" customFormat="false" ht="23.85" hidden="false" customHeight="false" outlineLevel="0" collapsed="false">
      <c r="A61" s="3" t="s">
        <v>376</v>
      </c>
      <c r="B61" s="17" t="s">
        <v>377</v>
      </c>
      <c r="C61" s="25" t="n">
        <f aca="false">$C$36*$C$60</f>
        <v>432266.661498702</v>
      </c>
      <c r="E61" s="17" t="s">
        <v>378</v>
      </c>
    </row>
    <row r="62" customFormat="false" ht="15" hidden="false" customHeight="false" outlineLevel="0" collapsed="false">
      <c r="A62" s="3" t="s">
        <v>379</v>
      </c>
      <c r="B62" s="17" t="s">
        <v>380</v>
      </c>
      <c r="C62" s="25" t="n">
        <f aca="false">$C$61*$C$45</f>
        <v>0</v>
      </c>
      <c r="E62" s="17" t="s">
        <v>378</v>
      </c>
    </row>
    <row r="63" customFormat="false" ht="15" hidden="false" customHeight="false" outlineLevel="0" collapsed="false">
      <c r="A63" s="3" t="s">
        <v>381</v>
      </c>
      <c r="B63" s="17" t="s">
        <v>382</v>
      </c>
      <c r="C63" s="25" t="n">
        <f aca="false">$C$61-$C$62</f>
        <v>432266.661498702</v>
      </c>
      <c r="E63" s="17" t="s">
        <v>383</v>
      </c>
    </row>
    <row r="64" customFormat="false" ht="32.8" hidden="false" customHeight="false" outlineLevel="0" collapsed="false">
      <c r="A64" s="3" t="s">
        <v>384</v>
      </c>
      <c r="B64" s="17" t="s">
        <v>385</v>
      </c>
      <c r="C64" s="25" t="n">
        <f aca="false">IF($C$47="own_desk",$C$36*$C$40,IF($C$47="market_plus_pct",$C$36*$C$40*(1-$C$42),$C$36*$C$41))</f>
        <v>0</v>
      </c>
      <c r="E64" s="17" t="s">
        <v>386</v>
      </c>
    </row>
    <row r="65" customFormat="false" ht="22.35" hidden="false" customHeight="false" outlineLevel="0" collapsed="false">
      <c r="A65" s="3" t="s">
        <v>387</v>
      </c>
      <c r="B65" s="17" t="s">
        <v>388</v>
      </c>
      <c r="C65" s="25" t="n">
        <f aca="false">$C$36*$C$40-$C$64</f>
        <v>441088.430100716</v>
      </c>
      <c r="E65" s="17" t="s">
        <v>383</v>
      </c>
    </row>
    <row r="66" customFormat="false" ht="15" hidden="false" customHeight="false" outlineLevel="0" collapsed="false">
      <c r="A66" s="3" t="s">
        <v>389</v>
      </c>
      <c r="B66" s="17" t="s">
        <v>390</v>
      </c>
      <c r="C66" s="25" t="n">
        <f aca="false">$C$64-$C$63</f>
        <v>-432266.661498702</v>
      </c>
      <c r="E66" s="17" t="s">
        <v>391</v>
      </c>
    </row>
    <row r="67" customFormat="false" ht="15" hidden="false" customHeight="false" outlineLevel="0" collapsed="false">
      <c r="A67" s="3" t="s">
        <v>392</v>
      </c>
      <c r="B67" s="17" t="s">
        <v>393</v>
      </c>
      <c r="C67" s="26" t="n">
        <f aca="false">IF($C$36*$C$40=0,0,$C$66/($C$36*$C$40))</f>
        <v>-0.98</v>
      </c>
      <c r="E67" s="17" t="s">
        <v>383</v>
      </c>
    </row>
    <row r="68" customFormat="false" ht="22.35" hidden="false" customHeight="false" outlineLevel="0" collapsed="false">
      <c r="A68" s="3" t="s">
        <v>394</v>
      </c>
      <c r="B68" s="17" t="s">
        <v>395</v>
      </c>
      <c r="C68" s="6" t="str">
        <f aca="false">IF($C$67&lt;$C$51,"YES — Finance approval","no")</f>
        <v>YES — Finance approval</v>
      </c>
      <c r="E68" s="17" t="s">
        <v>396</v>
      </c>
    </row>
    <row r="69" customFormat="false" ht="22.35" hidden="false" customHeight="false" outlineLevel="0" collapsed="false">
      <c r="A69" s="3" t="s">
        <v>397</v>
      </c>
      <c r="B69" s="17" t="s">
        <v>398</v>
      </c>
      <c r="C69" s="25" t="n">
        <f aca="false">IF($C$49="round_up_unit",CEILING($C$63,$C$50),IF($C$49="nearest_unit",MROUND($C$63,$C$50),IF($C$49="nearest_n",MROUND($C$63,$C$50),FLOOR($C$63,$C$50))))</f>
        <v>432266</v>
      </c>
      <c r="E69" s="17" t="s">
        <v>399</v>
      </c>
    </row>
    <row r="70" customFormat="false" ht="23.85" hidden="false" customHeight="false" outlineLevel="0" collapsed="false">
      <c r="A70" s="3" t="s">
        <v>400</v>
      </c>
      <c r="B70" s="17" t="s">
        <v>401</v>
      </c>
      <c r="C70" s="25" t="n">
        <f aca="false">$C$63-$C$69</f>
        <v>0.661498701840174</v>
      </c>
      <c r="E70" s="17" t="s">
        <v>402</v>
      </c>
    </row>
    <row r="71" customFormat="false" ht="22.35" hidden="false" customHeight="false" outlineLevel="0" collapsed="false">
      <c r="A71" s="3" t="s">
        <v>403</v>
      </c>
      <c r="B71" s="17" t="s">
        <v>404</v>
      </c>
      <c r="C71" s="24" t="n">
        <f aca="false">IF($C$52="",$C$59,$C$60/(1-$C$52))</f>
        <v>0.0259463782412186</v>
      </c>
      <c r="E71" s="17" t="s">
        <v>358</v>
      </c>
    </row>
    <row r="72" customFormat="false" ht="15" hidden="false" customHeight="false" outlineLevel="0" collapsed="false">
      <c r="A72" s="3" t="s">
        <v>405</v>
      </c>
      <c r="B72" s="17" t="s">
        <v>406</v>
      </c>
      <c r="C72" s="25" t="n">
        <f aca="false">IF($C$53="rebate",$C$65*$C$54,0)</f>
        <v>0</v>
      </c>
      <c r="E72" s="17" t="s">
        <v>407</v>
      </c>
    </row>
    <row r="73" customFormat="false" ht="15" hidden="false" customHeight="false" outlineLevel="0" collapsed="false">
      <c r="A73" s="3" t="s">
        <v>408</v>
      </c>
      <c r="B73" s="17" t="s">
        <v>409</v>
      </c>
      <c r="C73" s="25" t="n">
        <f aca="false">$C$36*$C$40*$C$55</f>
        <v>0</v>
      </c>
      <c r="E73" s="17" t="s">
        <v>410</v>
      </c>
    </row>
    <row r="74" customFormat="false" ht="23.85" hidden="false" customHeight="false" outlineLevel="0" collapsed="false">
      <c r="A74" s="3" t="s">
        <v>411</v>
      </c>
      <c r="B74" s="17" t="s">
        <v>412</v>
      </c>
      <c r="C74" s="25" t="n">
        <f aca="false">ROUND($C$63+$C$65+$C$66-$C$36*$C$40,6)</f>
        <v>0</v>
      </c>
      <c r="E74" s="17" t="s">
        <v>413</v>
      </c>
    </row>
    <row r="76" customFormat="false" ht="15" hidden="false" customHeight="false" outlineLevel="0" collapsed="false">
      <c r="A76" s="15" t="s">
        <v>414</v>
      </c>
    </row>
    <row r="77" customFormat="false" ht="15" hidden="false" customHeight="false" outlineLevel="0" collapsed="false">
      <c r="A77" s="16" t="s">
        <v>415</v>
      </c>
      <c r="B77" s="16" t="s">
        <v>416</v>
      </c>
      <c r="C77" s="16" t="s">
        <v>417</v>
      </c>
      <c r="D77" s="16" t="s">
        <v>418</v>
      </c>
      <c r="E77" s="16" t="s">
        <v>419</v>
      </c>
    </row>
    <row r="78" customFormat="false" ht="15" hidden="false" customHeight="false" outlineLevel="0" collapsed="false">
      <c r="A78" s="6" t="str">
        <f aca="false">"CL."&amp;$C$39&amp;"."&amp;$C$37&amp;".COLLECTED"</f>
        <v>CL.ALI.THB.COLLECTED</v>
      </c>
      <c r="B78" s="6" t="s">
        <v>420</v>
      </c>
      <c r="C78" s="25" t="n">
        <f aca="false">$C$36</f>
        <v>17000000</v>
      </c>
      <c r="D78" s="18" t="s">
        <v>421</v>
      </c>
      <c r="E78" s="18" t="s">
        <v>422</v>
      </c>
    </row>
    <row r="79" customFormat="false" ht="15" hidden="false" customHeight="false" outlineLevel="0" collapsed="false">
      <c r="A79" s="6" t="str">
        <f aca="false">"CL.PROJECT."&amp;$C$37&amp;".PAYABLE"</f>
        <v>CL.PROJECT.THB.PAYABLE</v>
      </c>
      <c r="B79" s="6" t="s">
        <v>423</v>
      </c>
      <c r="C79" s="25" t="n">
        <f aca="false">$C$36</f>
        <v>17000000</v>
      </c>
      <c r="D79" s="18" t="s">
        <v>421</v>
      </c>
      <c r="E79" s="18" t="s">
        <v>422</v>
      </c>
    </row>
    <row r="80" customFormat="false" ht="15" hidden="false" customHeight="false" outlineLevel="0" collapsed="false">
      <c r="A80" s="6" t="str">
        <f aca="false">"CL.PROJECT."&amp;$C$37&amp;".PAYABLE"</f>
        <v>CL.PROJECT.THB.PAYABLE</v>
      </c>
      <c r="B80" s="6" t="s">
        <v>420</v>
      </c>
      <c r="C80" s="25" t="n">
        <f aca="false">$C$36</f>
        <v>17000000</v>
      </c>
      <c r="D80" s="18" t="s">
        <v>421</v>
      </c>
      <c r="E80" s="18" t="s">
        <v>424</v>
      </c>
    </row>
    <row r="81" customFormat="false" ht="15" hidden="false" customHeight="false" outlineLevel="0" collapsed="false">
      <c r="A81" s="6" t="str">
        <f aca="false">"CL."&amp;$C$39&amp;"."&amp;$C$37&amp;".COLLECTED"</f>
        <v>CL.ALI.THB.COLLECTED</v>
      </c>
      <c r="B81" s="6" t="s">
        <v>423</v>
      </c>
      <c r="C81" s="25" t="n">
        <f aca="false">$C$36</f>
        <v>17000000</v>
      </c>
      <c r="D81" s="18" t="s">
        <v>421</v>
      </c>
      <c r="E81" s="18" t="s">
        <v>424</v>
      </c>
    </row>
    <row r="82" customFormat="false" ht="15" hidden="false" customHeight="false" outlineLevel="0" collapsed="false">
      <c r="A82" s="6" t="str">
        <f aca="false">"CL."&amp;$C$39&amp;"."&amp;$C$38&amp;".DUE"</f>
        <v>CL.ALI.EUR.DUE</v>
      </c>
      <c r="B82" s="6" t="s">
        <v>420</v>
      </c>
      <c r="C82" s="25" t="n">
        <f aca="false">$C$63</f>
        <v>432266.661498702</v>
      </c>
      <c r="D82" s="18" t="s">
        <v>425</v>
      </c>
      <c r="E82" s="18" t="s">
        <v>426</v>
      </c>
    </row>
    <row r="83" customFormat="false" ht="15" hidden="false" customHeight="false" outlineLevel="0" collapsed="false">
      <c r="A83" s="6" t="str">
        <f aca="false">"CO."&amp;$C$39&amp;"."&amp;$C$38&amp;".POOL"</f>
        <v>CO.ALI.EUR.POOL</v>
      </c>
      <c r="B83" s="6" t="s">
        <v>420</v>
      </c>
      <c r="C83" s="25" t="n">
        <f aca="false">IF($C$53="rebate",0,$C$66)</f>
        <v>-432266.661498702</v>
      </c>
      <c r="D83" s="18" t="s">
        <v>427</v>
      </c>
      <c r="E83" s="18" t="s">
        <v>428</v>
      </c>
    </row>
    <row r="84" customFormat="false" ht="15" hidden="false" customHeight="false" outlineLevel="0" collapsed="false">
      <c r="A84" s="6" t="str">
        <f aca="false">"CO."&amp;$C$39&amp;"."&amp;$C$38&amp;".REBATE_RECEIVABLE"</f>
        <v>CO.ALI.EUR.REBATE_RECEIVABLE</v>
      </c>
      <c r="B84" s="6" t="s">
        <v>420</v>
      </c>
      <c r="C84" s="25" t="n">
        <f aca="false">$C$72</f>
        <v>0</v>
      </c>
      <c r="D84" s="18" t="s">
        <v>427</v>
      </c>
      <c r="E84" s="18" t="s">
        <v>429</v>
      </c>
    </row>
    <row r="85" customFormat="false" ht="15" hidden="false" customHeight="false" outlineLevel="0" collapsed="false">
      <c r="A85" s="6" t="str">
        <f aca="false">"CL.PROJECT."&amp;$C$38&amp;".PAYABLE"</f>
        <v>CL.PROJECT.EUR.PAYABLE</v>
      </c>
      <c r="B85" s="6" t="s">
        <v>423</v>
      </c>
      <c r="C85" s="25" t="n">
        <f aca="false">$C$63</f>
        <v>432266.661498702</v>
      </c>
      <c r="D85" s="18" t="s">
        <v>421</v>
      </c>
      <c r="E85" s="18" t="s">
        <v>426</v>
      </c>
    </row>
    <row r="86" customFormat="false" ht="15" hidden="false" customHeight="false" outlineLevel="0" collapsed="false">
      <c r="A86" s="6" t="str">
        <f aca="false">"CO.NONE."&amp;$C$38&amp;".EARN_GROSS"</f>
        <v>CO.NONE.EUR.EARN_GROSS</v>
      </c>
      <c r="B86" s="6" t="s">
        <v>423</v>
      </c>
      <c r="C86" s="25" t="n">
        <f aca="false">$C$66+$C$72</f>
        <v>-432266.661498702</v>
      </c>
      <c r="D86" s="18" t="s">
        <v>427</v>
      </c>
      <c r="E86" s="18" t="s">
        <v>430</v>
      </c>
    </row>
    <row r="87" customFormat="false" ht="15" hidden="false" customHeight="false" outlineLevel="0" collapsed="false">
      <c r="A87" s="6" t="str">
        <f aca="false">"CL."&amp;$C$39&amp;"."&amp;$C$38&amp;".INTRANSIT"</f>
        <v>CL.ALI.EUR.INTRANSIT</v>
      </c>
      <c r="B87" s="6" t="s">
        <v>420</v>
      </c>
      <c r="C87" s="25" t="n">
        <f aca="false">$C$69</f>
        <v>432266</v>
      </c>
      <c r="D87" s="18" t="s">
        <v>421</v>
      </c>
      <c r="E87" s="18" t="s">
        <v>431</v>
      </c>
    </row>
    <row r="88" customFormat="false" ht="15" hidden="false" customHeight="false" outlineLevel="0" collapsed="false">
      <c r="A88" s="6" t="str">
        <f aca="false">"CL."&amp;$C$39&amp;"."&amp;$C$38&amp;".DUE"</f>
        <v>CL.ALI.EUR.DUE</v>
      </c>
      <c r="B88" s="6" t="s">
        <v>423</v>
      </c>
      <c r="C88" s="25" t="n">
        <f aca="false">$C$69</f>
        <v>432266</v>
      </c>
      <c r="D88" s="18" t="s">
        <v>421</v>
      </c>
      <c r="E88" s="18" t="s">
        <v>432</v>
      </c>
    </row>
    <row r="89" customFormat="false" ht="15" hidden="false" customHeight="false" outlineLevel="0" collapsed="false">
      <c r="A89" s="6" t="str">
        <f aca="false">"CL.PROJECT."&amp;$C$38&amp;".PAYABLE"</f>
        <v>CL.PROJECT.EUR.PAYABLE</v>
      </c>
      <c r="B89" s="6" t="s">
        <v>420</v>
      </c>
      <c r="C89" s="25" t="n">
        <f aca="false">$C$69</f>
        <v>432266</v>
      </c>
      <c r="D89" s="18" t="s">
        <v>421</v>
      </c>
      <c r="E89" s="18" t="s">
        <v>433</v>
      </c>
    </row>
    <row r="90" customFormat="false" ht="15" hidden="false" customHeight="false" outlineLevel="0" collapsed="false">
      <c r="A90" s="6" t="str">
        <f aca="false">"CL."&amp;$C$39&amp;"."&amp;$C$38&amp;".INTRANSIT"</f>
        <v>CL.ALI.EUR.INTRANSIT</v>
      </c>
      <c r="B90" s="6" t="s">
        <v>423</v>
      </c>
      <c r="C90" s="25" t="n">
        <f aca="false">$C$69</f>
        <v>432266</v>
      </c>
      <c r="D90" s="18" t="s">
        <v>421</v>
      </c>
      <c r="E90" s="18" t="s">
        <v>433</v>
      </c>
    </row>
    <row r="91" customFormat="false" ht="15" hidden="false" customHeight="false" outlineLevel="0" collapsed="false">
      <c r="A91" s="6" t="str">
        <f aca="false">"CO.NONE."&amp;$C$38&amp;".EARN_GROSS"</f>
        <v>CO.NONE.EUR.EARN_GROSS</v>
      </c>
      <c r="B91" s="6" t="s">
        <v>420</v>
      </c>
      <c r="C91" s="25" t="n">
        <f aca="false">$C$73</f>
        <v>0</v>
      </c>
      <c r="D91" s="18" t="s">
        <v>434</v>
      </c>
      <c r="E91" s="18" t="s">
        <v>435</v>
      </c>
    </row>
    <row r="92" customFormat="false" ht="15" hidden="false" customHeight="false" outlineLevel="0" collapsed="false">
      <c r="A92" s="6" t="str">
        <f aca="false">"CO.INTRODUCER."&amp;$C$38&amp;".REFERRAL_PAYABLE"</f>
        <v>CO.INTRODUCER.EUR.REFERRAL_PAYABLE</v>
      </c>
      <c r="B92" s="6" t="s">
        <v>423</v>
      </c>
      <c r="C92" s="25" t="n">
        <f aca="false">$C$73</f>
        <v>0</v>
      </c>
      <c r="D92" s="18" t="s">
        <v>434</v>
      </c>
      <c r="E92" s="18" t="s">
        <v>436</v>
      </c>
    </row>
    <row r="93" customFormat="false" ht="30" hidden="false" customHeight="true" outlineLevel="0" collapsed="false">
      <c r="A93" s="27" t="s">
        <v>437</v>
      </c>
      <c r="C93" s="28" t="n">
        <f aca="false">ROUND(SUMIF($B$82:$B$92,"Dr",$C$82:$C$92)-SUMIF($B$82:$B$92,"Cr",$C$82:$C$92),6)</f>
        <v>0</v>
      </c>
      <c r="E93" s="17" t="s">
        <v>438</v>
      </c>
    </row>
    <row r="95" customFormat="false" ht="15" hidden="false" customHeight="false" outlineLevel="0" collapsed="false">
      <c r="A95" s="15" t="s">
        <v>439</v>
      </c>
    </row>
    <row r="96" customFormat="false" ht="15" hidden="false" customHeight="false" outlineLevel="0" collapsed="false">
      <c r="A96" s="16" t="s">
        <v>440</v>
      </c>
      <c r="B96" s="16" t="s">
        <v>441</v>
      </c>
      <c r="C96" s="16" t="s">
        <v>442</v>
      </c>
      <c r="D96" s="16" t="s">
        <v>443</v>
      </c>
      <c r="E96" s="16" t="s">
        <v>444</v>
      </c>
    </row>
    <row r="97" customFormat="false" ht="30" hidden="false" customHeight="true" outlineLevel="0" collapsed="false">
      <c r="A97" s="3" t="s">
        <v>566</v>
      </c>
      <c r="B97" s="19" t="n">
        <v>432267</v>
      </c>
      <c r="C97" s="25" t="n">
        <f aca="false">$C$61</f>
        <v>432266.661498702</v>
      </c>
      <c r="D97" s="28" t="n">
        <f aca="false">ROUND(C97-B97,2)</f>
        <v>-0.34</v>
      </c>
      <c r="E97" s="17" t="s">
        <v>567</v>
      </c>
    </row>
    <row r="99" customFormat="false" ht="15" hidden="false" customHeight="false" outlineLevel="0" collapsed="false">
      <c r="A99" s="15" t="s">
        <v>568</v>
      </c>
    </row>
    <row r="100" customFormat="false" ht="15" hidden="false" customHeight="false" outlineLevel="0" collapsed="false">
      <c r="A100" s="16" t="s">
        <v>367</v>
      </c>
      <c r="B100" s="16"/>
      <c r="C100" s="16" t="s">
        <v>217</v>
      </c>
      <c r="D100" s="16"/>
      <c r="E100" s="16" t="s">
        <v>218</v>
      </c>
    </row>
    <row r="101" customFormat="false" ht="15" hidden="false" customHeight="false" outlineLevel="0" collapsed="false">
      <c r="A101" s="6" t="s">
        <v>569</v>
      </c>
      <c r="C101" s="20" t="n">
        <v>33.613</v>
      </c>
      <c r="E101" s="18" t="s">
        <v>570</v>
      </c>
    </row>
    <row r="102" customFormat="false" ht="15" hidden="false" customHeight="false" outlineLevel="0" collapsed="false">
      <c r="A102" s="6" t="s">
        <v>571</v>
      </c>
      <c r="C102" s="20" t="n">
        <v>33.83</v>
      </c>
      <c r="E102" s="18" t="s">
        <v>572</v>
      </c>
    </row>
    <row r="103" customFormat="false" ht="15" hidden="false" customHeight="false" outlineLevel="0" collapsed="false">
      <c r="A103" s="6" t="s">
        <v>573</v>
      </c>
      <c r="C103" s="25" t="n">
        <f aca="false">ROUND($C$36/$C$102,2)</f>
        <v>502512.56</v>
      </c>
      <c r="E103" s="18" t="s">
        <v>574</v>
      </c>
    </row>
    <row r="104" customFormat="false" ht="15" hidden="false" customHeight="false" outlineLevel="0" collapsed="false">
      <c r="A104" s="6" t="s">
        <v>575</v>
      </c>
      <c r="C104" s="26" t="n">
        <f aca="false">1-$C$101/$C$102</f>
        <v>0.00641442506650902</v>
      </c>
      <c r="E104" s="18" t="s">
        <v>576</v>
      </c>
    </row>
    <row r="105" customFormat="false" ht="30" hidden="false" customHeight="true" outlineLevel="0" collapsed="false">
      <c r="A105" s="6" t="s">
        <v>577</v>
      </c>
      <c r="C105" s="30"/>
      <c r="E105" s="17" t="s">
        <v>578</v>
      </c>
    </row>
    <row r="106" customFormat="false" ht="22.35" hidden="false" customHeight="false" outlineLevel="0" collapsed="false">
      <c r="A106" s="4" t="s">
        <v>579</v>
      </c>
      <c r="C106" s="28" t="str">
        <f aca="false">IF($C$105="","",ROUND($C$105-$C$61,2))</f>
        <v/>
      </c>
      <c r="E106" s="17" t="s">
        <v>580</v>
      </c>
    </row>
    <row r="108" customFormat="false" ht="15" hidden="false" customHeight="false" outlineLevel="0" collapsed="false">
      <c r="A108" s="15" t="s">
        <v>447</v>
      </c>
    </row>
    <row r="109" customFormat="false" ht="31.5" hidden="false" customHeight="true" outlineLevel="0" collapsed="false">
      <c r="A109" s="13" t="s">
        <v>448</v>
      </c>
      <c r="B109" s="29" t="s">
        <v>581</v>
      </c>
      <c r="C109" s="29"/>
      <c r="D109" s="29"/>
      <c r="E109" s="29"/>
    </row>
    <row r="110" customFormat="false" ht="31.5" hidden="false" customHeight="true" outlineLevel="0" collapsed="false">
      <c r="A110" s="13" t="s">
        <v>448</v>
      </c>
      <c r="B110" s="29" t="s">
        <v>582</v>
      </c>
      <c r="C110" s="29"/>
      <c r="D110" s="29"/>
      <c r="E110" s="29"/>
    </row>
    <row r="111" customFormat="false" ht="31.5" hidden="false" customHeight="true" outlineLevel="0" collapsed="false">
      <c r="A111" s="13" t="s">
        <v>448</v>
      </c>
      <c r="B111" s="29" t="s">
        <v>583</v>
      </c>
      <c r="C111" s="29"/>
      <c r="D111" s="29"/>
      <c r="E111" s="29"/>
    </row>
  </sheetData>
  <mergeCells count="3">
    <mergeCell ref="B109:E109"/>
    <mergeCell ref="B110:E110"/>
    <mergeCell ref="B111:E11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1" style="0" width="34"/>
    <col collapsed="false" customWidth="true" hidden="false" outlineLevel="0" max="3" min="3" style="0" width="22"/>
    <col collapsed="false" customWidth="true" hidden="false" outlineLevel="0" max="4" min="4" style="0" width="18"/>
    <col collapsed="false" customWidth="true" hidden="false" outlineLevel="0" max="5" min="5" style="0" width="48"/>
  </cols>
  <sheetData>
    <row r="1" customFormat="false" ht="16.15" hidden="false" customHeight="false" outlineLevel="0" collapsed="false">
      <c r="A1" s="1" t="s">
        <v>584</v>
      </c>
    </row>
    <row r="2" customFormat="false" ht="15" hidden="false" customHeight="false" outlineLevel="0" collapsed="false">
      <c r="A2" s="12" t="s">
        <v>210</v>
      </c>
      <c r="B2" s="13" t="s">
        <v>585</v>
      </c>
    </row>
    <row r="3" customFormat="false" ht="30" hidden="false" customHeight="true" outlineLevel="0" collapsed="false">
      <c r="A3" s="12" t="s">
        <v>212</v>
      </c>
      <c r="B3" s="14" t="s">
        <v>586</v>
      </c>
    </row>
    <row r="5" customFormat="false" ht="15" hidden="false" customHeight="false" outlineLevel="0" collapsed="false">
      <c r="A5" s="15" t="s">
        <v>214</v>
      </c>
    </row>
    <row r="6" customFormat="false" ht="15" hidden="false" customHeight="false" outlineLevel="0" collapsed="false">
      <c r="A6" s="16" t="s">
        <v>215</v>
      </c>
      <c r="B6" s="16" t="s">
        <v>216</v>
      </c>
      <c r="C6" s="16" t="s">
        <v>217</v>
      </c>
      <c r="D6" s="16" t="s">
        <v>218</v>
      </c>
      <c r="E6" s="16" t="s">
        <v>219</v>
      </c>
    </row>
    <row r="7" customFormat="false" ht="30" hidden="false" customHeight="true" outlineLevel="0" collapsed="false">
      <c r="A7" s="3" t="s">
        <v>220</v>
      </c>
      <c r="B7" s="3" t="s">
        <v>221</v>
      </c>
      <c r="C7" s="9" t="s">
        <v>587</v>
      </c>
      <c r="D7" s="3" t="s">
        <v>222</v>
      </c>
      <c r="E7" s="17" t="s">
        <v>223</v>
      </c>
    </row>
    <row r="8" customFormat="false" ht="30" hidden="false" customHeight="true" outlineLevel="0" collapsed="false">
      <c r="A8" s="3" t="s">
        <v>224</v>
      </c>
      <c r="B8" s="3" t="s">
        <v>225</v>
      </c>
      <c r="C8" s="10"/>
      <c r="D8" s="3" t="s">
        <v>226</v>
      </c>
      <c r="E8" s="17" t="s">
        <v>227</v>
      </c>
    </row>
    <row r="9" customFormat="false" ht="30" hidden="false" customHeight="true" outlineLevel="0" collapsed="false">
      <c r="A9" s="3" t="s">
        <v>228</v>
      </c>
      <c r="B9" s="3" t="s">
        <v>229</v>
      </c>
      <c r="C9" s="9" t="s">
        <v>588</v>
      </c>
      <c r="D9" s="3" t="s">
        <v>222</v>
      </c>
      <c r="E9" s="17" t="s">
        <v>230</v>
      </c>
    </row>
    <row r="10" customFormat="false" ht="30" hidden="false" customHeight="true" outlineLevel="0" collapsed="false">
      <c r="A10" s="3" t="s">
        <v>231</v>
      </c>
      <c r="B10" s="3" t="s">
        <v>232</v>
      </c>
      <c r="C10" s="9" t="s">
        <v>589</v>
      </c>
      <c r="D10" s="3" t="s">
        <v>222</v>
      </c>
      <c r="E10" s="17" t="s">
        <v>233</v>
      </c>
    </row>
    <row r="11" customFormat="false" ht="15.75" hidden="false" customHeight="true" outlineLevel="0" collapsed="false">
      <c r="A11" s="3" t="s">
        <v>234</v>
      </c>
      <c r="B11" s="3" t="s">
        <v>235</v>
      </c>
      <c r="C11" s="9" t="s">
        <v>482</v>
      </c>
      <c r="D11" s="3" t="s">
        <v>222</v>
      </c>
      <c r="E11" s="17" t="s">
        <v>237</v>
      </c>
    </row>
    <row r="12" customFormat="false" ht="30" hidden="false" customHeight="true" outlineLevel="0" collapsed="false">
      <c r="A12" s="3" t="s">
        <v>238</v>
      </c>
      <c r="B12" s="3" t="s">
        <v>239</v>
      </c>
      <c r="C12" s="9" t="s">
        <v>590</v>
      </c>
      <c r="D12" s="3" t="s">
        <v>222</v>
      </c>
      <c r="E12" s="17" t="s">
        <v>241</v>
      </c>
    </row>
    <row r="13" customFormat="false" ht="15.75" hidden="false" customHeight="true" outlineLevel="0" collapsed="false">
      <c r="A13" s="3" t="s">
        <v>242</v>
      </c>
      <c r="B13" s="3" t="s">
        <v>243</v>
      </c>
      <c r="C13" s="9" t="s">
        <v>83</v>
      </c>
      <c r="D13" s="3" t="s">
        <v>222</v>
      </c>
      <c r="E13" s="17"/>
    </row>
    <row r="14" customFormat="false" ht="30" hidden="false" customHeight="true" outlineLevel="0" collapsed="false">
      <c r="A14" s="3" t="s">
        <v>244</v>
      </c>
      <c r="B14" s="3" t="s">
        <v>245</v>
      </c>
      <c r="C14" s="9" t="s">
        <v>84</v>
      </c>
      <c r="D14" s="3" t="s">
        <v>222</v>
      </c>
      <c r="E14" s="17" t="s">
        <v>246</v>
      </c>
    </row>
    <row r="15" customFormat="false" ht="15.75" hidden="false" customHeight="true" outlineLevel="0" collapsed="false">
      <c r="A15" s="3" t="s">
        <v>247</v>
      </c>
      <c r="B15" s="3" t="s">
        <v>248</v>
      </c>
      <c r="C15" s="9" t="s">
        <v>591</v>
      </c>
      <c r="D15" s="3" t="s">
        <v>222</v>
      </c>
      <c r="E15" s="17" t="s">
        <v>249</v>
      </c>
    </row>
    <row r="16" customFormat="false" ht="30" hidden="false" customHeight="true" outlineLevel="0" collapsed="false">
      <c r="A16" s="3" t="s">
        <v>250</v>
      </c>
      <c r="B16" s="3" t="s">
        <v>251</v>
      </c>
      <c r="C16" s="9" t="s">
        <v>252</v>
      </c>
      <c r="D16" s="3" t="s">
        <v>222</v>
      </c>
      <c r="E16" s="17" t="s">
        <v>253</v>
      </c>
    </row>
    <row r="17" customFormat="false" ht="30" hidden="false" customHeight="true" outlineLevel="0" collapsed="false">
      <c r="A17" s="3" t="s">
        <v>254</v>
      </c>
      <c r="B17" s="3" t="s">
        <v>255</v>
      </c>
      <c r="C17" s="9" t="s">
        <v>256</v>
      </c>
      <c r="D17" s="3" t="s">
        <v>222</v>
      </c>
      <c r="E17" s="17" t="s">
        <v>257</v>
      </c>
    </row>
    <row r="18" customFormat="false" ht="15.75" hidden="false" customHeight="true" outlineLevel="0" collapsed="false">
      <c r="A18" s="3" t="s">
        <v>258</v>
      </c>
      <c r="B18" s="3" t="s">
        <v>259</v>
      </c>
      <c r="C18" s="9" t="s">
        <v>86</v>
      </c>
      <c r="D18" s="3" t="s">
        <v>222</v>
      </c>
      <c r="E18" s="17" t="s">
        <v>260</v>
      </c>
    </row>
    <row r="19" customFormat="false" ht="15.75" hidden="false" customHeight="true" outlineLevel="0" collapsed="false">
      <c r="A19" s="3" t="s">
        <v>261</v>
      </c>
      <c r="B19" s="3" t="s">
        <v>262</v>
      </c>
      <c r="C19" s="11" t="n">
        <v>0.01</v>
      </c>
      <c r="D19" s="3" t="s">
        <v>222</v>
      </c>
      <c r="E19" s="17" t="s">
        <v>263</v>
      </c>
    </row>
    <row r="20" customFormat="false" ht="15.75" hidden="false" customHeight="true" outlineLevel="0" collapsed="false">
      <c r="A20" s="3" t="s">
        <v>264</v>
      </c>
      <c r="B20" s="3" t="s">
        <v>265</v>
      </c>
      <c r="C20" s="11" t="n">
        <v>0.01</v>
      </c>
      <c r="D20" s="3" t="s">
        <v>222</v>
      </c>
      <c r="E20" s="17"/>
    </row>
    <row r="21" customFormat="false" ht="30" hidden="false" customHeight="true" outlineLevel="0" collapsed="false">
      <c r="A21" s="3" t="s">
        <v>266</v>
      </c>
      <c r="B21" s="3" t="s">
        <v>267</v>
      </c>
      <c r="C21" s="11" t="n">
        <v>0</v>
      </c>
      <c r="D21" s="3" t="s">
        <v>222</v>
      </c>
      <c r="E21" s="17" t="s">
        <v>268</v>
      </c>
    </row>
    <row r="22" customFormat="false" ht="15.75" hidden="false" customHeight="true" outlineLevel="0" collapsed="false">
      <c r="A22" s="3" t="s">
        <v>269</v>
      </c>
      <c r="B22" s="3" t="s">
        <v>270</v>
      </c>
      <c r="C22" s="10"/>
      <c r="D22" s="3" t="s">
        <v>226</v>
      </c>
      <c r="E22" s="17" t="s">
        <v>271</v>
      </c>
    </row>
    <row r="23" customFormat="false" ht="15.75" hidden="false" customHeight="true" outlineLevel="0" collapsed="false">
      <c r="A23" s="3" t="s">
        <v>272</v>
      </c>
      <c r="B23" s="3" t="s">
        <v>273</v>
      </c>
      <c r="C23" s="10"/>
      <c r="D23" s="3" t="s">
        <v>226</v>
      </c>
      <c r="E23" s="17" t="s">
        <v>271</v>
      </c>
    </row>
    <row r="24" customFormat="false" ht="15.75" hidden="false" customHeight="true" outlineLevel="0" collapsed="false">
      <c r="A24" s="3" t="s">
        <v>274</v>
      </c>
      <c r="B24" s="3" t="s">
        <v>275</v>
      </c>
      <c r="C24" s="10"/>
      <c r="D24" s="3" t="s">
        <v>226</v>
      </c>
      <c r="E24" s="17" t="s">
        <v>276</v>
      </c>
    </row>
    <row r="25" customFormat="false" ht="30" hidden="false" customHeight="true" outlineLevel="0" collapsed="false">
      <c r="A25" s="3" t="s">
        <v>277</v>
      </c>
      <c r="B25" s="3" t="s">
        <v>278</v>
      </c>
      <c r="C25" s="10"/>
      <c r="D25" s="3" t="s">
        <v>279</v>
      </c>
      <c r="E25" s="17" t="s">
        <v>280</v>
      </c>
    </row>
    <row r="26" customFormat="false" ht="15.75" hidden="false" customHeight="true" outlineLevel="0" collapsed="false">
      <c r="A26" s="3" t="s">
        <v>281</v>
      </c>
      <c r="B26" s="3" t="s">
        <v>282</v>
      </c>
      <c r="C26" s="9" t="s">
        <v>518</v>
      </c>
      <c r="D26" s="3" t="s">
        <v>80</v>
      </c>
      <c r="E26" s="17" t="s">
        <v>284</v>
      </c>
    </row>
    <row r="27" customFormat="false" ht="15.75" hidden="false" customHeight="true" outlineLevel="0" collapsed="false">
      <c r="A27" s="3" t="s">
        <v>285</v>
      </c>
      <c r="B27" s="3" t="s">
        <v>286</v>
      </c>
      <c r="C27" s="11" t="n">
        <v>0.4</v>
      </c>
      <c r="D27" s="3" t="s">
        <v>287</v>
      </c>
      <c r="E27" s="17" t="s">
        <v>288</v>
      </c>
    </row>
    <row r="28" customFormat="false" ht="15.75" hidden="false" customHeight="true" outlineLevel="0" collapsed="false">
      <c r="A28" s="3" t="s">
        <v>289</v>
      </c>
      <c r="B28" s="3" t="s">
        <v>290</v>
      </c>
      <c r="C28" s="9"/>
      <c r="D28" s="3" t="s">
        <v>279</v>
      </c>
      <c r="E28" s="17" t="s">
        <v>291</v>
      </c>
    </row>
    <row r="29" customFormat="false" ht="30" hidden="false" customHeight="true" outlineLevel="0" collapsed="false">
      <c r="A29" s="3" t="s">
        <v>292</v>
      </c>
      <c r="B29" s="3" t="s">
        <v>293</v>
      </c>
      <c r="C29" s="9" t="s">
        <v>294</v>
      </c>
      <c r="D29" s="3" t="s">
        <v>222</v>
      </c>
      <c r="E29" s="17" t="s">
        <v>295</v>
      </c>
    </row>
    <row r="30" customFormat="false" ht="15.75" hidden="false" customHeight="true" outlineLevel="0" collapsed="false">
      <c r="A30" s="3" t="s">
        <v>296</v>
      </c>
      <c r="B30" s="3" t="s">
        <v>297</v>
      </c>
      <c r="C30" s="10"/>
      <c r="D30" s="3" t="s">
        <v>226</v>
      </c>
      <c r="E30" s="17"/>
    </row>
    <row r="31" customFormat="false" ht="15.75" hidden="false" customHeight="true" outlineLevel="0" collapsed="false">
      <c r="A31" s="3" t="s">
        <v>298</v>
      </c>
      <c r="B31" s="3" t="s">
        <v>299</v>
      </c>
      <c r="C31" s="10"/>
      <c r="D31" s="3" t="s">
        <v>226</v>
      </c>
      <c r="E31" s="17" t="s">
        <v>300</v>
      </c>
    </row>
    <row r="32" customFormat="false" ht="30" hidden="false" customHeight="true" outlineLevel="0" collapsed="false">
      <c r="A32" s="3" t="s">
        <v>301</v>
      </c>
      <c r="B32" s="3" t="s">
        <v>302</v>
      </c>
      <c r="C32" s="10"/>
      <c r="D32" s="3" t="s">
        <v>226</v>
      </c>
      <c r="E32" s="17" t="s">
        <v>303</v>
      </c>
    </row>
    <row r="34" customFormat="false" ht="15" hidden="false" customHeight="false" outlineLevel="0" collapsed="false">
      <c r="A34" s="15" t="s">
        <v>304</v>
      </c>
    </row>
    <row r="35" customFormat="false" ht="15" hidden="false" customHeight="false" outlineLevel="0" collapsed="false">
      <c r="A35" s="16" t="s">
        <v>305</v>
      </c>
      <c r="B35" s="16" t="s">
        <v>306</v>
      </c>
      <c r="C35" s="16" t="s">
        <v>217</v>
      </c>
      <c r="D35" s="16" t="s">
        <v>307</v>
      </c>
      <c r="E35" s="16" t="s">
        <v>308</v>
      </c>
    </row>
    <row r="36" customFormat="false" ht="15" hidden="false" customHeight="false" outlineLevel="0" collapsed="false">
      <c r="A36" s="3" t="s">
        <v>309</v>
      </c>
      <c r="B36" s="18" t="s">
        <v>310</v>
      </c>
      <c r="C36" s="19" t="n">
        <v>51000</v>
      </c>
      <c r="D36" s="18" t="s">
        <v>311</v>
      </c>
      <c r="E36" s="17" t="s">
        <v>312</v>
      </c>
    </row>
    <row r="37" customFormat="false" ht="15" hidden="false" customHeight="false" outlineLevel="0" collapsed="false">
      <c r="A37" s="3" t="s">
        <v>313</v>
      </c>
      <c r="B37" s="18" t="s">
        <v>314</v>
      </c>
      <c r="C37" s="7" t="s">
        <v>592</v>
      </c>
      <c r="D37" s="18" t="s">
        <v>316</v>
      </c>
      <c r="E37" s="17"/>
    </row>
    <row r="38" customFormat="false" ht="15" hidden="false" customHeight="false" outlineLevel="0" collapsed="false">
      <c r="A38" s="3" t="s">
        <v>317</v>
      </c>
      <c r="B38" s="18" t="s">
        <v>318</v>
      </c>
      <c r="C38" s="7" t="s">
        <v>315</v>
      </c>
      <c r="D38" s="18" t="s">
        <v>316</v>
      </c>
      <c r="E38" s="17"/>
    </row>
    <row r="39" customFormat="false" ht="15" hidden="false" customHeight="false" outlineLevel="0" collapsed="false">
      <c r="A39" s="3" t="s">
        <v>320</v>
      </c>
      <c r="B39" s="18" t="s">
        <v>321</v>
      </c>
      <c r="C39" s="7" t="s">
        <v>322</v>
      </c>
      <c r="D39" s="18" t="s">
        <v>316</v>
      </c>
      <c r="E39" s="17" t="s">
        <v>323</v>
      </c>
    </row>
    <row r="40" customFormat="false" ht="15" hidden="false" customHeight="false" outlineLevel="0" collapsed="false">
      <c r="A40" s="3" t="s">
        <v>324</v>
      </c>
      <c r="B40" s="18" t="s">
        <v>325</v>
      </c>
      <c r="C40" s="20" t="n">
        <v>1.37476780859097</v>
      </c>
      <c r="D40" s="18" t="s">
        <v>326</v>
      </c>
      <c r="E40" s="17" t="s">
        <v>327</v>
      </c>
    </row>
    <row r="41" customFormat="false" ht="22.35" hidden="false" customHeight="false" outlineLevel="0" collapsed="false">
      <c r="A41" s="3" t="s">
        <v>328</v>
      </c>
      <c r="B41" s="18" t="s">
        <v>329</v>
      </c>
      <c r="C41" s="21"/>
      <c r="D41" s="18" t="s">
        <v>326</v>
      </c>
      <c r="E41" s="17" t="s">
        <v>330</v>
      </c>
    </row>
    <row r="42" customFormat="false" ht="22.35" hidden="false" customHeight="false" outlineLevel="0" collapsed="false">
      <c r="A42" s="3" t="s">
        <v>331</v>
      </c>
      <c r="B42" s="18" t="s">
        <v>332</v>
      </c>
      <c r="C42" s="22" t="n">
        <v>0.01</v>
      </c>
      <c r="D42" s="18" t="s">
        <v>333</v>
      </c>
      <c r="E42" s="17" t="s">
        <v>334</v>
      </c>
    </row>
    <row r="43" customFormat="false" ht="15" hidden="false" customHeight="false" outlineLevel="0" collapsed="false">
      <c r="A43" s="3" t="s">
        <v>335</v>
      </c>
      <c r="B43" s="18" t="s">
        <v>336</v>
      </c>
      <c r="C43" s="22" t="n">
        <v>0.01</v>
      </c>
      <c r="D43" s="18" t="s">
        <v>333</v>
      </c>
      <c r="E43" s="17" t="s">
        <v>262</v>
      </c>
    </row>
    <row r="44" customFormat="false" ht="15" hidden="false" customHeight="false" outlineLevel="0" collapsed="false">
      <c r="A44" s="3" t="s">
        <v>337</v>
      </c>
      <c r="B44" s="18" t="s">
        <v>338</v>
      </c>
      <c r="C44" s="22" t="n">
        <v>0.01</v>
      </c>
      <c r="D44" s="18" t="s">
        <v>333</v>
      </c>
      <c r="E44" s="17" t="s">
        <v>265</v>
      </c>
    </row>
    <row r="45" customFormat="false" ht="15" hidden="false" customHeight="false" outlineLevel="0" collapsed="false">
      <c r="A45" s="3" t="s">
        <v>339</v>
      </c>
      <c r="B45" s="18" t="s">
        <v>340</v>
      </c>
      <c r="C45" s="22" t="n">
        <v>0</v>
      </c>
      <c r="D45" s="18" t="s">
        <v>333</v>
      </c>
      <c r="E45" s="17" t="s">
        <v>267</v>
      </c>
    </row>
    <row r="46" customFormat="false" ht="15" hidden="false" customHeight="false" outlineLevel="0" collapsed="false">
      <c r="A46" s="3" t="s">
        <v>254</v>
      </c>
      <c r="B46" s="18" t="s">
        <v>341</v>
      </c>
      <c r="C46" s="7" t="s">
        <v>256</v>
      </c>
      <c r="D46" s="18" t="s">
        <v>316</v>
      </c>
      <c r="E46" s="17" t="s">
        <v>342</v>
      </c>
    </row>
    <row r="47" customFormat="false" ht="15" hidden="false" customHeight="false" outlineLevel="0" collapsed="false">
      <c r="A47" s="3" t="s">
        <v>244</v>
      </c>
      <c r="B47" s="18" t="s">
        <v>343</v>
      </c>
      <c r="C47" s="7" t="s">
        <v>84</v>
      </c>
      <c r="D47" s="18" t="s">
        <v>316</v>
      </c>
      <c r="E47" s="17" t="s">
        <v>344</v>
      </c>
    </row>
    <row r="48" customFormat="false" ht="15" hidden="false" customHeight="false" outlineLevel="0" collapsed="false">
      <c r="A48" s="3" t="s">
        <v>250</v>
      </c>
      <c r="B48" s="18" t="s">
        <v>345</v>
      </c>
      <c r="C48" s="7" t="s">
        <v>252</v>
      </c>
      <c r="D48" s="18" t="s">
        <v>316</v>
      </c>
      <c r="E48" s="17" t="s">
        <v>346</v>
      </c>
    </row>
    <row r="49" customFormat="false" ht="15" hidden="false" customHeight="false" outlineLevel="0" collapsed="false">
      <c r="A49" s="3" t="s">
        <v>347</v>
      </c>
      <c r="B49" s="18" t="s">
        <v>348</v>
      </c>
      <c r="C49" s="7" t="s">
        <v>349</v>
      </c>
      <c r="D49" s="18" t="s">
        <v>316</v>
      </c>
      <c r="E49" s="17" t="s">
        <v>350</v>
      </c>
    </row>
    <row r="50" customFormat="false" ht="15" hidden="false" customHeight="false" outlineLevel="0" collapsed="false">
      <c r="A50" s="3" t="s">
        <v>351</v>
      </c>
      <c r="B50" s="18" t="s">
        <v>352</v>
      </c>
      <c r="C50" s="19" t="n">
        <v>1</v>
      </c>
      <c r="D50" s="18" t="s">
        <v>311</v>
      </c>
      <c r="E50" s="17" t="s">
        <v>353</v>
      </c>
    </row>
    <row r="51" customFormat="false" ht="15" hidden="false" customHeight="false" outlineLevel="0" collapsed="false">
      <c r="A51" s="3" t="s">
        <v>354</v>
      </c>
      <c r="B51" s="18" t="s">
        <v>355</v>
      </c>
      <c r="C51" s="22" t="n">
        <v>0.003</v>
      </c>
      <c r="D51" s="18" t="s">
        <v>333</v>
      </c>
      <c r="E51" s="17" t="s">
        <v>275</v>
      </c>
    </row>
    <row r="52" customFormat="false" ht="15" hidden="false" customHeight="false" outlineLevel="0" collapsed="false">
      <c r="A52" s="3" t="s">
        <v>356</v>
      </c>
      <c r="B52" s="18" t="s">
        <v>357</v>
      </c>
      <c r="C52" s="23"/>
      <c r="D52" s="18" t="s">
        <v>333</v>
      </c>
      <c r="E52" s="17" t="s">
        <v>358</v>
      </c>
    </row>
    <row r="53" customFormat="false" ht="15" hidden="false" customHeight="false" outlineLevel="0" collapsed="false">
      <c r="A53" s="3" t="s">
        <v>281</v>
      </c>
      <c r="B53" s="18" t="s">
        <v>359</v>
      </c>
      <c r="C53" s="7" t="s">
        <v>360</v>
      </c>
      <c r="D53" s="18" t="s">
        <v>316</v>
      </c>
      <c r="E53" s="17" t="s">
        <v>361</v>
      </c>
    </row>
    <row r="54" customFormat="false" ht="15" hidden="false" customHeight="false" outlineLevel="0" collapsed="false">
      <c r="A54" s="3" t="s">
        <v>285</v>
      </c>
      <c r="B54" s="18" t="s">
        <v>360</v>
      </c>
      <c r="C54" s="22" t="n">
        <v>0.4</v>
      </c>
      <c r="D54" s="18" t="s">
        <v>333</v>
      </c>
      <c r="E54" s="17" t="s">
        <v>362</v>
      </c>
    </row>
    <row r="55" customFormat="false" ht="15" hidden="false" customHeight="false" outlineLevel="0" collapsed="false">
      <c r="A55" s="3" t="s">
        <v>363</v>
      </c>
      <c r="B55" s="18" t="s">
        <v>364</v>
      </c>
      <c r="C55" s="22" t="n">
        <v>0</v>
      </c>
      <c r="D55" s="18" t="s">
        <v>333</v>
      </c>
      <c r="E55" s="17" t="s">
        <v>365</v>
      </c>
    </row>
    <row r="57" customFormat="false" ht="15" hidden="false" customHeight="false" outlineLevel="0" collapsed="false">
      <c r="A57" s="15" t="s">
        <v>366</v>
      </c>
    </row>
    <row r="58" customFormat="false" ht="15" hidden="false" customHeight="false" outlineLevel="0" collapsed="false">
      <c r="A58" s="16" t="s">
        <v>367</v>
      </c>
      <c r="B58" s="16" t="s">
        <v>368</v>
      </c>
      <c r="C58" s="16" t="s">
        <v>217</v>
      </c>
      <c r="D58" s="16"/>
      <c r="E58" s="16" t="s">
        <v>369</v>
      </c>
    </row>
    <row r="59" customFormat="false" ht="22.35" hidden="false" customHeight="false" outlineLevel="0" collapsed="false">
      <c r="A59" s="3" t="s">
        <v>370</v>
      </c>
      <c r="B59" s="17" t="s">
        <v>371</v>
      </c>
      <c r="C59" s="24" t="n">
        <f aca="false">IF($C$46="market",$C$40,$C$41)</f>
        <v>1.37476780859097</v>
      </c>
      <c r="E59" s="17" t="s">
        <v>372</v>
      </c>
    </row>
    <row r="60" customFormat="false" ht="32.8" hidden="false" customHeight="false" outlineLevel="0" collapsed="false">
      <c r="A60" s="3" t="s">
        <v>373</v>
      </c>
      <c r="B60" s="17" t="s">
        <v>374</v>
      </c>
      <c r="C60" s="24" t="n">
        <f aca="false">IF($C$48="in_per_out",$C$59/(1+$C$44),$C$59*(1-$C$44))</f>
        <v>1.36102013050506</v>
      </c>
      <c r="E60" s="17" t="s">
        <v>375</v>
      </c>
    </row>
    <row r="61" customFormat="false" ht="23.85" hidden="false" customHeight="false" outlineLevel="0" collapsed="false">
      <c r="A61" s="3" t="s">
        <v>376</v>
      </c>
      <c r="B61" s="17" t="s">
        <v>377</v>
      </c>
      <c r="C61" s="25" t="n">
        <f aca="false">$C$36*$C$60</f>
        <v>69412.026655758</v>
      </c>
      <c r="E61" s="17" t="s">
        <v>378</v>
      </c>
    </row>
    <row r="62" customFormat="false" ht="15" hidden="false" customHeight="false" outlineLevel="0" collapsed="false">
      <c r="A62" s="3" t="s">
        <v>379</v>
      </c>
      <c r="B62" s="17" t="s">
        <v>380</v>
      </c>
      <c r="C62" s="25" t="n">
        <f aca="false">$C$61*$C$45</f>
        <v>0</v>
      </c>
      <c r="E62" s="17" t="s">
        <v>378</v>
      </c>
    </row>
    <row r="63" customFormat="false" ht="15" hidden="false" customHeight="false" outlineLevel="0" collapsed="false">
      <c r="A63" s="3" t="s">
        <v>381</v>
      </c>
      <c r="B63" s="17" t="s">
        <v>382</v>
      </c>
      <c r="C63" s="25" t="n">
        <f aca="false">$C$61-$C$62</f>
        <v>69412.026655758</v>
      </c>
      <c r="E63" s="17" t="s">
        <v>383</v>
      </c>
    </row>
    <row r="64" customFormat="false" ht="32.8" hidden="false" customHeight="false" outlineLevel="0" collapsed="false">
      <c r="A64" s="3" t="s">
        <v>384</v>
      </c>
      <c r="B64" s="17" t="s">
        <v>385</v>
      </c>
      <c r="C64" s="25" t="n">
        <f aca="false">IF($C$47="own_desk",$C$36*$C$40,IF($C$47="market_plus_pct",$C$36*$C$40*(1-$C$42),$C$36*$C$41))</f>
        <v>69412.026655758</v>
      </c>
      <c r="E64" s="17" t="s">
        <v>386</v>
      </c>
    </row>
    <row r="65" customFormat="false" ht="22.35" hidden="false" customHeight="false" outlineLevel="0" collapsed="false">
      <c r="A65" s="3" t="s">
        <v>387</v>
      </c>
      <c r="B65" s="17" t="s">
        <v>388</v>
      </c>
      <c r="C65" s="25" t="n">
        <f aca="false">$C$36*$C$40-$C$64</f>
        <v>701.131582381393</v>
      </c>
      <c r="E65" s="17" t="s">
        <v>383</v>
      </c>
    </row>
    <row r="66" customFormat="false" ht="15" hidden="false" customHeight="false" outlineLevel="0" collapsed="false">
      <c r="A66" s="3" t="s">
        <v>389</v>
      </c>
      <c r="B66" s="17" t="s">
        <v>390</v>
      </c>
      <c r="C66" s="25" t="n">
        <f aca="false">$C$64-$C$63</f>
        <v>0</v>
      </c>
      <c r="E66" s="17" t="s">
        <v>391</v>
      </c>
    </row>
    <row r="67" customFormat="false" ht="15" hidden="false" customHeight="false" outlineLevel="0" collapsed="false">
      <c r="A67" s="3" t="s">
        <v>392</v>
      </c>
      <c r="B67" s="17" t="s">
        <v>393</v>
      </c>
      <c r="C67" s="26" t="n">
        <f aca="false">IF($C$36*$C$40=0,0,$C$66/($C$36*$C$40))</f>
        <v>0</v>
      </c>
      <c r="E67" s="17" t="s">
        <v>383</v>
      </c>
    </row>
    <row r="68" customFormat="false" ht="22.35" hidden="false" customHeight="false" outlineLevel="0" collapsed="false">
      <c r="A68" s="3" t="s">
        <v>394</v>
      </c>
      <c r="B68" s="17" t="s">
        <v>395</v>
      </c>
      <c r="C68" s="6" t="str">
        <f aca="false">IF($C$67&lt;$C$51,"YES — Finance approval","no")</f>
        <v>YES — Finance approval</v>
      </c>
      <c r="E68" s="17" t="s">
        <v>396</v>
      </c>
    </row>
    <row r="69" customFormat="false" ht="22.35" hidden="false" customHeight="false" outlineLevel="0" collapsed="false">
      <c r="A69" s="3" t="s">
        <v>397</v>
      </c>
      <c r="B69" s="17" t="s">
        <v>398</v>
      </c>
      <c r="C69" s="25" t="n">
        <f aca="false">IF($C$49="round_up_unit",CEILING($C$63,$C$50),IF($C$49="nearest_unit",MROUND($C$63,$C$50),IF($C$49="nearest_n",MROUND($C$63,$C$50),FLOOR($C$63,$C$50))))</f>
        <v>69412</v>
      </c>
      <c r="E69" s="17" t="s">
        <v>399</v>
      </c>
    </row>
    <row r="70" customFormat="false" ht="23.85" hidden="false" customHeight="false" outlineLevel="0" collapsed="false">
      <c r="A70" s="3" t="s">
        <v>400</v>
      </c>
      <c r="B70" s="17" t="s">
        <v>401</v>
      </c>
      <c r="C70" s="25" t="n">
        <f aca="false">$C$63-$C$69</f>
        <v>0.0266557579743676</v>
      </c>
      <c r="E70" s="17" t="s">
        <v>402</v>
      </c>
    </row>
    <row r="71" customFormat="false" ht="22.35" hidden="false" customHeight="false" outlineLevel="0" collapsed="false">
      <c r="A71" s="3" t="s">
        <v>403</v>
      </c>
      <c r="B71" s="17" t="s">
        <v>404</v>
      </c>
      <c r="C71" s="24" t="n">
        <f aca="false">IF($C$52="",$C$59,$C$60/(1-$C$52))</f>
        <v>1.37476780859097</v>
      </c>
      <c r="E71" s="17" t="s">
        <v>358</v>
      </c>
    </row>
    <row r="72" customFormat="false" ht="15" hidden="false" customHeight="false" outlineLevel="0" collapsed="false">
      <c r="A72" s="3" t="s">
        <v>405</v>
      </c>
      <c r="B72" s="17" t="s">
        <v>406</v>
      </c>
      <c r="C72" s="25" t="n">
        <f aca="false">IF($C$53="rebate",$C$65*$C$54,0)</f>
        <v>280.452632952557</v>
      </c>
      <c r="E72" s="17" t="s">
        <v>407</v>
      </c>
    </row>
    <row r="73" customFormat="false" ht="15" hidden="false" customHeight="false" outlineLevel="0" collapsed="false">
      <c r="A73" s="3" t="s">
        <v>408</v>
      </c>
      <c r="B73" s="17" t="s">
        <v>409</v>
      </c>
      <c r="C73" s="25" t="n">
        <f aca="false">$C$36*$C$40*$C$55</f>
        <v>0</v>
      </c>
      <c r="E73" s="17" t="s">
        <v>410</v>
      </c>
    </row>
    <row r="74" customFormat="false" ht="23.85" hidden="false" customHeight="false" outlineLevel="0" collapsed="false">
      <c r="A74" s="3" t="s">
        <v>411</v>
      </c>
      <c r="B74" s="17" t="s">
        <v>412</v>
      </c>
      <c r="C74" s="25" t="n">
        <f aca="false">ROUND($C$63+$C$65+$C$66-$C$36*$C$40,6)</f>
        <v>0</v>
      </c>
      <c r="E74" s="17" t="s">
        <v>413</v>
      </c>
    </row>
    <row r="76" customFormat="false" ht="15" hidden="false" customHeight="false" outlineLevel="0" collapsed="false">
      <c r="A76" s="15" t="s">
        <v>414</v>
      </c>
    </row>
    <row r="77" customFormat="false" ht="15" hidden="false" customHeight="false" outlineLevel="0" collapsed="false">
      <c r="A77" s="16" t="s">
        <v>415</v>
      </c>
      <c r="B77" s="16" t="s">
        <v>416</v>
      </c>
      <c r="C77" s="16" t="s">
        <v>417</v>
      </c>
      <c r="D77" s="16" t="s">
        <v>418</v>
      </c>
      <c r="E77" s="16" t="s">
        <v>419</v>
      </c>
    </row>
    <row r="78" customFormat="false" ht="15" hidden="false" customHeight="false" outlineLevel="0" collapsed="false">
      <c r="A78" s="6" t="str">
        <f aca="false">"CL."&amp;$C$39&amp;"."&amp;$C$37&amp;".COLLECTED"</f>
        <v>CL.JETON.GBP.COLLECTED</v>
      </c>
      <c r="B78" s="6" t="s">
        <v>420</v>
      </c>
      <c r="C78" s="25" t="n">
        <f aca="false">$C$36</f>
        <v>51000</v>
      </c>
      <c r="D78" s="18" t="s">
        <v>421</v>
      </c>
      <c r="E78" s="18" t="s">
        <v>422</v>
      </c>
    </row>
    <row r="79" customFormat="false" ht="15" hidden="false" customHeight="false" outlineLevel="0" collapsed="false">
      <c r="A79" s="6" t="str">
        <f aca="false">"CL.PROJECT."&amp;$C$37&amp;".PAYABLE"</f>
        <v>CL.PROJECT.GBP.PAYABLE</v>
      </c>
      <c r="B79" s="6" t="s">
        <v>423</v>
      </c>
      <c r="C79" s="25" t="n">
        <f aca="false">$C$36</f>
        <v>51000</v>
      </c>
      <c r="D79" s="18" t="s">
        <v>421</v>
      </c>
      <c r="E79" s="18" t="s">
        <v>422</v>
      </c>
    </row>
    <row r="80" customFormat="false" ht="15" hidden="false" customHeight="false" outlineLevel="0" collapsed="false">
      <c r="A80" s="6" t="str">
        <f aca="false">"CL.PROJECT."&amp;$C$37&amp;".PAYABLE"</f>
        <v>CL.PROJECT.GBP.PAYABLE</v>
      </c>
      <c r="B80" s="6" t="s">
        <v>420</v>
      </c>
      <c r="C80" s="25" t="n">
        <f aca="false">$C$36</f>
        <v>51000</v>
      </c>
      <c r="D80" s="18" t="s">
        <v>421</v>
      </c>
      <c r="E80" s="18" t="s">
        <v>424</v>
      </c>
    </row>
    <row r="81" customFormat="false" ht="15" hidden="false" customHeight="false" outlineLevel="0" collapsed="false">
      <c r="A81" s="6" t="str">
        <f aca="false">"CL."&amp;$C$39&amp;"."&amp;$C$37&amp;".COLLECTED"</f>
        <v>CL.JETON.GBP.COLLECTED</v>
      </c>
      <c r="B81" s="6" t="s">
        <v>423</v>
      </c>
      <c r="C81" s="25" t="n">
        <f aca="false">$C$36</f>
        <v>51000</v>
      </c>
      <c r="D81" s="18" t="s">
        <v>421</v>
      </c>
      <c r="E81" s="18" t="s">
        <v>424</v>
      </c>
    </row>
    <row r="82" customFormat="false" ht="15" hidden="false" customHeight="false" outlineLevel="0" collapsed="false">
      <c r="A82" s="6" t="str">
        <f aca="false">"CL."&amp;$C$39&amp;"."&amp;$C$38&amp;".DUE"</f>
        <v>CL.JETON.USDT.DUE</v>
      </c>
      <c r="B82" s="6" t="s">
        <v>420</v>
      </c>
      <c r="C82" s="25" t="n">
        <f aca="false">$C$63</f>
        <v>69412.026655758</v>
      </c>
      <c r="D82" s="18" t="s">
        <v>425</v>
      </c>
      <c r="E82" s="18" t="s">
        <v>426</v>
      </c>
    </row>
    <row r="83" customFormat="false" ht="15" hidden="false" customHeight="false" outlineLevel="0" collapsed="false">
      <c r="A83" s="6" t="str">
        <f aca="false">"CO."&amp;$C$39&amp;"."&amp;$C$38&amp;".POOL"</f>
        <v>CO.JETON.USDT.POOL</v>
      </c>
      <c r="B83" s="6" t="s">
        <v>420</v>
      </c>
      <c r="C83" s="25" t="n">
        <f aca="false">IF($C$53="rebate",0,$C$66)</f>
        <v>0</v>
      </c>
      <c r="D83" s="18" t="s">
        <v>427</v>
      </c>
      <c r="E83" s="18" t="s">
        <v>428</v>
      </c>
    </row>
    <row r="84" customFormat="false" ht="15" hidden="false" customHeight="false" outlineLevel="0" collapsed="false">
      <c r="A84" s="6" t="str">
        <f aca="false">"CO."&amp;$C$39&amp;"."&amp;$C$38&amp;".REBATE_RECEIVABLE"</f>
        <v>CO.JETON.USDT.REBATE_RECEIVABLE</v>
      </c>
      <c r="B84" s="6" t="s">
        <v>420</v>
      </c>
      <c r="C84" s="25" t="n">
        <f aca="false">$C$72</f>
        <v>280.452632952557</v>
      </c>
      <c r="D84" s="18" t="s">
        <v>427</v>
      </c>
      <c r="E84" s="18" t="s">
        <v>429</v>
      </c>
    </row>
    <row r="85" customFormat="false" ht="15" hidden="false" customHeight="false" outlineLevel="0" collapsed="false">
      <c r="A85" s="6" t="str">
        <f aca="false">"CL.PROJECT."&amp;$C$38&amp;".PAYABLE"</f>
        <v>CL.PROJECT.USDT.PAYABLE</v>
      </c>
      <c r="B85" s="6" t="s">
        <v>423</v>
      </c>
      <c r="C85" s="25" t="n">
        <f aca="false">$C$63</f>
        <v>69412.026655758</v>
      </c>
      <c r="D85" s="18" t="s">
        <v>421</v>
      </c>
      <c r="E85" s="18" t="s">
        <v>426</v>
      </c>
    </row>
    <row r="86" customFormat="false" ht="15" hidden="false" customHeight="false" outlineLevel="0" collapsed="false">
      <c r="A86" s="6" t="str">
        <f aca="false">"CO.NONE."&amp;$C$38&amp;".EARN_GROSS"</f>
        <v>CO.NONE.USDT.EARN_GROSS</v>
      </c>
      <c r="B86" s="6" t="s">
        <v>423</v>
      </c>
      <c r="C86" s="25" t="n">
        <f aca="false">$C$66+$C$72</f>
        <v>280.452632952557</v>
      </c>
      <c r="D86" s="18" t="s">
        <v>427</v>
      </c>
      <c r="E86" s="18" t="s">
        <v>430</v>
      </c>
    </row>
    <row r="87" customFormat="false" ht="15" hidden="false" customHeight="false" outlineLevel="0" collapsed="false">
      <c r="A87" s="6" t="str">
        <f aca="false">"CL."&amp;$C$39&amp;"."&amp;$C$38&amp;".INTRANSIT"</f>
        <v>CL.JETON.USDT.INTRANSIT</v>
      </c>
      <c r="B87" s="6" t="s">
        <v>420</v>
      </c>
      <c r="C87" s="25" t="n">
        <f aca="false">$C$69</f>
        <v>69412</v>
      </c>
      <c r="D87" s="18" t="s">
        <v>421</v>
      </c>
      <c r="E87" s="18" t="s">
        <v>431</v>
      </c>
    </row>
    <row r="88" customFormat="false" ht="15" hidden="false" customHeight="false" outlineLevel="0" collapsed="false">
      <c r="A88" s="6" t="str">
        <f aca="false">"CL."&amp;$C$39&amp;"."&amp;$C$38&amp;".DUE"</f>
        <v>CL.JETON.USDT.DUE</v>
      </c>
      <c r="B88" s="6" t="s">
        <v>423</v>
      </c>
      <c r="C88" s="25" t="n">
        <f aca="false">$C$69</f>
        <v>69412</v>
      </c>
      <c r="D88" s="18" t="s">
        <v>421</v>
      </c>
      <c r="E88" s="18" t="s">
        <v>432</v>
      </c>
    </row>
    <row r="89" customFormat="false" ht="15" hidden="false" customHeight="false" outlineLevel="0" collapsed="false">
      <c r="A89" s="6" t="str">
        <f aca="false">"CL.PROJECT."&amp;$C$38&amp;".PAYABLE"</f>
        <v>CL.PROJECT.USDT.PAYABLE</v>
      </c>
      <c r="B89" s="6" t="s">
        <v>420</v>
      </c>
      <c r="C89" s="25" t="n">
        <f aca="false">$C$69</f>
        <v>69412</v>
      </c>
      <c r="D89" s="18" t="s">
        <v>421</v>
      </c>
      <c r="E89" s="18" t="s">
        <v>433</v>
      </c>
    </row>
    <row r="90" customFormat="false" ht="15" hidden="false" customHeight="false" outlineLevel="0" collapsed="false">
      <c r="A90" s="6" t="str">
        <f aca="false">"CL."&amp;$C$39&amp;"."&amp;$C$38&amp;".INTRANSIT"</f>
        <v>CL.JETON.USDT.INTRANSIT</v>
      </c>
      <c r="B90" s="6" t="s">
        <v>423</v>
      </c>
      <c r="C90" s="25" t="n">
        <f aca="false">$C$69</f>
        <v>69412</v>
      </c>
      <c r="D90" s="18" t="s">
        <v>421</v>
      </c>
      <c r="E90" s="18" t="s">
        <v>433</v>
      </c>
    </row>
    <row r="91" customFormat="false" ht="15" hidden="false" customHeight="false" outlineLevel="0" collapsed="false">
      <c r="A91" s="6" t="str">
        <f aca="false">"CO.NONE."&amp;$C$38&amp;".EARN_GROSS"</f>
        <v>CO.NONE.USDT.EARN_GROSS</v>
      </c>
      <c r="B91" s="6" t="s">
        <v>420</v>
      </c>
      <c r="C91" s="25" t="n">
        <f aca="false">$C$73</f>
        <v>0</v>
      </c>
      <c r="D91" s="18" t="s">
        <v>434</v>
      </c>
      <c r="E91" s="18" t="s">
        <v>435</v>
      </c>
    </row>
    <row r="92" customFormat="false" ht="15" hidden="false" customHeight="false" outlineLevel="0" collapsed="false">
      <c r="A92" s="6" t="str">
        <f aca="false">"CO.INTRODUCER."&amp;$C$38&amp;".REFERRAL_PAYABLE"</f>
        <v>CO.INTRODUCER.USDT.REFERRAL_PAYABLE</v>
      </c>
      <c r="B92" s="6" t="s">
        <v>423</v>
      </c>
      <c r="C92" s="25" t="n">
        <f aca="false">$C$73</f>
        <v>0</v>
      </c>
      <c r="D92" s="18" t="s">
        <v>434</v>
      </c>
      <c r="E92" s="18" t="s">
        <v>436</v>
      </c>
    </row>
    <row r="93" customFormat="false" ht="30" hidden="false" customHeight="true" outlineLevel="0" collapsed="false">
      <c r="A93" s="27" t="s">
        <v>437</v>
      </c>
      <c r="C93" s="28" t="n">
        <f aca="false">ROUND(SUMIF($B$82:$B$92,"Dr",$C$82:$C$92)-SUMIF($B$82:$B$92,"Cr",$C$82:$C$92),6)</f>
        <v>0</v>
      </c>
      <c r="E93" s="17" t="s">
        <v>438</v>
      </c>
    </row>
    <row r="95" customFormat="false" ht="15" hidden="false" customHeight="false" outlineLevel="0" collapsed="false">
      <c r="A95" s="15" t="s">
        <v>439</v>
      </c>
    </row>
    <row r="96" customFormat="false" ht="15" hidden="false" customHeight="false" outlineLevel="0" collapsed="false">
      <c r="A96" s="16" t="s">
        <v>440</v>
      </c>
      <c r="B96" s="16" t="s">
        <v>441</v>
      </c>
      <c r="C96" s="16" t="s">
        <v>442</v>
      </c>
      <c r="D96" s="16" t="s">
        <v>443</v>
      </c>
      <c r="E96" s="16" t="s">
        <v>444</v>
      </c>
    </row>
    <row r="97" customFormat="false" ht="15.75" hidden="false" customHeight="true" outlineLevel="0" collapsed="false">
      <c r="A97" s="3" t="s">
        <v>593</v>
      </c>
      <c r="B97" s="19" t="n">
        <v>69412</v>
      </c>
      <c r="C97" s="25" t="n">
        <f aca="false">$C$61</f>
        <v>69412.026655758</v>
      </c>
      <c r="D97" s="28" t="n">
        <f aca="false">ROUND(C97-B97,2)</f>
        <v>0.03</v>
      </c>
      <c r="E97" s="17" t="s">
        <v>594</v>
      </c>
    </row>
    <row r="99" customFormat="false" ht="15" hidden="false" customHeight="false" outlineLevel="0" collapsed="false">
      <c r="A99" s="15" t="s">
        <v>447</v>
      </c>
    </row>
    <row r="100" customFormat="false" ht="31.5" hidden="false" customHeight="true" outlineLevel="0" collapsed="false">
      <c r="A100" s="13" t="s">
        <v>448</v>
      </c>
      <c r="B100" s="29" t="s">
        <v>595</v>
      </c>
      <c r="C100" s="29"/>
      <c r="D100" s="29"/>
      <c r="E100" s="29"/>
    </row>
    <row r="101" customFormat="false" ht="31.5" hidden="false" customHeight="true" outlineLevel="0" collapsed="false">
      <c r="A101" s="13" t="s">
        <v>448</v>
      </c>
      <c r="B101" s="29" t="s">
        <v>596</v>
      </c>
      <c r="C101" s="29"/>
      <c r="D101" s="29"/>
      <c r="E101" s="29"/>
    </row>
    <row r="102" customFormat="false" ht="31.5" hidden="false" customHeight="true" outlineLevel="0" collapsed="false">
      <c r="A102" s="13" t="s">
        <v>448</v>
      </c>
      <c r="B102" s="29" t="s">
        <v>597</v>
      </c>
      <c r="C102" s="29"/>
      <c r="D102" s="29"/>
      <c r="E102" s="29"/>
    </row>
  </sheetData>
  <mergeCells count="3">
    <mergeCell ref="B100:E100"/>
    <mergeCell ref="B101:E101"/>
    <mergeCell ref="B102:E10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1" style="0" width="34"/>
    <col collapsed="false" customWidth="true" hidden="false" outlineLevel="0" max="3" min="3" style="0" width="22"/>
    <col collapsed="false" customWidth="true" hidden="false" outlineLevel="0" max="4" min="4" style="0" width="18"/>
    <col collapsed="false" customWidth="true" hidden="false" outlineLevel="0" max="5" min="5" style="0" width="48"/>
  </cols>
  <sheetData>
    <row r="1" customFormat="false" ht="16.15" hidden="false" customHeight="false" outlineLevel="0" collapsed="false">
      <c r="A1" s="1" t="s">
        <v>598</v>
      </c>
    </row>
    <row r="2" customFormat="false" ht="15" hidden="false" customHeight="false" outlineLevel="0" collapsed="false">
      <c r="A2" s="12" t="s">
        <v>210</v>
      </c>
      <c r="B2" s="13" t="s">
        <v>599</v>
      </c>
    </row>
    <row r="3" customFormat="false" ht="30" hidden="false" customHeight="true" outlineLevel="0" collapsed="false">
      <c r="A3" s="12" t="s">
        <v>212</v>
      </c>
      <c r="B3" s="14" t="s">
        <v>600</v>
      </c>
    </row>
    <row r="5" customFormat="false" ht="15" hidden="false" customHeight="false" outlineLevel="0" collapsed="false">
      <c r="A5" s="15" t="s">
        <v>214</v>
      </c>
    </row>
    <row r="6" customFormat="false" ht="15" hidden="false" customHeight="false" outlineLevel="0" collapsed="false">
      <c r="A6" s="16" t="s">
        <v>215</v>
      </c>
      <c r="B6" s="16" t="s">
        <v>216</v>
      </c>
      <c r="C6" s="16" t="s">
        <v>217</v>
      </c>
      <c r="D6" s="16" t="s">
        <v>218</v>
      </c>
      <c r="E6" s="16" t="s">
        <v>219</v>
      </c>
    </row>
    <row r="7" customFormat="false" ht="30" hidden="false" customHeight="true" outlineLevel="0" collapsed="false">
      <c r="A7" s="3" t="s">
        <v>220</v>
      </c>
      <c r="B7" s="3" t="s">
        <v>221</v>
      </c>
      <c r="C7" s="9" t="s">
        <v>200</v>
      </c>
      <c r="D7" s="3" t="s">
        <v>222</v>
      </c>
      <c r="E7" s="17" t="s">
        <v>223</v>
      </c>
    </row>
    <row r="8" customFormat="false" ht="30" hidden="false" customHeight="true" outlineLevel="0" collapsed="false">
      <c r="A8" s="3" t="s">
        <v>224</v>
      </c>
      <c r="B8" s="3" t="s">
        <v>225</v>
      </c>
      <c r="C8" s="10"/>
      <c r="D8" s="3" t="s">
        <v>226</v>
      </c>
      <c r="E8" s="17" t="s">
        <v>227</v>
      </c>
    </row>
    <row r="9" customFormat="false" ht="30" hidden="false" customHeight="true" outlineLevel="0" collapsed="false">
      <c r="A9" s="3" t="s">
        <v>228</v>
      </c>
      <c r="B9" s="3" t="s">
        <v>229</v>
      </c>
      <c r="C9" s="10"/>
      <c r="D9" s="3" t="s">
        <v>226</v>
      </c>
      <c r="E9" s="17" t="s">
        <v>230</v>
      </c>
    </row>
    <row r="10" customFormat="false" ht="30" hidden="false" customHeight="true" outlineLevel="0" collapsed="false">
      <c r="A10" s="3" t="s">
        <v>231</v>
      </c>
      <c r="B10" s="3" t="s">
        <v>232</v>
      </c>
      <c r="C10" s="10"/>
      <c r="D10" s="3" t="s">
        <v>226</v>
      </c>
      <c r="E10" s="17" t="s">
        <v>233</v>
      </c>
    </row>
    <row r="11" customFormat="false" ht="15.75" hidden="false" customHeight="true" outlineLevel="0" collapsed="false">
      <c r="A11" s="3" t="s">
        <v>234</v>
      </c>
      <c r="B11" s="3" t="s">
        <v>235</v>
      </c>
      <c r="C11" s="9" t="s">
        <v>561</v>
      </c>
      <c r="D11" s="3" t="s">
        <v>222</v>
      </c>
      <c r="E11" s="17" t="s">
        <v>237</v>
      </c>
    </row>
    <row r="12" customFormat="false" ht="30" hidden="false" customHeight="true" outlineLevel="0" collapsed="false">
      <c r="A12" s="3" t="s">
        <v>238</v>
      </c>
      <c r="B12" s="3" t="s">
        <v>239</v>
      </c>
      <c r="C12" s="9" t="s">
        <v>562</v>
      </c>
      <c r="D12" s="3" t="s">
        <v>222</v>
      </c>
      <c r="E12" s="17" t="s">
        <v>241</v>
      </c>
    </row>
    <row r="13" customFormat="false" ht="15.75" hidden="false" customHeight="true" outlineLevel="0" collapsed="false">
      <c r="A13" s="3" t="s">
        <v>242</v>
      </c>
      <c r="B13" s="3" t="s">
        <v>243</v>
      </c>
      <c r="C13" s="9" t="s">
        <v>93</v>
      </c>
      <c r="D13" s="3" t="s">
        <v>222</v>
      </c>
      <c r="E13" s="17"/>
    </row>
    <row r="14" customFormat="false" ht="30" hidden="false" customHeight="true" outlineLevel="0" collapsed="false">
      <c r="A14" s="3" t="s">
        <v>244</v>
      </c>
      <c r="B14" s="3" t="s">
        <v>245</v>
      </c>
      <c r="C14" s="9" t="s">
        <v>94</v>
      </c>
      <c r="D14" s="3" t="s">
        <v>222</v>
      </c>
      <c r="E14" s="17" t="s">
        <v>246</v>
      </c>
    </row>
    <row r="15" customFormat="false" ht="15.75" hidden="false" customHeight="true" outlineLevel="0" collapsed="false">
      <c r="A15" s="3" t="s">
        <v>247</v>
      </c>
      <c r="B15" s="3" t="s">
        <v>248</v>
      </c>
      <c r="C15" s="9" t="s">
        <v>601</v>
      </c>
      <c r="D15" s="3" t="s">
        <v>222</v>
      </c>
      <c r="E15" s="17" t="s">
        <v>249</v>
      </c>
    </row>
    <row r="16" customFormat="false" ht="30" hidden="false" customHeight="true" outlineLevel="0" collapsed="false">
      <c r="A16" s="3" t="s">
        <v>250</v>
      </c>
      <c r="B16" s="3" t="s">
        <v>251</v>
      </c>
      <c r="C16" s="9" t="s">
        <v>484</v>
      </c>
      <c r="D16" s="3" t="s">
        <v>222</v>
      </c>
      <c r="E16" s="17" t="s">
        <v>253</v>
      </c>
    </row>
    <row r="17" customFormat="false" ht="30" hidden="false" customHeight="true" outlineLevel="0" collapsed="false">
      <c r="A17" s="3" t="s">
        <v>254</v>
      </c>
      <c r="B17" s="3" t="s">
        <v>255</v>
      </c>
      <c r="C17" s="9" t="s">
        <v>456</v>
      </c>
      <c r="D17" s="3" t="s">
        <v>222</v>
      </c>
      <c r="E17" s="17" t="s">
        <v>257</v>
      </c>
    </row>
    <row r="18" customFormat="false" ht="15.75" hidden="false" customHeight="true" outlineLevel="0" collapsed="false">
      <c r="A18" s="3" t="s">
        <v>258</v>
      </c>
      <c r="B18" s="3" t="s">
        <v>259</v>
      </c>
      <c r="C18" s="9" t="s">
        <v>86</v>
      </c>
      <c r="D18" s="3" t="s">
        <v>222</v>
      </c>
      <c r="E18" s="17" t="s">
        <v>260</v>
      </c>
    </row>
    <row r="19" customFormat="false" ht="15.75" hidden="false" customHeight="true" outlineLevel="0" collapsed="false">
      <c r="A19" s="3" t="s">
        <v>261</v>
      </c>
      <c r="B19" s="3" t="s">
        <v>262</v>
      </c>
      <c r="C19" s="11" t="n">
        <v>0.005</v>
      </c>
      <c r="D19" s="3" t="s">
        <v>222</v>
      </c>
      <c r="E19" s="17" t="s">
        <v>263</v>
      </c>
    </row>
    <row r="20" customFormat="false" ht="15.75" hidden="false" customHeight="true" outlineLevel="0" collapsed="false">
      <c r="A20" s="3" t="s">
        <v>264</v>
      </c>
      <c r="B20" s="3" t="s">
        <v>265</v>
      </c>
      <c r="C20" s="11" t="n">
        <v>0.005</v>
      </c>
      <c r="D20" s="3" t="s">
        <v>222</v>
      </c>
      <c r="E20" s="17"/>
    </row>
    <row r="21" customFormat="false" ht="30" hidden="false" customHeight="true" outlineLevel="0" collapsed="false">
      <c r="A21" s="3" t="s">
        <v>266</v>
      </c>
      <c r="B21" s="3" t="s">
        <v>267</v>
      </c>
      <c r="C21" s="11" t="n">
        <v>0</v>
      </c>
      <c r="D21" s="3" t="s">
        <v>222</v>
      </c>
      <c r="E21" s="17" t="s">
        <v>268</v>
      </c>
    </row>
    <row r="22" customFormat="false" ht="15.75" hidden="false" customHeight="true" outlineLevel="0" collapsed="false">
      <c r="A22" s="3" t="s">
        <v>269</v>
      </c>
      <c r="B22" s="3" t="s">
        <v>270</v>
      </c>
      <c r="C22" s="10"/>
      <c r="D22" s="3" t="s">
        <v>226</v>
      </c>
      <c r="E22" s="17" t="s">
        <v>271</v>
      </c>
    </row>
    <row r="23" customFormat="false" ht="15.75" hidden="false" customHeight="true" outlineLevel="0" collapsed="false">
      <c r="A23" s="3" t="s">
        <v>272</v>
      </c>
      <c r="B23" s="3" t="s">
        <v>273</v>
      </c>
      <c r="C23" s="10"/>
      <c r="D23" s="3" t="s">
        <v>226</v>
      </c>
      <c r="E23" s="17" t="s">
        <v>271</v>
      </c>
    </row>
    <row r="24" customFormat="false" ht="15.75" hidden="false" customHeight="true" outlineLevel="0" collapsed="false">
      <c r="A24" s="3" t="s">
        <v>274</v>
      </c>
      <c r="B24" s="3" t="s">
        <v>275</v>
      </c>
      <c r="C24" s="10"/>
      <c r="D24" s="3" t="s">
        <v>226</v>
      </c>
      <c r="E24" s="17" t="s">
        <v>276</v>
      </c>
    </row>
    <row r="25" customFormat="false" ht="30" hidden="false" customHeight="true" outlineLevel="0" collapsed="false">
      <c r="A25" s="3" t="s">
        <v>277</v>
      </c>
      <c r="B25" s="3" t="s">
        <v>278</v>
      </c>
      <c r="C25" s="10"/>
      <c r="D25" s="3" t="s">
        <v>279</v>
      </c>
      <c r="E25" s="17" t="s">
        <v>280</v>
      </c>
    </row>
    <row r="26" customFormat="false" ht="15.75" hidden="false" customHeight="true" outlineLevel="0" collapsed="false">
      <c r="A26" s="3" t="s">
        <v>281</v>
      </c>
      <c r="B26" s="3" t="s">
        <v>282</v>
      </c>
      <c r="C26" s="9" t="s">
        <v>95</v>
      </c>
      <c r="D26" s="3" t="s">
        <v>222</v>
      </c>
      <c r="E26" s="17" t="s">
        <v>284</v>
      </c>
    </row>
    <row r="27" customFormat="false" ht="15.75" hidden="false" customHeight="true" outlineLevel="0" collapsed="false">
      <c r="A27" s="3" t="s">
        <v>285</v>
      </c>
      <c r="B27" s="3" t="s">
        <v>286</v>
      </c>
      <c r="C27" s="10"/>
      <c r="D27" s="3" t="s">
        <v>279</v>
      </c>
      <c r="E27" s="17" t="s">
        <v>288</v>
      </c>
    </row>
    <row r="28" customFormat="false" ht="15.75" hidden="false" customHeight="true" outlineLevel="0" collapsed="false">
      <c r="A28" s="3" t="s">
        <v>289</v>
      </c>
      <c r="B28" s="3" t="s">
        <v>290</v>
      </c>
      <c r="C28" s="9"/>
      <c r="D28" s="3" t="s">
        <v>279</v>
      </c>
      <c r="E28" s="17" t="s">
        <v>291</v>
      </c>
    </row>
    <row r="29" customFormat="false" ht="30" hidden="false" customHeight="true" outlineLevel="0" collapsed="false">
      <c r="A29" s="3" t="s">
        <v>292</v>
      </c>
      <c r="B29" s="3" t="s">
        <v>293</v>
      </c>
      <c r="C29" s="9" t="s">
        <v>602</v>
      </c>
      <c r="D29" s="3" t="s">
        <v>222</v>
      </c>
      <c r="E29" s="17" t="s">
        <v>295</v>
      </c>
    </row>
    <row r="30" customFormat="false" ht="15.75" hidden="false" customHeight="true" outlineLevel="0" collapsed="false">
      <c r="A30" s="3" t="s">
        <v>296</v>
      </c>
      <c r="B30" s="3" t="s">
        <v>297</v>
      </c>
      <c r="C30" s="10"/>
      <c r="D30" s="3" t="s">
        <v>226</v>
      </c>
      <c r="E30" s="17"/>
    </row>
    <row r="31" customFormat="false" ht="15.75" hidden="false" customHeight="true" outlineLevel="0" collapsed="false">
      <c r="A31" s="3" t="s">
        <v>298</v>
      </c>
      <c r="B31" s="3" t="s">
        <v>299</v>
      </c>
      <c r="C31" s="10"/>
      <c r="D31" s="3" t="s">
        <v>226</v>
      </c>
      <c r="E31" s="17" t="s">
        <v>300</v>
      </c>
    </row>
    <row r="32" customFormat="false" ht="30" hidden="false" customHeight="true" outlineLevel="0" collapsed="false">
      <c r="A32" s="3" t="s">
        <v>301</v>
      </c>
      <c r="B32" s="3" t="s">
        <v>302</v>
      </c>
      <c r="C32" s="10"/>
      <c r="D32" s="3" t="s">
        <v>226</v>
      </c>
      <c r="E32" s="17" t="s">
        <v>303</v>
      </c>
    </row>
    <row r="34" customFormat="false" ht="15" hidden="false" customHeight="false" outlineLevel="0" collapsed="false">
      <c r="A34" s="15" t="s">
        <v>304</v>
      </c>
    </row>
    <row r="35" customFormat="false" ht="15" hidden="false" customHeight="false" outlineLevel="0" collapsed="false">
      <c r="A35" s="16" t="s">
        <v>305</v>
      </c>
      <c r="B35" s="16" t="s">
        <v>306</v>
      </c>
      <c r="C35" s="16" t="s">
        <v>217</v>
      </c>
      <c r="D35" s="16" t="s">
        <v>307</v>
      </c>
      <c r="E35" s="16" t="s">
        <v>308</v>
      </c>
    </row>
    <row r="36" customFormat="false" ht="15" hidden="false" customHeight="false" outlineLevel="0" collapsed="false">
      <c r="A36" s="3" t="s">
        <v>309</v>
      </c>
      <c r="B36" s="18" t="s">
        <v>310</v>
      </c>
      <c r="C36" s="19" t="n">
        <v>8500000</v>
      </c>
      <c r="D36" s="18" t="s">
        <v>311</v>
      </c>
      <c r="E36" s="17" t="s">
        <v>312</v>
      </c>
    </row>
    <row r="37" customFormat="false" ht="15" hidden="false" customHeight="false" outlineLevel="0" collapsed="false">
      <c r="A37" s="3" t="s">
        <v>313</v>
      </c>
      <c r="B37" s="18" t="s">
        <v>314</v>
      </c>
      <c r="C37" s="7" t="s">
        <v>486</v>
      </c>
      <c r="D37" s="18" t="s">
        <v>316</v>
      </c>
      <c r="E37" s="17"/>
    </row>
    <row r="38" customFormat="false" ht="15" hidden="false" customHeight="false" outlineLevel="0" collapsed="false">
      <c r="A38" s="3" t="s">
        <v>317</v>
      </c>
      <c r="B38" s="18" t="s">
        <v>318</v>
      </c>
      <c r="C38" s="7" t="s">
        <v>487</v>
      </c>
      <c r="D38" s="18" t="s">
        <v>316</v>
      </c>
      <c r="E38" s="17"/>
    </row>
    <row r="39" customFormat="false" ht="15" hidden="false" customHeight="false" outlineLevel="0" collapsed="false">
      <c r="A39" s="3" t="s">
        <v>320</v>
      </c>
      <c r="B39" s="18" t="s">
        <v>321</v>
      </c>
      <c r="C39" s="7" t="s">
        <v>457</v>
      </c>
      <c r="D39" s="18" t="s">
        <v>316</v>
      </c>
      <c r="E39" s="17" t="s">
        <v>323</v>
      </c>
    </row>
    <row r="40" customFormat="false" ht="15" hidden="false" customHeight="false" outlineLevel="0" collapsed="false">
      <c r="A40" s="3" t="s">
        <v>324</v>
      </c>
      <c r="B40" s="18" t="s">
        <v>325</v>
      </c>
      <c r="C40" s="21"/>
      <c r="D40" s="18" t="s">
        <v>326</v>
      </c>
      <c r="E40" s="17" t="s">
        <v>327</v>
      </c>
    </row>
    <row r="41" customFormat="false" ht="22.35" hidden="false" customHeight="false" outlineLevel="0" collapsed="false">
      <c r="A41" s="3" t="s">
        <v>328</v>
      </c>
      <c r="B41" s="18" t="s">
        <v>329</v>
      </c>
      <c r="C41" s="20" t="n">
        <v>0.0125740000002698</v>
      </c>
      <c r="D41" s="18" t="s">
        <v>326</v>
      </c>
      <c r="E41" s="17" t="s">
        <v>330</v>
      </c>
    </row>
    <row r="42" customFormat="false" ht="22.35" hidden="false" customHeight="false" outlineLevel="0" collapsed="false">
      <c r="A42" s="3" t="s">
        <v>331</v>
      </c>
      <c r="B42" s="18" t="s">
        <v>332</v>
      </c>
      <c r="C42" s="22" t="n">
        <v>0</v>
      </c>
      <c r="D42" s="18" t="s">
        <v>333</v>
      </c>
      <c r="E42" s="17" t="s">
        <v>334</v>
      </c>
    </row>
    <row r="43" customFormat="false" ht="15" hidden="false" customHeight="false" outlineLevel="0" collapsed="false">
      <c r="A43" s="3" t="s">
        <v>335</v>
      </c>
      <c r="B43" s="18" t="s">
        <v>336</v>
      </c>
      <c r="C43" s="22" t="n">
        <v>0</v>
      </c>
      <c r="D43" s="18" t="s">
        <v>333</v>
      </c>
      <c r="E43" s="17" t="s">
        <v>262</v>
      </c>
    </row>
    <row r="44" customFormat="false" ht="15" hidden="false" customHeight="false" outlineLevel="0" collapsed="false">
      <c r="A44" s="3" t="s">
        <v>337</v>
      </c>
      <c r="B44" s="18" t="s">
        <v>338</v>
      </c>
      <c r="C44" s="22" t="n">
        <v>0</v>
      </c>
      <c r="D44" s="18" t="s">
        <v>333</v>
      </c>
      <c r="E44" s="17" t="s">
        <v>265</v>
      </c>
    </row>
    <row r="45" customFormat="false" ht="15" hidden="false" customHeight="false" outlineLevel="0" collapsed="false">
      <c r="A45" s="3" t="s">
        <v>339</v>
      </c>
      <c r="B45" s="18" t="s">
        <v>340</v>
      </c>
      <c r="C45" s="22" t="n">
        <v>0</v>
      </c>
      <c r="D45" s="18" t="s">
        <v>333</v>
      </c>
      <c r="E45" s="17" t="s">
        <v>267</v>
      </c>
    </row>
    <row r="46" customFormat="false" ht="15" hidden="false" customHeight="false" outlineLevel="0" collapsed="false">
      <c r="A46" s="3" t="s">
        <v>254</v>
      </c>
      <c r="B46" s="18" t="s">
        <v>341</v>
      </c>
      <c r="C46" s="7" t="s">
        <v>456</v>
      </c>
      <c r="D46" s="18" t="s">
        <v>316</v>
      </c>
      <c r="E46" s="17" t="s">
        <v>342</v>
      </c>
    </row>
    <row r="47" customFormat="false" ht="15" hidden="false" customHeight="false" outlineLevel="0" collapsed="false">
      <c r="A47" s="3" t="s">
        <v>244</v>
      </c>
      <c r="B47" s="18" t="s">
        <v>343</v>
      </c>
      <c r="C47" s="7" t="s">
        <v>94</v>
      </c>
      <c r="D47" s="18" t="s">
        <v>316</v>
      </c>
      <c r="E47" s="17" t="s">
        <v>344</v>
      </c>
    </row>
    <row r="48" customFormat="false" ht="15" hidden="false" customHeight="false" outlineLevel="0" collapsed="false">
      <c r="A48" s="3" t="s">
        <v>250</v>
      </c>
      <c r="B48" s="18" t="s">
        <v>345</v>
      </c>
      <c r="C48" s="7" t="s">
        <v>484</v>
      </c>
      <c r="D48" s="18" t="s">
        <v>316</v>
      </c>
      <c r="E48" s="17" t="s">
        <v>346</v>
      </c>
    </row>
    <row r="49" customFormat="false" ht="15" hidden="false" customHeight="false" outlineLevel="0" collapsed="false">
      <c r="A49" s="3" t="s">
        <v>347</v>
      </c>
      <c r="B49" s="18" t="s">
        <v>348</v>
      </c>
      <c r="C49" s="7" t="s">
        <v>349</v>
      </c>
      <c r="D49" s="18" t="s">
        <v>316</v>
      </c>
      <c r="E49" s="17" t="s">
        <v>350</v>
      </c>
    </row>
    <row r="50" customFormat="false" ht="15" hidden="false" customHeight="false" outlineLevel="0" collapsed="false">
      <c r="A50" s="3" t="s">
        <v>351</v>
      </c>
      <c r="B50" s="18" t="s">
        <v>352</v>
      </c>
      <c r="C50" s="19" t="n">
        <v>1</v>
      </c>
      <c r="D50" s="18" t="s">
        <v>311</v>
      </c>
      <c r="E50" s="17" t="s">
        <v>353</v>
      </c>
    </row>
    <row r="51" customFormat="false" ht="15" hidden="false" customHeight="false" outlineLevel="0" collapsed="false">
      <c r="A51" s="3" t="s">
        <v>354</v>
      </c>
      <c r="B51" s="18" t="s">
        <v>355</v>
      </c>
      <c r="C51" s="22" t="n">
        <v>0</v>
      </c>
      <c r="D51" s="18" t="s">
        <v>333</v>
      </c>
      <c r="E51" s="17" t="s">
        <v>275</v>
      </c>
    </row>
    <row r="52" customFormat="false" ht="15" hidden="false" customHeight="false" outlineLevel="0" collapsed="false">
      <c r="A52" s="3" t="s">
        <v>356</v>
      </c>
      <c r="B52" s="18" t="s">
        <v>357</v>
      </c>
      <c r="C52" s="23"/>
      <c r="D52" s="18" t="s">
        <v>333</v>
      </c>
      <c r="E52" s="17" t="s">
        <v>358</v>
      </c>
    </row>
    <row r="53" customFormat="false" ht="15" hidden="false" customHeight="false" outlineLevel="0" collapsed="false">
      <c r="A53" s="3" t="s">
        <v>281</v>
      </c>
      <c r="B53" s="18" t="s">
        <v>359</v>
      </c>
      <c r="C53" s="7" t="s">
        <v>458</v>
      </c>
      <c r="D53" s="18" t="s">
        <v>316</v>
      </c>
      <c r="E53" s="17" t="s">
        <v>361</v>
      </c>
    </row>
    <row r="54" customFormat="false" ht="15" hidden="false" customHeight="false" outlineLevel="0" collapsed="false">
      <c r="A54" s="3" t="s">
        <v>285</v>
      </c>
      <c r="B54" s="18" t="s">
        <v>360</v>
      </c>
      <c r="C54" s="22" t="n">
        <v>0</v>
      </c>
      <c r="D54" s="18" t="s">
        <v>333</v>
      </c>
      <c r="E54" s="17" t="s">
        <v>362</v>
      </c>
    </row>
    <row r="55" customFormat="false" ht="15" hidden="false" customHeight="false" outlineLevel="0" collapsed="false">
      <c r="A55" s="3" t="s">
        <v>363</v>
      </c>
      <c r="B55" s="18" t="s">
        <v>364</v>
      </c>
      <c r="C55" s="22" t="n">
        <v>0</v>
      </c>
      <c r="D55" s="18" t="s">
        <v>333</v>
      </c>
      <c r="E55" s="17" t="s">
        <v>365</v>
      </c>
    </row>
    <row r="57" customFormat="false" ht="15" hidden="false" customHeight="false" outlineLevel="0" collapsed="false">
      <c r="A57" s="15" t="s">
        <v>366</v>
      </c>
    </row>
    <row r="58" customFormat="false" ht="15" hidden="false" customHeight="false" outlineLevel="0" collapsed="false">
      <c r="A58" s="16" t="s">
        <v>367</v>
      </c>
      <c r="B58" s="16" t="s">
        <v>368</v>
      </c>
      <c r="C58" s="16" t="s">
        <v>217</v>
      </c>
      <c r="D58" s="16"/>
      <c r="E58" s="16" t="s">
        <v>369</v>
      </c>
    </row>
    <row r="59" customFormat="false" ht="22.35" hidden="false" customHeight="false" outlineLevel="0" collapsed="false">
      <c r="A59" s="3" t="s">
        <v>370</v>
      </c>
      <c r="B59" s="17" t="s">
        <v>371</v>
      </c>
      <c r="C59" s="24" t="n">
        <f aca="false">IF($C$46="market",$C$40,$C$41)</f>
        <v>0.0125740000002698</v>
      </c>
      <c r="E59" s="17" t="s">
        <v>372</v>
      </c>
    </row>
    <row r="60" customFormat="false" ht="32.8" hidden="false" customHeight="false" outlineLevel="0" collapsed="false">
      <c r="A60" s="3" t="s">
        <v>373</v>
      </c>
      <c r="B60" s="17" t="s">
        <v>374</v>
      </c>
      <c r="C60" s="24" t="n">
        <f aca="false">IF($C$48="in_per_out",$C$59/(1+$C$44),$C$59*(1-$C$44))</f>
        <v>0.0125740000002698</v>
      </c>
      <c r="E60" s="17" t="s">
        <v>375</v>
      </c>
    </row>
    <row r="61" customFormat="false" ht="23.85" hidden="false" customHeight="false" outlineLevel="0" collapsed="false">
      <c r="A61" s="3" t="s">
        <v>376</v>
      </c>
      <c r="B61" s="17" t="s">
        <v>377</v>
      </c>
      <c r="C61" s="25" t="n">
        <f aca="false">$C$36*$C$60</f>
        <v>106879.000002294</v>
      </c>
      <c r="E61" s="17" t="s">
        <v>378</v>
      </c>
    </row>
    <row r="62" customFormat="false" ht="15" hidden="false" customHeight="false" outlineLevel="0" collapsed="false">
      <c r="A62" s="3" t="s">
        <v>379</v>
      </c>
      <c r="B62" s="17" t="s">
        <v>380</v>
      </c>
      <c r="C62" s="25" t="n">
        <f aca="false">$C$61*$C$45</f>
        <v>0</v>
      </c>
      <c r="E62" s="17" t="s">
        <v>378</v>
      </c>
    </row>
    <row r="63" customFormat="false" ht="15" hidden="false" customHeight="false" outlineLevel="0" collapsed="false">
      <c r="A63" s="3" t="s">
        <v>381</v>
      </c>
      <c r="B63" s="17" t="s">
        <v>382</v>
      </c>
      <c r="C63" s="25" t="n">
        <f aca="false">$C$61-$C$62</f>
        <v>106879.000002294</v>
      </c>
      <c r="E63" s="17" t="s">
        <v>383</v>
      </c>
    </row>
    <row r="64" customFormat="false" ht="32.8" hidden="false" customHeight="false" outlineLevel="0" collapsed="false">
      <c r="A64" s="3" t="s">
        <v>384</v>
      </c>
      <c r="B64" s="17" t="s">
        <v>385</v>
      </c>
      <c r="C64" s="25" t="n">
        <f aca="false">IF($C$47="own_desk",$C$36*$C$40,IF($C$47="market_plus_pct",$C$36*$C$40*(1-$C$42),$C$36*$C$41))</f>
        <v>106879.000002294</v>
      </c>
      <c r="E64" s="17" t="s">
        <v>386</v>
      </c>
    </row>
    <row r="65" customFormat="false" ht="22.35" hidden="false" customHeight="false" outlineLevel="0" collapsed="false">
      <c r="A65" s="3" t="s">
        <v>387</v>
      </c>
      <c r="B65" s="17" t="s">
        <v>388</v>
      </c>
      <c r="C65" s="25" t="n">
        <f aca="false">$C$36*$C$40-$C$64</f>
        <v>-106879.000002294</v>
      </c>
      <c r="E65" s="17" t="s">
        <v>383</v>
      </c>
    </row>
    <row r="66" customFormat="false" ht="15" hidden="false" customHeight="false" outlineLevel="0" collapsed="false">
      <c r="A66" s="3" t="s">
        <v>389</v>
      </c>
      <c r="B66" s="17" t="s">
        <v>390</v>
      </c>
      <c r="C66" s="25" t="n">
        <f aca="false">$C$64-$C$63</f>
        <v>0</v>
      </c>
      <c r="E66" s="17" t="s">
        <v>391</v>
      </c>
    </row>
    <row r="67" customFormat="false" ht="15" hidden="false" customHeight="false" outlineLevel="0" collapsed="false">
      <c r="A67" s="3" t="s">
        <v>392</v>
      </c>
      <c r="B67" s="17" t="s">
        <v>393</v>
      </c>
      <c r="C67" s="26" t="n">
        <f aca="false">IF($C$36*$C$40=0,0,$C$66/($C$36*$C$40))</f>
        <v>0</v>
      </c>
      <c r="E67" s="17" t="s">
        <v>383</v>
      </c>
    </row>
    <row r="68" customFormat="false" ht="22.35" hidden="false" customHeight="false" outlineLevel="0" collapsed="false">
      <c r="A68" s="3" t="s">
        <v>394</v>
      </c>
      <c r="B68" s="17" t="s">
        <v>395</v>
      </c>
      <c r="C68" s="6" t="str">
        <f aca="false">IF($C$67&lt;$C$51,"YES — Finance approval","no")</f>
        <v>no</v>
      </c>
      <c r="E68" s="17" t="s">
        <v>396</v>
      </c>
    </row>
    <row r="69" customFormat="false" ht="22.35" hidden="false" customHeight="false" outlineLevel="0" collapsed="false">
      <c r="A69" s="3" t="s">
        <v>397</v>
      </c>
      <c r="B69" s="17" t="s">
        <v>398</v>
      </c>
      <c r="C69" s="25" t="n">
        <f aca="false">IF($C$49="round_up_unit",CEILING($C$63,$C$50),IF($C$49="nearest_unit",MROUND($C$63,$C$50),IF($C$49="nearest_n",MROUND($C$63,$C$50),FLOOR($C$63,$C$50))))</f>
        <v>106879</v>
      </c>
      <c r="E69" s="17" t="s">
        <v>399</v>
      </c>
    </row>
    <row r="70" customFormat="false" ht="23.85" hidden="false" customHeight="false" outlineLevel="0" collapsed="false">
      <c r="A70" s="3" t="s">
        <v>400</v>
      </c>
      <c r="B70" s="17" t="s">
        <v>401</v>
      </c>
      <c r="C70" s="25" t="n">
        <f aca="false">$C$63-$C$69</f>
        <v>2.29364377446473E-006</v>
      </c>
      <c r="E70" s="17" t="s">
        <v>402</v>
      </c>
    </row>
    <row r="71" customFormat="false" ht="22.35" hidden="false" customHeight="false" outlineLevel="0" collapsed="false">
      <c r="A71" s="3" t="s">
        <v>403</v>
      </c>
      <c r="B71" s="17" t="s">
        <v>404</v>
      </c>
      <c r="C71" s="24" t="n">
        <f aca="false">IF($C$52="",$C$59,$C$60/(1-$C$52))</f>
        <v>0.0125740000002698</v>
      </c>
      <c r="E71" s="17" t="s">
        <v>358</v>
      </c>
    </row>
    <row r="72" customFormat="false" ht="15" hidden="false" customHeight="false" outlineLevel="0" collapsed="false">
      <c r="A72" s="3" t="s">
        <v>405</v>
      </c>
      <c r="B72" s="17" t="s">
        <v>406</v>
      </c>
      <c r="C72" s="25" t="n">
        <f aca="false">IF($C$53="rebate",$C$65*$C$54,0)</f>
        <v>0</v>
      </c>
      <c r="E72" s="17" t="s">
        <v>407</v>
      </c>
    </row>
    <row r="73" customFormat="false" ht="15" hidden="false" customHeight="false" outlineLevel="0" collapsed="false">
      <c r="A73" s="3" t="s">
        <v>408</v>
      </c>
      <c r="B73" s="17" t="s">
        <v>409</v>
      </c>
      <c r="C73" s="25" t="n">
        <f aca="false">$C$36*$C$40*$C$55</f>
        <v>0</v>
      </c>
      <c r="E73" s="17" t="s">
        <v>410</v>
      </c>
    </row>
    <row r="74" customFormat="false" ht="23.85" hidden="false" customHeight="false" outlineLevel="0" collapsed="false">
      <c r="A74" s="3" t="s">
        <v>411</v>
      </c>
      <c r="B74" s="17" t="s">
        <v>412</v>
      </c>
      <c r="C74" s="25" t="n">
        <f aca="false">ROUND($C$63+$C$65+$C$66-$C$36*$C$40,6)</f>
        <v>0</v>
      </c>
      <c r="E74" s="17" t="s">
        <v>413</v>
      </c>
    </row>
    <row r="76" customFormat="false" ht="15" hidden="false" customHeight="false" outlineLevel="0" collapsed="false">
      <c r="A76" s="15" t="s">
        <v>414</v>
      </c>
    </row>
    <row r="77" customFormat="false" ht="15" hidden="false" customHeight="false" outlineLevel="0" collapsed="false">
      <c r="A77" s="16" t="s">
        <v>415</v>
      </c>
      <c r="B77" s="16" t="s">
        <v>416</v>
      </c>
      <c r="C77" s="16" t="s">
        <v>417</v>
      </c>
      <c r="D77" s="16" t="s">
        <v>418</v>
      </c>
      <c r="E77" s="16" t="s">
        <v>419</v>
      </c>
    </row>
    <row r="78" customFormat="false" ht="15" hidden="false" customHeight="false" outlineLevel="0" collapsed="false">
      <c r="A78" s="6" t="str">
        <f aca="false">"CL."&amp;$C$39&amp;"."&amp;$C$37&amp;".COLLECTED"</f>
        <v>CL.ALI.INR.COLLECTED</v>
      </c>
      <c r="B78" s="6" t="s">
        <v>420</v>
      </c>
      <c r="C78" s="25" t="n">
        <f aca="false">$C$36</f>
        <v>8500000</v>
      </c>
      <c r="D78" s="18" t="s">
        <v>421</v>
      </c>
      <c r="E78" s="18" t="s">
        <v>422</v>
      </c>
    </row>
    <row r="79" customFormat="false" ht="15" hidden="false" customHeight="false" outlineLevel="0" collapsed="false">
      <c r="A79" s="6" t="str">
        <f aca="false">"CL.PROJECT."&amp;$C$37&amp;".PAYABLE"</f>
        <v>CL.PROJECT.INR.PAYABLE</v>
      </c>
      <c r="B79" s="6" t="s">
        <v>423</v>
      </c>
      <c r="C79" s="25" t="n">
        <f aca="false">$C$36</f>
        <v>8500000</v>
      </c>
      <c r="D79" s="18" t="s">
        <v>421</v>
      </c>
      <c r="E79" s="18" t="s">
        <v>422</v>
      </c>
    </row>
    <row r="80" customFormat="false" ht="15" hidden="false" customHeight="false" outlineLevel="0" collapsed="false">
      <c r="A80" s="6" t="str">
        <f aca="false">"CL.PROJECT."&amp;$C$37&amp;".PAYABLE"</f>
        <v>CL.PROJECT.INR.PAYABLE</v>
      </c>
      <c r="B80" s="6" t="s">
        <v>420</v>
      </c>
      <c r="C80" s="25" t="n">
        <f aca="false">$C$36</f>
        <v>8500000</v>
      </c>
      <c r="D80" s="18" t="s">
        <v>421</v>
      </c>
      <c r="E80" s="18" t="s">
        <v>424</v>
      </c>
    </row>
    <row r="81" customFormat="false" ht="15" hidden="false" customHeight="false" outlineLevel="0" collapsed="false">
      <c r="A81" s="6" t="str">
        <f aca="false">"CL."&amp;$C$39&amp;"."&amp;$C$37&amp;".COLLECTED"</f>
        <v>CL.ALI.INR.COLLECTED</v>
      </c>
      <c r="B81" s="6" t="s">
        <v>423</v>
      </c>
      <c r="C81" s="25" t="n">
        <f aca="false">$C$36</f>
        <v>8500000</v>
      </c>
      <c r="D81" s="18" t="s">
        <v>421</v>
      </c>
      <c r="E81" s="18" t="s">
        <v>424</v>
      </c>
    </row>
    <row r="82" customFormat="false" ht="15" hidden="false" customHeight="false" outlineLevel="0" collapsed="false">
      <c r="A82" s="6" t="str">
        <f aca="false">"CL."&amp;$C$39&amp;"."&amp;$C$38&amp;".DUE"</f>
        <v>CL.ALI.USD.DUE</v>
      </c>
      <c r="B82" s="6" t="s">
        <v>420</v>
      </c>
      <c r="C82" s="25" t="n">
        <f aca="false">$C$63</f>
        <v>106879.000002294</v>
      </c>
      <c r="D82" s="18" t="s">
        <v>425</v>
      </c>
      <c r="E82" s="18" t="s">
        <v>426</v>
      </c>
    </row>
    <row r="83" customFormat="false" ht="15" hidden="false" customHeight="false" outlineLevel="0" collapsed="false">
      <c r="A83" s="6" t="str">
        <f aca="false">"CO."&amp;$C$39&amp;"."&amp;$C$38&amp;".POOL"</f>
        <v>CO.ALI.USD.POOL</v>
      </c>
      <c r="B83" s="6" t="s">
        <v>420</v>
      </c>
      <c r="C83" s="25" t="n">
        <f aca="false">IF($C$53="rebate",0,$C$66)</f>
        <v>0</v>
      </c>
      <c r="D83" s="18" t="s">
        <v>427</v>
      </c>
      <c r="E83" s="18" t="s">
        <v>428</v>
      </c>
    </row>
    <row r="84" customFormat="false" ht="15" hidden="false" customHeight="false" outlineLevel="0" collapsed="false">
      <c r="A84" s="6" t="str">
        <f aca="false">"CO."&amp;$C$39&amp;"."&amp;$C$38&amp;".REBATE_RECEIVABLE"</f>
        <v>CO.ALI.USD.REBATE_RECEIVABLE</v>
      </c>
      <c r="B84" s="6" t="s">
        <v>420</v>
      </c>
      <c r="C84" s="25" t="n">
        <f aca="false">$C$72</f>
        <v>0</v>
      </c>
      <c r="D84" s="18" t="s">
        <v>427</v>
      </c>
      <c r="E84" s="18" t="s">
        <v>429</v>
      </c>
    </row>
    <row r="85" customFormat="false" ht="15" hidden="false" customHeight="false" outlineLevel="0" collapsed="false">
      <c r="A85" s="6" t="str">
        <f aca="false">"CL.PROJECT."&amp;$C$38&amp;".PAYABLE"</f>
        <v>CL.PROJECT.USD.PAYABLE</v>
      </c>
      <c r="B85" s="6" t="s">
        <v>423</v>
      </c>
      <c r="C85" s="25" t="n">
        <f aca="false">$C$63</f>
        <v>106879.000002294</v>
      </c>
      <c r="D85" s="18" t="s">
        <v>421</v>
      </c>
      <c r="E85" s="18" t="s">
        <v>426</v>
      </c>
    </row>
    <row r="86" customFormat="false" ht="15" hidden="false" customHeight="false" outlineLevel="0" collapsed="false">
      <c r="A86" s="6" t="str">
        <f aca="false">"CO.NONE."&amp;$C$38&amp;".EARN_GROSS"</f>
        <v>CO.NONE.USD.EARN_GROSS</v>
      </c>
      <c r="B86" s="6" t="s">
        <v>423</v>
      </c>
      <c r="C86" s="25" t="n">
        <f aca="false">$C$66+$C$72</f>
        <v>0</v>
      </c>
      <c r="D86" s="18" t="s">
        <v>427</v>
      </c>
      <c r="E86" s="18" t="s">
        <v>430</v>
      </c>
    </row>
    <row r="87" customFormat="false" ht="15" hidden="false" customHeight="false" outlineLevel="0" collapsed="false">
      <c r="A87" s="6" t="str">
        <f aca="false">"CL."&amp;$C$39&amp;"."&amp;$C$38&amp;".INTRANSIT"</f>
        <v>CL.ALI.USD.INTRANSIT</v>
      </c>
      <c r="B87" s="6" t="s">
        <v>420</v>
      </c>
      <c r="C87" s="25" t="n">
        <f aca="false">$C$69</f>
        <v>106879</v>
      </c>
      <c r="D87" s="18" t="s">
        <v>421</v>
      </c>
      <c r="E87" s="18" t="s">
        <v>431</v>
      </c>
    </row>
    <row r="88" customFormat="false" ht="15" hidden="false" customHeight="false" outlineLevel="0" collapsed="false">
      <c r="A88" s="6" t="str">
        <f aca="false">"CL."&amp;$C$39&amp;"."&amp;$C$38&amp;".DUE"</f>
        <v>CL.ALI.USD.DUE</v>
      </c>
      <c r="B88" s="6" t="s">
        <v>423</v>
      </c>
      <c r="C88" s="25" t="n">
        <f aca="false">$C$69</f>
        <v>106879</v>
      </c>
      <c r="D88" s="18" t="s">
        <v>421</v>
      </c>
      <c r="E88" s="18" t="s">
        <v>432</v>
      </c>
    </row>
    <row r="89" customFormat="false" ht="15" hidden="false" customHeight="false" outlineLevel="0" collapsed="false">
      <c r="A89" s="6" t="str">
        <f aca="false">"CL.PROJECT."&amp;$C$38&amp;".PAYABLE"</f>
        <v>CL.PROJECT.USD.PAYABLE</v>
      </c>
      <c r="B89" s="6" t="s">
        <v>420</v>
      </c>
      <c r="C89" s="25" t="n">
        <f aca="false">$C$69</f>
        <v>106879</v>
      </c>
      <c r="D89" s="18" t="s">
        <v>421</v>
      </c>
      <c r="E89" s="18" t="s">
        <v>433</v>
      </c>
    </row>
    <row r="90" customFormat="false" ht="15" hidden="false" customHeight="false" outlineLevel="0" collapsed="false">
      <c r="A90" s="6" t="str">
        <f aca="false">"CL."&amp;$C$39&amp;"."&amp;$C$38&amp;".INTRANSIT"</f>
        <v>CL.ALI.USD.INTRANSIT</v>
      </c>
      <c r="B90" s="6" t="s">
        <v>423</v>
      </c>
      <c r="C90" s="25" t="n">
        <f aca="false">$C$69</f>
        <v>106879</v>
      </c>
      <c r="D90" s="18" t="s">
        <v>421</v>
      </c>
      <c r="E90" s="18" t="s">
        <v>433</v>
      </c>
    </row>
    <row r="91" customFormat="false" ht="15" hidden="false" customHeight="false" outlineLevel="0" collapsed="false">
      <c r="A91" s="6" t="str">
        <f aca="false">"CO.NONE."&amp;$C$38&amp;".EARN_GROSS"</f>
        <v>CO.NONE.USD.EARN_GROSS</v>
      </c>
      <c r="B91" s="6" t="s">
        <v>420</v>
      </c>
      <c r="C91" s="25" t="n">
        <f aca="false">$C$73</f>
        <v>0</v>
      </c>
      <c r="D91" s="18" t="s">
        <v>434</v>
      </c>
      <c r="E91" s="18" t="s">
        <v>435</v>
      </c>
    </row>
    <row r="92" customFormat="false" ht="15" hidden="false" customHeight="false" outlineLevel="0" collapsed="false">
      <c r="A92" s="6" t="str">
        <f aca="false">"CO.INTRODUCER."&amp;$C$38&amp;".REFERRAL_PAYABLE"</f>
        <v>CO.INTRODUCER.USD.REFERRAL_PAYABLE</v>
      </c>
      <c r="B92" s="6" t="s">
        <v>423</v>
      </c>
      <c r="C92" s="25" t="n">
        <f aca="false">$C$73</f>
        <v>0</v>
      </c>
      <c r="D92" s="18" t="s">
        <v>434</v>
      </c>
      <c r="E92" s="18" t="s">
        <v>436</v>
      </c>
    </row>
    <row r="93" customFormat="false" ht="30" hidden="false" customHeight="true" outlineLevel="0" collapsed="false">
      <c r="A93" s="27" t="s">
        <v>437</v>
      </c>
      <c r="C93" s="28" t="n">
        <f aca="false">ROUND(SUMIF($B$82:$B$92,"Dr",$C$82:$C$92)-SUMIF($B$82:$B$92,"Cr",$C$82:$C$92),6)</f>
        <v>0</v>
      </c>
      <c r="E93" s="17" t="s">
        <v>438</v>
      </c>
    </row>
    <row r="95" customFormat="false" ht="15" hidden="false" customHeight="false" outlineLevel="0" collapsed="false">
      <c r="A95" s="15" t="s">
        <v>439</v>
      </c>
    </row>
    <row r="96" customFormat="false" ht="15" hidden="false" customHeight="false" outlineLevel="0" collapsed="false">
      <c r="A96" s="16" t="s">
        <v>440</v>
      </c>
      <c r="B96" s="16" t="s">
        <v>441</v>
      </c>
      <c r="C96" s="16" t="s">
        <v>442</v>
      </c>
      <c r="D96" s="16" t="s">
        <v>443</v>
      </c>
      <c r="E96" s="16" t="s">
        <v>444</v>
      </c>
    </row>
    <row r="97" customFormat="false" ht="30" hidden="false" customHeight="true" outlineLevel="0" collapsed="false">
      <c r="A97" s="3" t="s">
        <v>498</v>
      </c>
      <c r="B97" s="19" t="n">
        <v>106879.36</v>
      </c>
      <c r="C97" s="25" t="n">
        <f aca="false">$C$61</f>
        <v>106879.000002294</v>
      </c>
      <c r="D97" s="28" t="n">
        <f aca="false">ROUND(C97-B97,2)</f>
        <v>-0.36</v>
      </c>
      <c r="E97" s="17" t="s">
        <v>603</v>
      </c>
    </row>
    <row r="99" customFormat="false" ht="15" hidden="false" customHeight="false" outlineLevel="0" collapsed="false">
      <c r="A99" s="15" t="s">
        <v>447</v>
      </c>
    </row>
    <row r="100" customFormat="false" ht="31.5" hidden="false" customHeight="true" outlineLevel="0" collapsed="false">
      <c r="A100" s="13" t="s">
        <v>448</v>
      </c>
      <c r="B100" s="29" t="s">
        <v>604</v>
      </c>
      <c r="C100" s="29"/>
      <c r="D100" s="29"/>
      <c r="E100" s="29"/>
    </row>
    <row r="101" customFormat="false" ht="31.5" hidden="false" customHeight="true" outlineLevel="0" collapsed="false">
      <c r="A101" s="13" t="s">
        <v>448</v>
      </c>
      <c r="B101" s="29" t="s">
        <v>605</v>
      </c>
      <c r="C101" s="29"/>
      <c r="D101" s="29"/>
      <c r="E101" s="29"/>
    </row>
  </sheetData>
  <mergeCells count="2">
    <mergeCell ref="B100:E100"/>
    <mergeCell ref="B101:E10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1" style="0" width="34"/>
    <col collapsed="false" customWidth="true" hidden="false" outlineLevel="0" max="3" min="3" style="0" width="22"/>
    <col collapsed="false" customWidth="true" hidden="false" outlineLevel="0" max="4" min="4" style="0" width="18"/>
    <col collapsed="false" customWidth="true" hidden="false" outlineLevel="0" max="5" min="5" style="0" width="48"/>
  </cols>
  <sheetData>
    <row r="1" customFormat="false" ht="16.15" hidden="false" customHeight="false" outlineLevel="0" collapsed="false">
      <c r="A1" s="1" t="s">
        <v>606</v>
      </c>
    </row>
    <row r="2" customFormat="false" ht="15" hidden="false" customHeight="false" outlineLevel="0" collapsed="false">
      <c r="A2" s="12" t="s">
        <v>210</v>
      </c>
      <c r="B2" s="13" t="s">
        <v>607</v>
      </c>
    </row>
    <row r="3" customFormat="false" ht="30" hidden="false" customHeight="true" outlineLevel="0" collapsed="false">
      <c r="A3" s="12" t="s">
        <v>212</v>
      </c>
      <c r="B3" s="14" t="s">
        <v>608</v>
      </c>
    </row>
    <row r="5" customFormat="false" ht="15" hidden="false" customHeight="false" outlineLevel="0" collapsed="false">
      <c r="A5" s="15" t="s">
        <v>214</v>
      </c>
    </row>
    <row r="6" customFormat="false" ht="15" hidden="false" customHeight="false" outlineLevel="0" collapsed="false">
      <c r="A6" s="16" t="s">
        <v>215</v>
      </c>
      <c r="B6" s="16" t="s">
        <v>216</v>
      </c>
      <c r="C6" s="16" t="s">
        <v>217</v>
      </c>
      <c r="D6" s="16" t="s">
        <v>218</v>
      </c>
      <c r="E6" s="16" t="s">
        <v>219</v>
      </c>
    </row>
    <row r="7" customFormat="false" ht="30" hidden="false" customHeight="true" outlineLevel="0" collapsed="false">
      <c r="A7" s="3" t="s">
        <v>220</v>
      </c>
      <c r="B7" s="3" t="s">
        <v>221</v>
      </c>
      <c r="C7" s="9" t="s">
        <v>206</v>
      </c>
      <c r="D7" s="3" t="s">
        <v>222</v>
      </c>
      <c r="E7" s="17" t="s">
        <v>223</v>
      </c>
    </row>
    <row r="8" customFormat="false" ht="30" hidden="false" customHeight="true" outlineLevel="0" collapsed="false">
      <c r="A8" s="3" t="s">
        <v>224</v>
      </c>
      <c r="B8" s="3" t="s">
        <v>225</v>
      </c>
      <c r="C8" s="9" t="s">
        <v>609</v>
      </c>
      <c r="D8" s="3" t="s">
        <v>222</v>
      </c>
      <c r="E8" s="17" t="s">
        <v>227</v>
      </c>
    </row>
    <row r="9" customFormat="false" ht="30" hidden="false" customHeight="true" outlineLevel="0" collapsed="false">
      <c r="A9" s="3" t="s">
        <v>228</v>
      </c>
      <c r="B9" s="3" t="s">
        <v>229</v>
      </c>
      <c r="C9" s="10"/>
      <c r="D9" s="3" t="s">
        <v>226</v>
      </c>
      <c r="E9" s="17" t="s">
        <v>230</v>
      </c>
    </row>
    <row r="10" customFormat="false" ht="30" hidden="false" customHeight="true" outlineLevel="0" collapsed="false">
      <c r="A10" s="3" t="s">
        <v>231</v>
      </c>
      <c r="B10" s="3" t="s">
        <v>232</v>
      </c>
      <c r="C10" s="10"/>
      <c r="D10" s="3" t="s">
        <v>226</v>
      </c>
      <c r="E10" s="17" t="s">
        <v>233</v>
      </c>
    </row>
    <row r="11" customFormat="false" ht="15.75" hidden="false" customHeight="true" outlineLevel="0" collapsed="false">
      <c r="A11" s="3" t="s">
        <v>234</v>
      </c>
      <c r="B11" s="3" t="s">
        <v>235</v>
      </c>
      <c r="C11" s="9" t="s">
        <v>236</v>
      </c>
      <c r="D11" s="3" t="s">
        <v>222</v>
      </c>
      <c r="E11" s="17" t="s">
        <v>237</v>
      </c>
    </row>
    <row r="12" customFormat="false" ht="30" hidden="false" customHeight="true" outlineLevel="0" collapsed="false">
      <c r="A12" s="3" t="s">
        <v>238</v>
      </c>
      <c r="B12" s="3" t="s">
        <v>239</v>
      </c>
      <c r="C12" s="9" t="s">
        <v>497</v>
      </c>
      <c r="D12" s="3" t="s">
        <v>222</v>
      </c>
      <c r="E12" s="17" t="s">
        <v>241</v>
      </c>
    </row>
    <row r="13" customFormat="false" ht="15.75" hidden="false" customHeight="true" outlineLevel="0" collapsed="false">
      <c r="A13" s="3" t="s">
        <v>242</v>
      </c>
      <c r="B13" s="3" t="s">
        <v>243</v>
      </c>
      <c r="C13" s="9" t="s">
        <v>93</v>
      </c>
      <c r="D13" s="3" t="s">
        <v>222</v>
      </c>
      <c r="E13" s="17"/>
    </row>
    <row r="14" customFormat="false" ht="30" hidden="false" customHeight="true" outlineLevel="0" collapsed="false">
      <c r="A14" s="3" t="s">
        <v>244</v>
      </c>
      <c r="B14" s="3" t="s">
        <v>245</v>
      </c>
      <c r="C14" s="9" t="s">
        <v>94</v>
      </c>
      <c r="D14" s="3" t="s">
        <v>222</v>
      </c>
      <c r="E14" s="17" t="s">
        <v>246</v>
      </c>
    </row>
    <row r="15" customFormat="false" ht="15.75" hidden="false" customHeight="true" outlineLevel="0" collapsed="false">
      <c r="A15" s="3" t="s">
        <v>247</v>
      </c>
      <c r="B15" s="3" t="s">
        <v>248</v>
      </c>
      <c r="C15" s="9" t="s">
        <v>610</v>
      </c>
      <c r="D15" s="3" t="s">
        <v>222</v>
      </c>
      <c r="E15" s="17" t="s">
        <v>249</v>
      </c>
    </row>
    <row r="16" customFormat="false" ht="30" hidden="false" customHeight="true" outlineLevel="0" collapsed="false">
      <c r="A16" s="3" t="s">
        <v>250</v>
      </c>
      <c r="B16" s="3" t="s">
        <v>251</v>
      </c>
      <c r="C16" s="9" t="s">
        <v>252</v>
      </c>
      <c r="D16" s="3" t="s">
        <v>222</v>
      </c>
      <c r="E16" s="17" t="s">
        <v>253</v>
      </c>
    </row>
    <row r="17" customFormat="false" ht="30" hidden="false" customHeight="true" outlineLevel="0" collapsed="false">
      <c r="A17" s="3" t="s">
        <v>254</v>
      </c>
      <c r="B17" s="3" t="s">
        <v>255</v>
      </c>
      <c r="C17" s="9" t="s">
        <v>456</v>
      </c>
      <c r="D17" s="3" t="s">
        <v>222</v>
      </c>
      <c r="E17" s="17" t="s">
        <v>257</v>
      </c>
    </row>
    <row r="18" customFormat="false" ht="15.75" hidden="false" customHeight="true" outlineLevel="0" collapsed="false">
      <c r="A18" s="3" t="s">
        <v>258</v>
      </c>
      <c r="B18" s="3" t="s">
        <v>259</v>
      </c>
      <c r="C18" s="9" t="s">
        <v>86</v>
      </c>
      <c r="D18" s="3" t="s">
        <v>222</v>
      </c>
      <c r="E18" s="17" t="s">
        <v>260</v>
      </c>
    </row>
    <row r="19" customFormat="false" ht="15.75" hidden="false" customHeight="true" outlineLevel="0" collapsed="false">
      <c r="A19" s="3" t="s">
        <v>261</v>
      </c>
      <c r="B19" s="3" t="s">
        <v>262</v>
      </c>
      <c r="C19" s="11" t="n">
        <v>0</v>
      </c>
      <c r="D19" s="3" t="s">
        <v>222</v>
      </c>
      <c r="E19" s="17" t="s">
        <v>263</v>
      </c>
    </row>
    <row r="20" customFormat="false" ht="15.75" hidden="false" customHeight="true" outlineLevel="0" collapsed="false">
      <c r="A20" s="3" t="s">
        <v>264</v>
      </c>
      <c r="B20" s="3" t="s">
        <v>265</v>
      </c>
      <c r="C20" s="11" t="n">
        <v>0</v>
      </c>
      <c r="D20" s="3" t="s">
        <v>222</v>
      </c>
      <c r="E20" s="17"/>
    </row>
    <row r="21" customFormat="false" ht="30" hidden="false" customHeight="true" outlineLevel="0" collapsed="false">
      <c r="A21" s="3" t="s">
        <v>266</v>
      </c>
      <c r="B21" s="3" t="s">
        <v>267</v>
      </c>
      <c r="C21" s="11" t="n">
        <v>0</v>
      </c>
      <c r="D21" s="3" t="s">
        <v>222</v>
      </c>
      <c r="E21" s="17" t="s">
        <v>268</v>
      </c>
    </row>
    <row r="22" customFormat="false" ht="15.75" hidden="false" customHeight="true" outlineLevel="0" collapsed="false">
      <c r="A22" s="3" t="s">
        <v>269</v>
      </c>
      <c r="B22" s="3" t="s">
        <v>270</v>
      </c>
      <c r="C22" s="10"/>
      <c r="D22" s="3" t="s">
        <v>226</v>
      </c>
      <c r="E22" s="17" t="s">
        <v>271</v>
      </c>
    </row>
    <row r="23" customFormat="false" ht="15.75" hidden="false" customHeight="true" outlineLevel="0" collapsed="false">
      <c r="A23" s="3" t="s">
        <v>272</v>
      </c>
      <c r="B23" s="3" t="s">
        <v>273</v>
      </c>
      <c r="C23" s="10"/>
      <c r="D23" s="3" t="s">
        <v>226</v>
      </c>
      <c r="E23" s="17" t="s">
        <v>271</v>
      </c>
    </row>
    <row r="24" customFormat="false" ht="15.75" hidden="false" customHeight="true" outlineLevel="0" collapsed="false">
      <c r="A24" s="3" t="s">
        <v>274</v>
      </c>
      <c r="B24" s="3" t="s">
        <v>275</v>
      </c>
      <c r="C24" s="11" t="n">
        <v>0</v>
      </c>
      <c r="D24" s="3" t="s">
        <v>222</v>
      </c>
      <c r="E24" s="17" t="s">
        <v>276</v>
      </c>
    </row>
    <row r="25" customFormat="false" ht="30" hidden="false" customHeight="true" outlineLevel="0" collapsed="false">
      <c r="A25" s="3" t="s">
        <v>277</v>
      </c>
      <c r="B25" s="3" t="s">
        <v>278</v>
      </c>
      <c r="C25" s="10"/>
      <c r="D25" s="3" t="s">
        <v>279</v>
      </c>
      <c r="E25" s="17" t="s">
        <v>280</v>
      </c>
    </row>
    <row r="26" customFormat="false" ht="15.75" hidden="false" customHeight="true" outlineLevel="0" collapsed="false">
      <c r="A26" s="3" t="s">
        <v>281</v>
      </c>
      <c r="B26" s="3" t="s">
        <v>282</v>
      </c>
      <c r="C26" s="9" t="s">
        <v>95</v>
      </c>
      <c r="D26" s="3" t="s">
        <v>222</v>
      </c>
      <c r="E26" s="17" t="s">
        <v>284</v>
      </c>
    </row>
    <row r="27" customFormat="false" ht="15.75" hidden="false" customHeight="true" outlineLevel="0" collapsed="false">
      <c r="A27" s="3" t="s">
        <v>285</v>
      </c>
      <c r="B27" s="3" t="s">
        <v>286</v>
      </c>
      <c r="C27" s="10"/>
      <c r="D27" s="3" t="s">
        <v>279</v>
      </c>
      <c r="E27" s="17" t="s">
        <v>288</v>
      </c>
    </row>
    <row r="28" customFormat="false" ht="15.75" hidden="false" customHeight="true" outlineLevel="0" collapsed="false">
      <c r="A28" s="3" t="s">
        <v>289</v>
      </c>
      <c r="B28" s="3" t="s">
        <v>290</v>
      </c>
      <c r="C28" s="9"/>
      <c r="D28" s="3" t="s">
        <v>279</v>
      </c>
      <c r="E28" s="17" t="s">
        <v>291</v>
      </c>
    </row>
    <row r="29" customFormat="false" ht="30" hidden="false" customHeight="true" outlineLevel="0" collapsed="false">
      <c r="A29" s="3" t="s">
        <v>292</v>
      </c>
      <c r="B29" s="3" t="s">
        <v>293</v>
      </c>
      <c r="C29" s="9" t="s">
        <v>294</v>
      </c>
      <c r="D29" s="3" t="s">
        <v>222</v>
      </c>
      <c r="E29" s="17" t="s">
        <v>295</v>
      </c>
    </row>
    <row r="30" customFormat="false" ht="15.75" hidden="false" customHeight="true" outlineLevel="0" collapsed="false">
      <c r="A30" s="3" t="s">
        <v>296</v>
      </c>
      <c r="B30" s="3" t="s">
        <v>297</v>
      </c>
      <c r="C30" s="10"/>
      <c r="D30" s="3" t="s">
        <v>226</v>
      </c>
      <c r="E30" s="17"/>
    </row>
    <row r="31" customFormat="false" ht="15.75" hidden="false" customHeight="true" outlineLevel="0" collapsed="false">
      <c r="A31" s="3" t="s">
        <v>298</v>
      </c>
      <c r="B31" s="3" t="s">
        <v>299</v>
      </c>
      <c r="C31" s="10"/>
      <c r="D31" s="3" t="s">
        <v>226</v>
      </c>
      <c r="E31" s="17" t="s">
        <v>300</v>
      </c>
    </row>
    <row r="32" customFormat="false" ht="30" hidden="false" customHeight="true" outlineLevel="0" collapsed="false">
      <c r="A32" s="3" t="s">
        <v>301</v>
      </c>
      <c r="B32" s="3" t="s">
        <v>302</v>
      </c>
      <c r="C32" s="10"/>
      <c r="D32" s="3" t="s">
        <v>226</v>
      </c>
      <c r="E32" s="17" t="s">
        <v>303</v>
      </c>
    </row>
    <row r="34" customFormat="false" ht="15" hidden="false" customHeight="false" outlineLevel="0" collapsed="false">
      <c r="A34" s="15" t="s">
        <v>304</v>
      </c>
    </row>
    <row r="35" customFormat="false" ht="15" hidden="false" customHeight="false" outlineLevel="0" collapsed="false">
      <c r="A35" s="16" t="s">
        <v>305</v>
      </c>
      <c r="B35" s="16" t="s">
        <v>306</v>
      </c>
      <c r="C35" s="16" t="s">
        <v>217</v>
      </c>
      <c r="D35" s="16" t="s">
        <v>307</v>
      </c>
      <c r="E35" s="16" t="s">
        <v>308</v>
      </c>
    </row>
    <row r="36" customFormat="false" ht="15" hidden="false" customHeight="false" outlineLevel="0" collapsed="false">
      <c r="A36" s="3" t="s">
        <v>309</v>
      </c>
      <c r="B36" s="18" t="s">
        <v>310</v>
      </c>
      <c r="C36" s="19" t="n">
        <v>10000</v>
      </c>
      <c r="D36" s="18" t="s">
        <v>311</v>
      </c>
      <c r="E36" s="17" t="s">
        <v>312</v>
      </c>
    </row>
    <row r="37" customFormat="false" ht="15" hidden="false" customHeight="false" outlineLevel="0" collapsed="false">
      <c r="A37" s="3" t="s">
        <v>313</v>
      </c>
      <c r="B37" s="18" t="s">
        <v>314</v>
      </c>
      <c r="C37" s="7" t="s">
        <v>315</v>
      </c>
      <c r="D37" s="18" t="s">
        <v>316</v>
      </c>
      <c r="E37" s="17"/>
    </row>
    <row r="38" customFormat="false" ht="15" hidden="false" customHeight="false" outlineLevel="0" collapsed="false">
      <c r="A38" s="3" t="s">
        <v>317</v>
      </c>
      <c r="B38" s="18" t="s">
        <v>318</v>
      </c>
      <c r="C38" s="7" t="s">
        <v>487</v>
      </c>
      <c r="D38" s="18" t="s">
        <v>316</v>
      </c>
      <c r="E38" s="17"/>
    </row>
    <row r="39" customFormat="false" ht="15" hidden="false" customHeight="false" outlineLevel="0" collapsed="false">
      <c r="A39" s="3" t="s">
        <v>320</v>
      </c>
      <c r="B39" s="18" t="s">
        <v>321</v>
      </c>
      <c r="C39" s="7" t="s">
        <v>457</v>
      </c>
      <c r="D39" s="18" t="s">
        <v>316</v>
      </c>
      <c r="E39" s="17" t="s">
        <v>323</v>
      </c>
    </row>
    <row r="40" customFormat="false" ht="15" hidden="false" customHeight="false" outlineLevel="0" collapsed="false">
      <c r="A40" s="3" t="s">
        <v>324</v>
      </c>
      <c r="B40" s="18" t="s">
        <v>325</v>
      </c>
      <c r="C40" s="20" t="n">
        <v>1</v>
      </c>
      <c r="D40" s="18" t="s">
        <v>326</v>
      </c>
      <c r="E40" s="17" t="s">
        <v>327</v>
      </c>
    </row>
    <row r="41" customFormat="false" ht="22.35" hidden="false" customHeight="false" outlineLevel="0" collapsed="false">
      <c r="A41" s="3" t="s">
        <v>328</v>
      </c>
      <c r="B41" s="18" t="s">
        <v>329</v>
      </c>
      <c r="C41" s="20" t="n">
        <v>0.996</v>
      </c>
      <c r="D41" s="18" t="s">
        <v>326</v>
      </c>
      <c r="E41" s="17" t="s">
        <v>330</v>
      </c>
    </row>
    <row r="42" customFormat="false" ht="22.35" hidden="false" customHeight="false" outlineLevel="0" collapsed="false">
      <c r="A42" s="3" t="s">
        <v>331</v>
      </c>
      <c r="B42" s="18" t="s">
        <v>332</v>
      </c>
      <c r="C42" s="22" t="n">
        <v>0</v>
      </c>
      <c r="D42" s="18" t="s">
        <v>333</v>
      </c>
      <c r="E42" s="17" t="s">
        <v>334</v>
      </c>
    </row>
    <row r="43" customFormat="false" ht="15" hidden="false" customHeight="false" outlineLevel="0" collapsed="false">
      <c r="A43" s="3" t="s">
        <v>335</v>
      </c>
      <c r="B43" s="18" t="s">
        <v>336</v>
      </c>
      <c r="C43" s="22" t="n">
        <v>0</v>
      </c>
      <c r="D43" s="18" t="s">
        <v>333</v>
      </c>
      <c r="E43" s="17" t="s">
        <v>262</v>
      </c>
    </row>
    <row r="44" customFormat="false" ht="15" hidden="false" customHeight="false" outlineLevel="0" collapsed="false">
      <c r="A44" s="3" t="s">
        <v>337</v>
      </c>
      <c r="B44" s="18" t="s">
        <v>338</v>
      </c>
      <c r="C44" s="22" t="n">
        <v>0</v>
      </c>
      <c r="D44" s="18" t="s">
        <v>333</v>
      </c>
      <c r="E44" s="17" t="s">
        <v>265</v>
      </c>
    </row>
    <row r="45" customFormat="false" ht="15" hidden="false" customHeight="false" outlineLevel="0" collapsed="false">
      <c r="A45" s="3" t="s">
        <v>339</v>
      </c>
      <c r="B45" s="18" t="s">
        <v>340</v>
      </c>
      <c r="C45" s="22" t="n">
        <v>0</v>
      </c>
      <c r="D45" s="18" t="s">
        <v>333</v>
      </c>
      <c r="E45" s="17" t="s">
        <v>267</v>
      </c>
    </row>
    <row r="46" customFormat="false" ht="15" hidden="false" customHeight="false" outlineLevel="0" collapsed="false">
      <c r="A46" s="3" t="s">
        <v>254</v>
      </c>
      <c r="B46" s="18" t="s">
        <v>341</v>
      </c>
      <c r="C46" s="7" t="s">
        <v>456</v>
      </c>
      <c r="D46" s="18" t="s">
        <v>316</v>
      </c>
      <c r="E46" s="17" t="s">
        <v>342</v>
      </c>
    </row>
    <row r="47" customFormat="false" ht="15" hidden="false" customHeight="false" outlineLevel="0" collapsed="false">
      <c r="A47" s="3" t="s">
        <v>244</v>
      </c>
      <c r="B47" s="18" t="s">
        <v>343</v>
      </c>
      <c r="C47" s="7" t="s">
        <v>94</v>
      </c>
      <c r="D47" s="18" t="s">
        <v>316</v>
      </c>
      <c r="E47" s="17" t="s">
        <v>344</v>
      </c>
    </row>
    <row r="48" customFormat="false" ht="15" hidden="false" customHeight="false" outlineLevel="0" collapsed="false">
      <c r="A48" s="3" t="s">
        <v>250</v>
      </c>
      <c r="B48" s="18" t="s">
        <v>345</v>
      </c>
      <c r="C48" s="7" t="s">
        <v>252</v>
      </c>
      <c r="D48" s="18" t="s">
        <v>316</v>
      </c>
      <c r="E48" s="17" t="s">
        <v>346</v>
      </c>
    </row>
    <row r="49" customFormat="false" ht="15" hidden="false" customHeight="false" outlineLevel="0" collapsed="false">
      <c r="A49" s="3" t="s">
        <v>347</v>
      </c>
      <c r="B49" s="18" t="s">
        <v>348</v>
      </c>
      <c r="C49" s="7" t="s">
        <v>349</v>
      </c>
      <c r="D49" s="18" t="s">
        <v>316</v>
      </c>
      <c r="E49" s="17" t="s">
        <v>350</v>
      </c>
    </row>
    <row r="50" customFormat="false" ht="15" hidden="false" customHeight="false" outlineLevel="0" collapsed="false">
      <c r="A50" s="3" t="s">
        <v>351</v>
      </c>
      <c r="B50" s="18" t="s">
        <v>352</v>
      </c>
      <c r="C50" s="19" t="n">
        <v>1</v>
      </c>
      <c r="D50" s="18" t="s">
        <v>311</v>
      </c>
      <c r="E50" s="17" t="s">
        <v>353</v>
      </c>
    </row>
    <row r="51" customFormat="false" ht="15" hidden="false" customHeight="false" outlineLevel="0" collapsed="false">
      <c r="A51" s="3" t="s">
        <v>354</v>
      </c>
      <c r="B51" s="18" t="s">
        <v>355</v>
      </c>
      <c r="C51" s="22" t="n">
        <v>0</v>
      </c>
      <c r="D51" s="18" t="s">
        <v>333</v>
      </c>
      <c r="E51" s="17" t="s">
        <v>275</v>
      </c>
    </row>
    <row r="52" customFormat="false" ht="15" hidden="false" customHeight="false" outlineLevel="0" collapsed="false">
      <c r="A52" s="3" t="s">
        <v>356</v>
      </c>
      <c r="B52" s="18" t="s">
        <v>357</v>
      </c>
      <c r="C52" s="23"/>
      <c r="D52" s="18" t="s">
        <v>333</v>
      </c>
      <c r="E52" s="17" t="s">
        <v>358</v>
      </c>
    </row>
    <row r="53" customFormat="false" ht="15" hidden="false" customHeight="false" outlineLevel="0" collapsed="false">
      <c r="A53" s="3" t="s">
        <v>281</v>
      </c>
      <c r="B53" s="18" t="s">
        <v>359</v>
      </c>
      <c r="C53" s="7" t="s">
        <v>458</v>
      </c>
      <c r="D53" s="18" t="s">
        <v>316</v>
      </c>
      <c r="E53" s="17" t="s">
        <v>361</v>
      </c>
    </row>
    <row r="54" customFormat="false" ht="15" hidden="false" customHeight="false" outlineLevel="0" collapsed="false">
      <c r="A54" s="3" t="s">
        <v>285</v>
      </c>
      <c r="B54" s="18" t="s">
        <v>360</v>
      </c>
      <c r="C54" s="22" t="n">
        <v>0</v>
      </c>
      <c r="D54" s="18" t="s">
        <v>333</v>
      </c>
      <c r="E54" s="17" t="s">
        <v>362</v>
      </c>
    </row>
    <row r="55" customFormat="false" ht="15" hidden="false" customHeight="false" outlineLevel="0" collapsed="false">
      <c r="A55" s="3" t="s">
        <v>363</v>
      </c>
      <c r="B55" s="18" t="s">
        <v>364</v>
      </c>
      <c r="C55" s="22" t="n">
        <v>0</v>
      </c>
      <c r="D55" s="18" t="s">
        <v>333</v>
      </c>
      <c r="E55" s="17" t="s">
        <v>365</v>
      </c>
    </row>
    <row r="57" customFormat="false" ht="15" hidden="false" customHeight="false" outlineLevel="0" collapsed="false">
      <c r="A57" s="15" t="s">
        <v>366</v>
      </c>
    </row>
    <row r="58" customFormat="false" ht="15" hidden="false" customHeight="false" outlineLevel="0" collapsed="false">
      <c r="A58" s="16" t="s">
        <v>367</v>
      </c>
      <c r="B58" s="16" t="s">
        <v>368</v>
      </c>
      <c r="C58" s="16" t="s">
        <v>217</v>
      </c>
      <c r="D58" s="16"/>
      <c r="E58" s="16" t="s">
        <v>369</v>
      </c>
    </row>
    <row r="59" customFormat="false" ht="22.35" hidden="false" customHeight="false" outlineLevel="0" collapsed="false">
      <c r="A59" s="3" t="s">
        <v>370</v>
      </c>
      <c r="B59" s="17" t="s">
        <v>371</v>
      </c>
      <c r="C59" s="24" t="n">
        <f aca="false">IF($C$46="market",$C$40,$C$41)</f>
        <v>0.996</v>
      </c>
      <c r="E59" s="17" t="s">
        <v>372</v>
      </c>
    </row>
    <row r="60" customFormat="false" ht="32.8" hidden="false" customHeight="false" outlineLevel="0" collapsed="false">
      <c r="A60" s="3" t="s">
        <v>373</v>
      </c>
      <c r="B60" s="17" t="s">
        <v>374</v>
      </c>
      <c r="C60" s="24" t="n">
        <f aca="false">IF($C$48="in_per_out",$C$59/(1+$C$44),$C$59*(1-$C$44))</f>
        <v>0.996</v>
      </c>
      <c r="E60" s="17" t="s">
        <v>375</v>
      </c>
    </row>
    <row r="61" customFormat="false" ht="23.85" hidden="false" customHeight="false" outlineLevel="0" collapsed="false">
      <c r="A61" s="3" t="s">
        <v>376</v>
      </c>
      <c r="B61" s="17" t="s">
        <v>377</v>
      </c>
      <c r="C61" s="25" t="n">
        <f aca="false">$C$36*$C$60</f>
        <v>9960</v>
      </c>
      <c r="E61" s="17" t="s">
        <v>378</v>
      </c>
    </row>
    <row r="62" customFormat="false" ht="15" hidden="false" customHeight="false" outlineLevel="0" collapsed="false">
      <c r="A62" s="3" t="s">
        <v>379</v>
      </c>
      <c r="B62" s="17" t="s">
        <v>380</v>
      </c>
      <c r="C62" s="25" t="n">
        <f aca="false">$C$61*$C$45</f>
        <v>0</v>
      </c>
      <c r="E62" s="17" t="s">
        <v>378</v>
      </c>
    </row>
    <row r="63" customFormat="false" ht="15" hidden="false" customHeight="false" outlineLevel="0" collapsed="false">
      <c r="A63" s="3" t="s">
        <v>381</v>
      </c>
      <c r="B63" s="17" t="s">
        <v>382</v>
      </c>
      <c r="C63" s="25" t="n">
        <f aca="false">$C$61-$C$62</f>
        <v>9960</v>
      </c>
      <c r="E63" s="17" t="s">
        <v>383</v>
      </c>
    </row>
    <row r="64" customFormat="false" ht="32.8" hidden="false" customHeight="false" outlineLevel="0" collapsed="false">
      <c r="A64" s="3" t="s">
        <v>384</v>
      </c>
      <c r="B64" s="17" t="s">
        <v>385</v>
      </c>
      <c r="C64" s="25" t="n">
        <f aca="false">IF($C$47="own_desk",$C$36*$C$40,IF($C$47="market_plus_pct",$C$36*$C$40*(1-$C$42),$C$36*$C$41))</f>
        <v>9960</v>
      </c>
      <c r="E64" s="17" t="s">
        <v>386</v>
      </c>
    </row>
    <row r="65" customFormat="false" ht="22.35" hidden="false" customHeight="false" outlineLevel="0" collapsed="false">
      <c r="A65" s="3" t="s">
        <v>387</v>
      </c>
      <c r="B65" s="17" t="s">
        <v>388</v>
      </c>
      <c r="C65" s="25" t="n">
        <f aca="false">$C$36*$C$40-$C$64</f>
        <v>40</v>
      </c>
      <c r="E65" s="17" t="s">
        <v>383</v>
      </c>
    </row>
    <row r="66" customFormat="false" ht="15" hidden="false" customHeight="false" outlineLevel="0" collapsed="false">
      <c r="A66" s="3" t="s">
        <v>389</v>
      </c>
      <c r="B66" s="17" t="s">
        <v>390</v>
      </c>
      <c r="C66" s="25" t="n">
        <f aca="false">$C$64-$C$63</f>
        <v>0</v>
      </c>
      <c r="E66" s="17" t="s">
        <v>391</v>
      </c>
    </row>
    <row r="67" customFormat="false" ht="15" hidden="false" customHeight="false" outlineLevel="0" collapsed="false">
      <c r="A67" s="3" t="s">
        <v>392</v>
      </c>
      <c r="B67" s="17" t="s">
        <v>393</v>
      </c>
      <c r="C67" s="26" t="n">
        <f aca="false">IF($C$36*$C$40=0,0,$C$66/($C$36*$C$40))</f>
        <v>0</v>
      </c>
      <c r="E67" s="17" t="s">
        <v>383</v>
      </c>
    </row>
    <row r="68" customFormat="false" ht="22.35" hidden="false" customHeight="false" outlineLevel="0" collapsed="false">
      <c r="A68" s="3" t="s">
        <v>394</v>
      </c>
      <c r="B68" s="17" t="s">
        <v>395</v>
      </c>
      <c r="C68" s="6" t="str">
        <f aca="false">IF($C$67&lt;$C$51,"YES — Finance approval","no")</f>
        <v>no</v>
      </c>
      <c r="E68" s="17" t="s">
        <v>396</v>
      </c>
    </row>
    <row r="69" customFormat="false" ht="22.35" hidden="false" customHeight="false" outlineLevel="0" collapsed="false">
      <c r="A69" s="3" t="s">
        <v>397</v>
      </c>
      <c r="B69" s="17" t="s">
        <v>398</v>
      </c>
      <c r="C69" s="25" t="n">
        <f aca="false">IF($C$49="round_up_unit",CEILING($C$63,$C$50),IF($C$49="nearest_unit",MROUND($C$63,$C$50),IF($C$49="nearest_n",MROUND($C$63,$C$50),FLOOR($C$63,$C$50))))</f>
        <v>9960</v>
      </c>
      <c r="E69" s="17" t="s">
        <v>399</v>
      </c>
    </row>
    <row r="70" customFormat="false" ht="23.85" hidden="false" customHeight="false" outlineLevel="0" collapsed="false">
      <c r="A70" s="3" t="s">
        <v>400</v>
      </c>
      <c r="B70" s="17" t="s">
        <v>401</v>
      </c>
      <c r="C70" s="25" t="n">
        <f aca="false">$C$63-$C$69</f>
        <v>0</v>
      </c>
      <c r="E70" s="17" t="s">
        <v>402</v>
      </c>
    </row>
    <row r="71" customFormat="false" ht="22.35" hidden="false" customHeight="false" outlineLevel="0" collapsed="false">
      <c r="A71" s="3" t="s">
        <v>403</v>
      </c>
      <c r="B71" s="17" t="s">
        <v>404</v>
      </c>
      <c r="C71" s="24" t="n">
        <f aca="false">IF($C$52="",$C$59,$C$60/(1-$C$52))</f>
        <v>0.996</v>
      </c>
      <c r="E71" s="17" t="s">
        <v>358</v>
      </c>
    </row>
    <row r="72" customFormat="false" ht="15" hidden="false" customHeight="false" outlineLevel="0" collapsed="false">
      <c r="A72" s="3" t="s">
        <v>405</v>
      </c>
      <c r="B72" s="17" t="s">
        <v>406</v>
      </c>
      <c r="C72" s="25" t="n">
        <f aca="false">IF($C$53="rebate",$C$65*$C$54,0)</f>
        <v>0</v>
      </c>
      <c r="E72" s="17" t="s">
        <v>407</v>
      </c>
    </row>
    <row r="73" customFormat="false" ht="15" hidden="false" customHeight="false" outlineLevel="0" collapsed="false">
      <c r="A73" s="3" t="s">
        <v>408</v>
      </c>
      <c r="B73" s="17" t="s">
        <v>409</v>
      </c>
      <c r="C73" s="25" t="n">
        <f aca="false">$C$36*$C$40*$C$55</f>
        <v>0</v>
      </c>
      <c r="E73" s="17" t="s">
        <v>410</v>
      </c>
    </row>
    <row r="74" customFormat="false" ht="23.85" hidden="false" customHeight="false" outlineLevel="0" collapsed="false">
      <c r="A74" s="3" t="s">
        <v>411</v>
      </c>
      <c r="B74" s="17" t="s">
        <v>412</v>
      </c>
      <c r="C74" s="25" t="n">
        <f aca="false">ROUND($C$63+$C$65+$C$66-$C$36*$C$40,6)</f>
        <v>0</v>
      </c>
      <c r="E74" s="17" t="s">
        <v>413</v>
      </c>
    </row>
    <row r="76" customFormat="false" ht="15" hidden="false" customHeight="false" outlineLevel="0" collapsed="false">
      <c r="A76" s="15" t="s">
        <v>414</v>
      </c>
    </row>
    <row r="77" customFormat="false" ht="15" hidden="false" customHeight="false" outlineLevel="0" collapsed="false">
      <c r="A77" s="16" t="s">
        <v>415</v>
      </c>
      <c r="B77" s="16" t="s">
        <v>416</v>
      </c>
      <c r="C77" s="16" t="s">
        <v>417</v>
      </c>
      <c r="D77" s="16" t="s">
        <v>418</v>
      </c>
      <c r="E77" s="16" t="s">
        <v>419</v>
      </c>
    </row>
    <row r="78" customFormat="false" ht="15" hidden="false" customHeight="false" outlineLevel="0" collapsed="false">
      <c r="A78" s="6" t="str">
        <f aca="false">"CL."&amp;$C$39&amp;"."&amp;$C$37&amp;".COLLECTED"</f>
        <v>CL.ALI.USDT.COLLECTED</v>
      </c>
      <c r="B78" s="6" t="s">
        <v>420</v>
      </c>
      <c r="C78" s="25" t="n">
        <f aca="false">$C$36</f>
        <v>10000</v>
      </c>
      <c r="D78" s="18" t="s">
        <v>421</v>
      </c>
      <c r="E78" s="18" t="s">
        <v>422</v>
      </c>
    </row>
    <row r="79" customFormat="false" ht="15" hidden="false" customHeight="false" outlineLevel="0" collapsed="false">
      <c r="A79" s="6" t="str">
        <f aca="false">"CL.PROJECT."&amp;$C$37&amp;".PAYABLE"</f>
        <v>CL.PROJECT.USDT.PAYABLE</v>
      </c>
      <c r="B79" s="6" t="s">
        <v>423</v>
      </c>
      <c r="C79" s="25" t="n">
        <f aca="false">$C$36</f>
        <v>10000</v>
      </c>
      <c r="D79" s="18" t="s">
        <v>421</v>
      </c>
      <c r="E79" s="18" t="s">
        <v>422</v>
      </c>
    </row>
    <row r="80" customFormat="false" ht="15" hidden="false" customHeight="false" outlineLevel="0" collapsed="false">
      <c r="A80" s="6" t="str">
        <f aca="false">"CL.PROJECT."&amp;$C$37&amp;".PAYABLE"</f>
        <v>CL.PROJECT.USDT.PAYABLE</v>
      </c>
      <c r="B80" s="6" t="s">
        <v>420</v>
      </c>
      <c r="C80" s="25" t="n">
        <f aca="false">$C$36</f>
        <v>10000</v>
      </c>
      <c r="D80" s="18" t="s">
        <v>421</v>
      </c>
      <c r="E80" s="18" t="s">
        <v>424</v>
      </c>
    </row>
    <row r="81" customFormat="false" ht="15" hidden="false" customHeight="false" outlineLevel="0" collapsed="false">
      <c r="A81" s="6" t="str">
        <f aca="false">"CL."&amp;$C$39&amp;"."&amp;$C$37&amp;".COLLECTED"</f>
        <v>CL.ALI.USDT.COLLECTED</v>
      </c>
      <c r="B81" s="6" t="s">
        <v>423</v>
      </c>
      <c r="C81" s="25" t="n">
        <f aca="false">$C$36</f>
        <v>10000</v>
      </c>
      <c r="D81" s="18" t="s">
        <v>421</v>
      </c>
      <c r="E81" s="18" t="s">
        <v>424</v>
      </c>
    </row>
    <row r="82" customFormat="false" ht="15" hidden="false" customHeight="false" outlineLevel="0" collapsed="false">
      <c r="A82" s="6" t="str">
        <f aca="false">"CL."&amp;$C$39&amp;"."&amp;$C$38&amp;".DUE"</f>
        <v>CL.ALI.USD.DUE</v>
      </c>
      <c r="B82" s="6" t="s">
        <v>420</v>
      </c>
      <c r="C82" s="25" t="n">
        <f aca="false">$C$63</f>
        <v>9960</v>
      </c>
      <c r="D82" s="18" t="s">
        <v>425</v>
      </c>
      <c r="E82" s="18" t="s">
        <v>426</v>
      </c>
    </row>
    <row r="83" customFormat="false" ht="15" hidden="false" customHeight="false" outlineLevel="0" collapsed="false">
      <c r="A83" s="6" t="str">
        <f aca="false">"CO."&amp;$C$39&amp;"."&amp;$C$38&amp;".POOL"</f>
        <v>CO.ALI.USD.POOL</v>
      </c>
      <c r="B83" s="6" t="s">
        <v>420</v>
      </c>
      <c r="C83" s="25" t="n">
        <f aca="false">IF($C$53="rebate",0,$C$66)</f>
        <v>0</v>
      </c>
      <c r="D83" s="18" t="s">
        <v>427</v>
      </c>
      <c r="E83" s="18" t="s">
        <v>428</v>
      </c>
    </row>
    <row r="84" customFormat="false" ht="15" hidden="false" customHeight="false" outlineLevel="0" collapsed="false">
      <c r="A84" s="6" t="str">
        <f aca="false">"CO."&amp;$C$39&amp;"."&amp;$C$38&amp;".REBATE_RECEIVABLE"</f>
        <v>CO.ALI.USD.REBATE_RECEIVABLE</v>
      </c>
      <c r="B84" s="6" t="s">
        <v>420</v>
      </c>
      <c r="C84" s="25" t="n">
        <f aca="false">$C$72</f>
        <v>0</v>
      </c>
      <c r="D84" s="18" t="s">
        <v>427</v>
      </c>
      <c r="E84" s="18" t="s">
        <v>429</v>
      </c>
    </row>
    <row r="85" customFormat="false" ht="15" hidden="false" customHeight="false" outlineLevel="0" collapsed="false">
      <c r="A85" s="6" t="str">
        <f aca="false">"CL.PROJECT."&amp;$C$38&amp;".PAYABLE"</f>
        <v>CL.PROJECT.USD.PAYABLE</v>
      </c>
      <c r="B85" s="6" t="s">
        <v>423</v>
      </c>
      <c r="C85" s="25" t="n">
        <f aca="false">$C$63</f>
        <v>9960</v>
      </c>
      <c r="D85" s="18" t="s">
        <v>421</v>
      </c>
      <c r="E85" s="18" t="s">
        <v>426</v>
      </c>
    </row>
    <row r="86" customFormat="false" ht="15" hidden="false" customHeight="false" outlineLevel="0" collapsed="false">
      <c r="A86" s="6" t="str">
        <f aca="false">"CO.NONE."&amp;$C$38&amp;".EARN_GROSS"</f>
        <v>CO.NONE.USD.EARN_GROSS</v>
      </c>
      <c r="B86" s="6" t="s">
        <v>423</v>
      </c>
      <c r="C86" s="25" t="n">
        <f aca="false">$C$66+$C$72</f>
        <v>0</v>
      </c>
      <c r="D86" s="18" t="s">
        <v>427</v>
      </c>
      <c r="E86" s="18" t="s">
        <v>430</v>
      </c>
    </row>
    <row r="87" customFormat="false" ht="15" hidden="false" customHeight="false" outlineLevel="0" collapsed="false">
      <c r="A87" s="6" t="str">
        <f aca="false">"CL."&amp;$C$39&amp;"."&amp;$C$38&amp;".INTRANSIT"</f>
        <v>CL.ALI.USD.INTRANSIT</v>
      </c>
      <c r="B87" s="6" t="s">
        <v>420</v>
      </c>
      <c r="C87" s="25" t="n">
        <f aca="false">$C$69</f>
        <v>9960</v>
      </c>
      <c r="D87" s="18" t="s">
        <v>421</v>
      </c>
      <c r="E87" s="18" t="s">
        <v>431</v>
      </c>
    </row>
    <row r="88" customFormat="false" ht="15" hidden="false" customHeight="false" outlineLevel="0" collapsed="false">
      <c r="A88" s="6" t="str">
        <f aca="false">"CL."&amp;$C$39&amp;"."&amp;$C$38&amp;".DUE"</f>
        <v>CL.ALI.USD.DUE</v>
      </c>
      <c r="B88" s="6" t="s">
        <v>423</v>
      </c>
      <c r="C88" s="25" t="n">
        <f aca="false">$C$69</f>
        <v>9960</v>
      </c>
      <c r="D88" s="18" t="s">
        <v>421</v>
      </c>
      <c r="E88" s="18" t="s">
        <v>432</v>
      </c>
    </row>
    <row r="89" customFormat="false" ht="15" hidden="false" customHeight="false" outlineLevel="0" collapsed="false">
      <c r="A89" s="6" t="str">
        <f aca="false">"CL.PROJECT."&amp;$C$38&amp;".PAYABLE"</f>
        <v>CL.PROJECT.USD.PAYABLE</v>
      </c>
      <c r="B89" s="6" t="s">
        <v>420</v>
      </c>
      <c r="C89" s="25" t="n">
        <f aca="false">$C$69</f>
        <v>9960</v>
      </c>
      <c r="D89" s="18" t="s">
        <v>421</v>
      </c>
      <c r="E89" s="18" t="s">
        <v>433</v>
      </c>
    </row>
    <row r="90" customFormat="false" ht="15" hidden="false" customHeight="false" outlineLevel="0" collapsed="false">
      <c r="A90" s="6" t="str">
        <f aca="false">"CL."&amp;$C$39&amp;"."&amp;$C$38&amp;".INTRANSIT"</f>
        <v>CL.ALI.USD.INTRANSIT</v>
      </c>
      <c r="B90" s="6" t="s">
        <v>423</v>
      </c>
      <c r="C90" s="25" t="n">
        <f aca="false">$C$69</f>
        <v>9960</v>
      </c>
      <c r="D90" s="18" t="s">
        <v>421</v>
      </c>
      <c r="E90" s="18" t="s">
        <v>433</v>
      </c>
    </row>
    <row r="91" customFormat="false" ht="15" hidden="false" customHeight="false" outlineLevel="0" collapsed="false">
      <c r="A91" s="6" t="str">
        <f aca="false">"CO.NONE."&amp;$C$38&amp;".EARN_GROSS"</f>
        <v>CO.NONE.USD.EARN_GROSS</v>
      </c>
      <c r="B91" s="6" t="s">
        <v>420</v>
      </c>
      <c r="C91" s="25" t="n">
        <f aca="false">$C$73</f>
        <v>0</v>
      </c>
      <c r="D91" s="18" t="s">
        <v>434</v>
      </c>
      <c r="E91" s="18" t="s">
        <v>435</v>
      </c>
    </row>
    <row r="92" customFormat="false" ht="15" hidden="false" customHeight="false" outlineLevel="0" collapsed="false">
      <c r="A92" s="6" t="str">
        <f aca="false">"CO.INTRODUCER."&amp;$C$38&amp;".REFERRAL_PAYABLE"</f>
        <v>CO.INTRODUCER.USD.REFERRAL_PAYABLE</v>
      </c>
      <c r="B92" s="6" t="s">
        <v>423</v>
      </c>
      <c r="C92" s="25" t="n">
        <f aca="false">$C$73</f>
        <v>0</v>
      </c>
      <c r="D92" s="18" t="s">
        <v>434</v>
      </c>
      <c r="E92" s="18" t="s">
        <v>436</v>
      </c>
    </row>
    <row r="93" customFormat="false" ht="30" hidden="false" customHeight="true" outlineLevel="0" collapsed="false">
      <c r="A93" s="27" t="s">
        <v>437</v>
      </c>
      <c r="C93" s="28" t="n">
        <f aca="false">ROUND(SUMIF($B$82:$B$92,"Dr",$C$82:$C$92)-SUMIF($B$82:$B$92,"Cr",$C$82:$C$92),6)</f>
        <v>0</v>
      </c>
      <c r="E93" s="17" t="s">
        <v>438</v>
      </c>
    </row>
    <row r="95" customFormat="false" ht="15" hidden="false" customHeight="false" outlineLevel="0" collapsed="false">
      <c r="A95" s="15" t="s">
        <v>439</v>
      </c>
    </row>
    <row r="96" customFormat="false" ht="15" hidden="false" customHeight="false" outlineLevel="0" collapsed="false">
      <c r="A96" s="16" t="s">
        <v>440</v>
      </c>
      <c r="B96" s="16" t="s">
        <v>441</v>
      </c>
      <c r="C96" s="16" t="s">
        <v>442</v>
      </c>
      <c r="D96" s="16" t="s">
        <v>443</v>
      </c>
      <c r="E96" s="16" t="s">
        <v>444</v>
      </c>
    </row>
    <row r="97" customFormat="false" ht="15.75" hidden="false" customHeight="true" outlineLevel="0" collapsed="false">
      <c r="A97" s="3" t="s">
        <v>498</v>
      </c>
      <c r="B97" s="19" t="n">
        <v>9960</v>
      </c>
      <c r="C97" s="25" t="n">
        <f aca="false">$C$61</f>
        <v>9960</v>
      </c>
      <c r="D97" s="28" t="n">
        <f aca="false">ROUND(C97-B97,2)</f>
        <v>0</v>
      </c>
      <c r="E97" s="17" t="s">
        <v>611</v>
      </c>
    </row>
    <row r="99" customFormat="false" ht="15" hidden="false" customHeight="false" outlineLevel="0" collapsed="false">
      <c r="A99" s="15" t="s">
        <v>447</v>
      </c>
    </row>
    <row r="100" customFormat="false" ht="31.5" hidden="false" customHeight="true" outlineLevel="0" collapsed="false">
      <c r="A100" s="13" t="s">
        <v>448</v>
      </c>
      <c r="B100" s="29" t="s">
        <v>612</v>
      </c>
      <c r="C100" s="29"/>
      <c r="D100" s="29"/>
      <c r="E100" s="29"/>
    </row>
    <row r="101" customFormat="false" ht="31.5" hidden="false" customHeight="true" outlineLevel="0" collapsed="false">
      <c r="A101" s="13" t="s">
        <v>448</v>
      </c>
      <c r="B101" s="29" t="s">
        <v>613</v>
      </c>
      <c r="C101" s="29"/>
      <c r="D101" s="29"/>
      <c r="E101" s="29"/>
    </row>
  </sheetData>
  <mergeCells count="2">
    <mergeCell ref="B100:E100"/>
    <mergeCell ref="B101:E10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1" style="0" width="34"/>
    <col collapsed="false" customWidth="true" hidden="false" outlineLevel="0" max="3" min="3" style="0" width="22"/>
    <col collapsed="false" customWidth="true" hidden="false" outlineLevel="0" max="4" min="4" style="0" width="18"/>
    <col collapsed="false" customWidth="true" hidden="false" outlineLevel="0" max="5" min="5" style="0" width="48"/>
  </cols>
  <sheetData>
    <row r="1" customFormat="false" ht="16.15" hidden="false" customHeight="false" outlineLevel="0" collapsed="false">
      <c r="A1" s="1" t="s">
        <v>614</v>
      </c>
    </row>
    <row r="2" customFormat="false" ht="15" hidden="false" customHeight="false" outlineLevel="0" collapsed="false">
      <c r="A2" s="12" t="s">
        <v>210</v>
      </c>
      <c r="B2" s="13" t="s">
        <v>615</v>
      </c>
    </row>
    <row r="3" customFormat="false" ht="30" hidden="false" customHeight="true" outlineLevel="0" collapsed="false">
      <c r="A3" s="12" t="s">
        <v>212</v>
      </c>
      <c r="B3" s="14" t="s">
        <v>616</v>
      </c>
    </row>
    <row r="5" customFormat="false" ht="15" hidden="false" customHeight="false" outlineLevel="0" collapsed="false">
      <c r="A5" s="15" t="s">
        <v>214</v>
      </c>
    </row>
    <row r="6" customFormat="false" ht="15" hidden="false" customHeight="false" outlineLevel="0" collapsed="false">
      <c r="A6" s="16" t="s">
        <v>215</v>
      </c>
      <c r="B6" s="16" t="s">
        <v>216</v>
      </c>
      <c r="C6" s="16" t="s">
        <v>217</v>
      </c>
      <c r="D6" s="16" t="s">
        <v>218</v>
      </c>
      <c r="E6" s="16" t="s">
        <v>219</v>
      </c>
    </row>
    <row r="7" customFormat="false" ht="30" hidden="false" customHeight="true" outlineLevel="0" collapsed="false">
      <c r="A7" s="3" t="s">
        <v>220</v>
      </c>
      <c r="B7" s="3" t="s">
        <v>221</v>
      </c>
      <c r="C7" s="9" t="s">
        <v>141</v>
      </c>
      <c r="D7" s="3" t="s">
        <v>222</v>
      </c>
      <c r="E7" s="17" t="s">
        <v>223</v>
      </c>
    </row>
    <row r="8" customFormat="false" ht="30" hidden="false" customHeight="true" outlineLevel="0" collapsed="false">
      <c r="A8" s="3" t="s">
        <v>224</v>
      </c>
      <c r="B8" s="3" t="s">
        <v>225</v>
      </c>
      <c r="C8" s="10"/>
      <c r="D8" s="3" t="s">
        <v>226</v>
      </c>
      <c r="E8" s="17" t="s">
        <v>227</v>
      </c>
    </row>
    <row r="9" customFormat="false" ht="30" hidden="false" customHeight="true" outlineLevel="0" collapsed="false">
      <c r="A9" s="3" t="s">
        <v>228</v>
      </c>
      <c r="B9" s="3" t="s">
        <v>229</v>
      </c>
      <c r="C9" s="9" t="s">
        <v>617</v>
      </c>
      <c r="D9" s="3" t="s">
        <v>222</v>
      </c>
      <c r="E9" s="17" t="s">
        <v>230</v>
      </c>
    </row>
    <row r="10" customFormat="false" ht="30" hidden="false" customHeight="true" outlineLevel="0" collapsed="false">
      <c r="A10" s="3" t="s">
        <v>231</v>
      </c>
      <c r="B10" s="3" t="s">
        <v>232</v>
      </c>
      <c r="C10" s="10"/>
      <c r="D10" s="3" t="s">
        <v>226</v>
      </c>
      <c r="E10" s="17" t="s">
        <v>233</v>
      </c>
    </row>
    <row r="11" customFormat="false" ht="15.75" hidden="false" customHeight="true" outlineLevel="0" collapsed="false">
      <c r="A11" s="3" t="s">
        <v>234</v>
      </c>
      <c r="B11" s="3" t="s">
        <v>235</v>
      </c>
      <c r="C11" s="9" t="s">
        <v>482</v>
      </c>
      <c r="D11" s="3" t="s">
        <v>222</v>
      </c>
      <c r="E11" s="17" t="s">
        <v>237</v>
      </c>
    </row>
    <row r="12" customFormat="false" ht="30" hidden="false" customHeight="true" outlineLevel="0" collapsed="false">
      <c r="A12" s="3" t="s">
        <v>238</v>
      </c>
      <c r="B12" s="3" t="s">
        <v>239</v>
      </c>
      <c r="C12" s="9" t="s">
        <v>483</v>
      </c>
      <c r="D12" s="3" t="s">
        <v>222</v>
      </c>
      <c r="E12" s="17" t="s">
        <v>241</v>
      </c>
    </row>
    <row r="13" customFormat="false" ht="15.75" hidden="false" customHeight="true" outlineLevel="0" collapsed="false">
      <c r="A13" s="3" t="s">
        <v>242</v>
      </c>
      <c r="B13" s="3" t="s">
        <v>243</v>
      </c>
      <c r="C13" s="9" t="s">
        <v>93</v>
      </c>
      <c r="D13" s="3" t="s">
        <v>222</v>
      </c>
      <c r="E13" s="17"/>
    </row>
    <row r="14" customFormat="false" ht="30" hidden="false" customHeight="true" outlineLevel="0" collapsed="false">
      <c r="A14" s="3" t="s">
        <v>244</v>
      </c>
      <c r="B14" s="3" t="s">
        <v>245</v>
      </c>
      <c r="C14" s="9" t="s">
        <v>94</v>
      </c>
      <c r="D14" s="3" t="s">
        <v>222</v>
      </c>
      <c r="E14" s="17" t="s">
        <v>246</v>
      </c>
    </row>
    <row r="15" customFormat="false" ht="15.75" hidden="false" customHeight="true" outlineLevel="0" collapsed="false">
      <c r="A15" s="3" t="s">
        <v>247</v>
      </c>
      <c r="B15" s="3" t="s">
        <v>248</v>
      </c>
      <c r="C15" s="9" t="s">
        <v>618</v>
      </c>
      <c r="D15" s="3" t="s">
        <v>222</v>
      </c>
      <c r="E15" s="17" t="s">
        <v>249</v>
      </c>
    </row>
    <row r="16" customFormat="false" ht="30" hidden="false" customHeight="true" outlineLevel="0" collapsed="false">
      <c r="A16" s="3" t="s">
        <v>250</v>
      </c>
      <c r="B16" s="3" t="s">
        <v>251</v>
      </c>
      <c r="C16" s="9" t="s">
        <v>252</v>
      </c>
      <c r="D16" s="3" t="s">
        <v>222</v>
      </c>
      <c r="E16" s="17" t="s">
        <v>253</v>
      </c>
    </row>
    <row r="17" customFormat="false" ht="30" hidden="false" customHeight="true" outlineLevel="0" collapsed="false">
      <c r="A17" s="3" t="s">
        <v>254</v>
      </c>
      <c r="B17" s="3" t="s">
        <v>255</v>
      </c>
      <c r="C17" s="9" t="s">
        <v>256</v>
      </c>
      <c r="D17" s="3" t="s">
        <v>222</v>
      </c>
      <c r="E17" s="17" t="s">
        <v>257</v>
      </c>
    </row>
    <row r="18" customFormat="false" ht="15.75" hidden="false" customHeight="true" outlineLevel="0" collapsed="false">
      <c r="A18" s="3" t="s">
        <v>258</v>
      </c>
      <c r="B18" s="3" t="s">
        <v>259</v>
      </c>
      <c r="C18" s="9" t="s">
        <v>86</v>
      </c>
      <c r="D18" s="3" t="s">
        <v>222</v>
      </c>
      <c r="E18" s="17" t="s">
        <v>260</v>
      </c>
    </row>
    <row r="19" customFormat="false" ht="15.75" hidden="false" customHeight="true" outlineLevel="0" collapsed="false">
      <c r="A19" s="3" t="s">
        <v>261</v>
      </c>
      <c r="B19" s="3" t="s">
        <v>262</v>
      </c>
      <c r="C19" s="11" t="n">
        <v>0.028</v>
      </c>
      <c r="D19" s="3" t="s">
        <v>222</v>
      </c>
      <c r="E19" s="17" t="s">
        <v>263</v>
      </c>
    </row>
    <row r="20" customFormat="false" ht="15.75" hidden="false" customHeight="true" outlineLevel="0" collapsed="false">
      <c r="A20" s="3" t="s">
        <v>264</v>
      </c>
      <c r="B20" s="3" t="s">
        <v>265</v>
      </c>
      <c r="C20" s="11" t="n">
        <v>0.014</v>
      </c>
      <c r="D20" s="3" t="s">
        <v>222</v>
      </c>
      <c r="E20" s="17"/>
    </row>
    <row r="21" customFormat="false" ht="30" hidden="false" customHeight="true" outlineLevel="0" collapsed="false">
      <c r="A21" s="3" t="s">
        <v>266</v>
      </c>
      <c r="B21" s="3" t="s">
        <v>267</v>
      </c>
      <c r="C21" s="11" t="n">
        <v>0.014</v>
      </c>
      <c r="D21" s="3" t="s">
        <v>222</v>
      </c>
      <c r="E21" s="17" t="s">
        <v>268</v>
      </c>
    </row>
    <row r="22" customFormat="false" ht="15.75" hidden="false" customHeight="true" outlineLevel="0" collapsed="false">
      <c r="A22" s="3" t="s">
        <v>269</v>
      </c>
      <c r="B22" s="3" t="s">
        <v>270</v>
      </c>
      <c r="C22" s="10"/>
      <c r="D22" s="3" t="s">
        <v>226</v>
      </c>
      <c r="E22" s="17" t="s">
        <v>271</v>
      </c>
    </row>
    <row r="23" customFormat="false" ht="15.75" hidden="false" customHeight="true" outlineLevel="0" collapsed="false">
      <c r="A23" s="3" t="s">
        <v>272</v>
      </c>
      <c r="B23" s="3" t="s">
        <v>273</v>
      </c>
      <c r="C23" s="10"/>
      <c r="D23" s="3" t="s">
        <v>226</v>
      </c>
      <c r="E23" s="17" t="s">
        <v>271</v>
      </c>
    </row>
    <row r="24" customFormat="false" ht="15.75" hidden="false" customHeight="true" outlineLevel="0" collapsed="false">
      <c r="A24" s="3" t="s">
        <v>274</v>
      </c>
      <c r="B24" s="3" t="s">
        <v>275</v>
      </c>
      <c r="C24" s="10"/>
      <c r="D24" s="3" t="s">
        <v>226</v>
      </c>
      <c r="E24" s="17" t="s">
        <v>276</v>
      </c>
    </row>
    <row r="25" customFormat="false" ht="30" hidden="false" customHeight="true" outlineLevel="0" collapsed="false">
      <c r="A25" s="3" t="s">
        <v>277</v>
      </c>
      <c r="B25" s="3" t="s">
        <v>278</v>
      </c>
      <c r="C25" s="10"/>
      <c r="D25" s="3" t="s">
        <v>279</v>
      </c>
      <c r="E25" s="17" t="s">
        <v>280</v>
      </c>
    </row>
    <row r="26" customFormat="false" ht="15.75" hidden="false" customHeight="true" outlineLevel="0" collapsed="false">
      <c r="A26" s="3" t="s">
        <v>281</v>
      </c>
      <c r="B26" s="3" t="s">
        <v>282</v>
      </c>
      <c r="C26" s="9" t="s">
        <v>95</v>
      </c>
      <c r="D26" s="3" t="s">
        <v>222</v>
      </c>
      <c r="E26" s="17" t="s">
        <v>284</v>
      </c>
    </row>
    <row r="27" customFormat="false" ht="15.75" hidden="false" customHeight="true" outlineLevel="0" collapsed="false">
      <c r="A27" s="3" t="s">
        <v>285</v>
      </c>
      <c r="B27" s="3" t="s">
        <v>286</v>
      </c>
      <c r="C27" s="10"/>
      <c r="D27" s="3" t="s">
        <v>279</v>
      </c>
      <c r="E27" s="17" t="s">
        <v>288</v>
      </c>
    </row>
    <row r="28" customFormat="false" ht="15.75" hidden="false" customHeight="true" outlineLevel="0" collapsed="false">
      <c r="A28" s="3" t="s">
        <v>289</v>
      </c>
      <c r="B28" s="3" t="s">
        <v>290</v>
      </c>
      <c r="C28" s="9"/>
      <c r="D28" s="3" t="s">
        <v>279</v>
      </c>
      <c r="E28" s="17" t="s">
        <v>291</v>
      </c>
    </row>
    <row r="29" customFormat="false" ht="30" hidden="false" customHeight="true" outlineLevel="0" collapsed="false">
      <c r="A29" s="3" t="s">
        <v>292</v>
      </c>
      <c r="B29" s="3" t="s">
        <v>293</v>
      </c>
      <c r="C29" s="9" t="s">
        <v>294</v>
      </c>
      <c r="D29" s="3" t="s">
        <v>222</v>
      </c>
      <c r="E29" s="17" t="s">
        <v>295</v>
      </c>
    </row>
    <row r="30" customFormat="false" ht="15.75" hidden="false" customHeight="true" outlineLevel="0" collapsed="false">
      <c r="A30" s="3" t="s">
        <v>296</v>
      </c>
      <c r="B30" s="3" t="s">
        <v>297</v>
      </c>
      <c r="C30" s="10"/>
      <c r="D30" s="3" t="s">
        <v>226</v>
      </c>
      <c r="E30" s="17"/>
    </row>
    <row r="31" customFormat="false" ht="15.75" hidden="false" customHeight="true" outlineLevel="0" collapsed="false">
      <c r="A31" s="3" t="s">
        <v>298</v>
      </c>
      <c r="B31" s="3" t="s">
        <v>299</v>
      </c>
      <c r="C31" s="10"/>
      <c r="D31" s="3" t="s">
        <v>226</v>
      </c>
      <c r="E31" s="17" t="s">
        <v>300</v>
      </c>
    </row>
    <row r="32" customFormat="false" ht="30" hidden="false" customHeight="true" outlineLevel="0" collapsed="false">
      <c r="A32" s="3" t="s">
        <v>301</v>
      </c>
      <c r="B32" s="3" t="s">
        <v>302</v>
      </c>
      <c r="C32" s="10"/>
      <c r="D32" s="3" t="s">
        <v>226</v>
      </c>
      <c r="E32" s="17" t="s">
        <v>303</v>
      </c>
    </row>
    <row r="34" customFormat="false" ht="15" hidden="false" customHeight="false" outlineLevel="0" collapsed="false">
      <c r="A34" s="15" t="s">
        <v>304</v>
      </c>
    </row>
    <row r="35" customFormat="false" ht="15" hidden="false" customHeight="false" outlineLevel="0" collapsed="false">
      <c r="A35" s="16" t="s">
        <v>305</v>
      </c>
      <c r="B35" s="16" t="s">
        <v>306</v>
      </c>
      <c r="C35" s="16" t="s">
        <v>217</v>
      </c>
      <c r="D35" s="16" t="s">
        <v>307</v>
      </c>
      <c r="E35" s="16" t="s">
        <v>308</v>
      </c>
    </row>
    <row r="36" customFormat="false" ht="15" hidden="false" customHeight="false" outlineLevel="0" collapsed="false">
      <c r="A36" s="3" t="s">
        <v>309</v>
      </c>
      <c r="B36" s="18" t="s">
        <v>310</v>
      </c>
      <c r="C36" s="19" t="n">
        <v>100000</v>
      </c>
      <c r="D36" s="18" t="s">
        <v>311</v>
      </c>
      <c r="E36" s="17" t="s">
        <v>312</v>
      </c>
    </row>
    <row r="37" customFormat="false" ht="15" hidden="false" customHeight="false" outlineLevel="0" collapsed="false">
      <c r="A37" s="3" t="s">
        <v>313</v>
      </c>
      <c r="B37" s="18" t="s">
        <v>314</v>
      </c>
      <c r="C37" s="7" t="s">
        <v>319</v>
      </c>
      <c r="D37" s="18" t="s">
        <v>316</v>
      </c>
      <c r="E37" s="17"/>
    </row>
    <row r="38" customFormat="false" ht="15" hidden="false" customHeight="false" outlineLevel="0" collapsed="false">
      <c r="A38" s="3" t="s">
        <v>317</v>
      </c>
      <c r="B38" s="18" t="s">
        <v>318</v>
      </c>
      <c r="C38" s="7" t="s">
        <v>319</v>
      </c>
      <c r="D38" s="18" t="s">
        <v>316</v>
      </c>
      <c r="E38" s="17"/>
    </row>
    <row r="39" customFormat="false" ht="15" hidden="false" customHeight="false" outlineLevel="0" collapsed="false">
      <c r="A39" s="3" t="s">
        <v>320</v>
      </c>
      <c r="B39" s="18" t="s">
        <v>321</v>
      </c>
      <c r="C39" s="7" t="s">
        <v>457</v>
      </c>
      <c r="D39" s="18" t="s">
        <v>316</v>
      </c>
      <c r="E39" s="17" t="s">
        <v>323</v>
      </c>
    </row>
    <row r="40" customFormat="false" ht="15" hidden="false" customHeight="false" outlineLevel="0" collapsed="false">
      <c r="A40" s="3" t="s">
        <v>324</v>
      </c>
      <c r="B40" s="18" t="s">
        <v>325</v>
      </c>
      <c r="C40" s="20" t="n">
        <v>1</v>
      </c>
      <c r="D40" s="18" t="s">
        <v>326</v>
      </c>
      <c r="E40" s="17" t="s">
        <v>327</v>
      </c>
    </row>
    <row r="41" customFormat="false" ht="22.35" hidden="false" customHeight="false" outlineLevel="0" collapsed="false">
      <c r="A41" s="3" t="s">
        <v>328</v>
      </c>
      <c r="B41" s="18" t="s">
        <v>329</v>
      </c>
      <c r="C41" s="20" t="n">
        <v>1</v>
      </c>
      <c r="D41" s="18" t="s">
        <v>326</v>
      </c>
      <c r="E41" s="17" t="s">
        <v>330</v>
      </c>
    </row>
    <row r="42" customFormat="false" ht="22.35" hidden="false" customHeight="false" outlineLevel="0" collapsed="false">
      <c r="A42" s="3" t="s">
        <v>331</v>
      </c>
      <c r="B42" s="18" t="s">
        <v>332</v>
      </c>
      <c r="C42" s="22" t="n">
        <v>0</v>
      </c>
      <c r="D42" s="18" t="s">
        <v>333</v>
      </c>
      <c r="E42" s="17" t="s">
        <v>334</v>
      </c>
    </row>
    <row r="43" customFormat="false" ht="15" hidden="false" customHeight="false" outlineLevel="0" collapsed="false">
      <c r="A43" s="3" t="s">
        <v>335</v>
      </c>
      <c r="B43" s="18" t="s">
        <v>336</v>
      </c>
      <c r="C43" s="22" t="n">
        <v>0.028</v>
      </c>
      <c r="D43" s="18" t="s">
        <v>333</v>
      </c>
      <c r="E43" s="17" t="s">
        <v>262</v>
      </c>
    </row>
    <row r="44" customFormat="false" ht="15" hidden="false" customHeight="false" outlineLevel="0" collapsed="false">
      <c r="A44" s="3" t="s">
        <v>337</v>
      </c>
      <c r="B44" s="18" t="s">
        <v>338</v>
      </c>
      <c r="C44" s="22" t="n">
        <v>0.014</v>
      </c>
      <c r="D44" s="18" t="s">
        <v>333</v>
      </c>
      <c r="E44" s="17" t="s">
        <v>265</v>
      </c>
    </row>
    <row r="45" customFormat="false" ht="15" hidden="false" customHeight="false" outlineLevel="0" collapsed="false">
      <c r="A45" s="3" t="s">
        <v>339</v>
      </c>
      <c r="B45" s="18" t="s">
        <v>340</v>
      </c>
      <c r="C45" s="22" t="n">
        <v>0.014</v>
      </c>
      <c r="D45" s="18" t="s">
        <v>333</v>
      </c>
      <c r="E45" s="17" t="s">
        <v>267</v>
      </c>
    </row>
    <row r="46" customFormat="false" ht="15" hidden="false" customHeight="false" outlineLevel="0" collapsed="false">
      <c r="A46" s="3" t="s">
        <v>254</v>
      </c>
      <c r="B46" s="18" t="s">
        <v>341</v>
      </c>
      <c r="C46" s="7" t="s">
        <v>256</v>
      </c>
      <c r="D46" s="18" t="s">
        <v>316</v>
      </c>
      <c r="E46" s="17" t="s">
        <v>342</v>
      </c>
    </row>
    <row r="47" customFormat="false" ht="15" hidden="false" customHeight="false" outlineLevel="0" collapsed="false">
      <c r="A47" s="3" t="s">
        <v>244</v>
      </c>
      <c r="B47" s="18" t="s">
        <v>343</v>
      </c>
      <c r="C47" s="7" t="s">
        <v>94</v>
      </c>
      <c r="D47" s="18" t="s">
        <v>316</v>
      </c>
      <c r="E47" s="17" t="s">
        <v>344</v>
      </c>
    </row>
    <row r="48" customFormat="false" ht="15" hidden="false" customHeight="false" outlineLevel="0" collapsed="false">
      <c r="A48" s="3" t="s">
        <v>250</v>
      </c>
      <c r="B48" s="18" t="s">
        <v>345</v>
      </c>
      <c r="C48" s="7" t="s">
        <v>252</v>
      </c>
      <c r="D48" s="18" t="s">
        <v>316</v>
      </c>
      <c r="E48" s="17" t="s">
        <v>346</v>
      </c>
    </row>
    <row r="49" customFormat="false" ht="15" hidden="false" customHeight="false" outlineLevel="0" collapsed="false">
      <c r="A49" s="3" t="s">
        <v>347</v>
      </c>
      <c r="B49" s="18" t="s">
        <v>348</v>
      </c>
      <c r="C49" s="7" t="s">
        <v>349</v>
      </c>
      <c r="D49" s="18" t="s">
        <v>316</v>
      </c>
      <c r="E49" s="17" t="s">
        <v>350</v>
      </c>
    </row>
    <row r="50" customFormat="false" ht="15" hidden="false" customHeight="false" outlineLevel="0" collapsed="false">
      <c r="A50" s="3" t="s">
        <v>351</v>
      </c>
      <c r="B50" s="18" t="s">
        <v>352</v>
      </c>
      <c r="C50" s="19" t="n">
        <v>1</v>
      </c>
      <c r="D50" s="18" t="s">
        <v>311</v>
      </c>
      <c r="E50" s="17" t="s">
        <v>353</v>
      </c>
    </row>
    <row r="51" customFormat="false" ht="15" hidden="false" customHeight="false" outlineLevel="0" collapsed="false">
      <c r="A51" s="3" t="s">
        <v>354</v>
      </c>
      <c r="B51" s="18" t="s">
        <v>355</v>
      </c>
      <c r="C51" s="22" t="n">
        <v>0</v>
      </c>
      <c r="D51" s="18" t="s">
        <v>333</v>
      </c>
      <c r="E51" s="17" t="s">
        <v>275</v>
      </c>
    </row>
    <row r="52" customFormat="false" ht="15" hidden="false" customHeight="false" outlineLevel="0" collapsed="false">
      <c r="A52" s="3" t="s">
        <v>356</v>
      </c>
      <c r="B52" s="18" t="s">
        <v>357</v>
      </c>
      <c r="C52" s="23"/>
      <c r="D52" s="18" t="s">
        <v>333</v>
      </c>
      <c r="E52" s="17" t="s">
        <v>358</v>
      </c>
    </row>
    <row r="53" customFormat="false" ht="15" hidden="false" customHeight="false" outlineLevel="0" collapsed="false">
      <c r="A53" s="3" t="s">
        <v>281</v>
      </c>
      <c r="B53" s="18" t="s">
        <v>359</v>
      </c>
      <c r="C53" s="7" t="s">
        <v>458</v>
      </c>
      <c r="D53" s="18" t="s">
        <v>316</v>
      </c>
      <c r="E53" s="17" t="s">
        <v>361</v>
      </c>
    </row>
    <row r="54" customFormat="false" ht="15" hidden="false" customHeight="false" outlineLevel="0" collapsed="false">
      <c r="A54" s="3" t="s">
        <v>285</v>
      </c>
      <c r="B54" s="18" t="s">
        <v>360</v>
      </c>
      <c r="C54" s="22" t="n">
        <v>0</v>
      </c>
      <c r="D54" s="18" t="s">
        <v>333</v>
      </c>
      <c r="E54" s="17" t="s">
        <v>362</v>
      </c>
    </row>
    <row r="55" customFormat="false" ht="15" hidden="false" customHeight="false" outlineLevel="0" collapsed="false">
      <c r="A55" s="3" t="s">
        <v>363</v>
      </c>
      <c r="B55" s="18" t="s">
        <v>364</v>
      </c>
      <c r="C55" s="22" t="n">
        <v>0</v>
      </c>
      <c r="D55" s="18" t="s">
        <v>333</v>
      </c>
      <c r="E55" s="17" t="s">
        <v>365</v>
      </c>
    </row>
    <row r="57" customFormat="false" ht="15" hidden="false" customHeight="false" outlineLevel="0" collapsed="false">
      <c r="A57" s="15" t="s">
        <v>366</v>
      </c>
    </row>
    <row r="58" customFormat="false" ht="15" hidden="false" customHeight="false" outlineLevel="0" collapsed="false">
      <c r="A58" s="16" t="s">
        <v>367</v>
      </c>
      <c r="B58" s="16" t="s">
        <v>368</v>
      </c>
      <c r="C58" s="16" t="s">
        <v>217</v>
      </c>
      <c r="D58" s="16"/>
      <c r="E58" s="16" t="s">
        <v>369</v>
      </c>
    </row>
    <row r="59" customFormat="false" ht="22.35" hidden="false" customHeight="false" outlineLevel="0" collapsed="false">
      <c r="A59" s="3" t="s">
        <v>370</v>
      </c>
      <c r="B59" s="17" t="s">
        <v>371</v>
      </c>
      <c r="C59" s="24" t="n">
        <f aca="false">IF($C$46="market",$C$40,$C$41)</f>
        <v>1</v>
      </c>
      <c r="E59" s="17" t="s">
        <v>372</v>
      </c>
    </row>
    <row r="60" customFormat="false" ht="32.8" hidden="false" customHeight="false" outlineLevel="0" collapsed="false">
      <c r="A60" s="3" t="s">
        <v>373</v>
      </c>
      <c r="B60" s="17" t="s">
        <v>374</v>
      </c>
      <c r="C60" s="24" t="n">
        <f aca="false">IF($C$48="in_per_out",$C$59/(1+$C$44),$C$59*(1-$C$44))</f>
        <v>0.986</v>
      </c>
      <c r="E60" s="17" t="s">
        <v>375</v>
      </c>
    </row>
    <row r="61" customFormat="false" ht="23.85" hidden="false" customHeight="false" outlineLevel="0" collapsed="false">
      <c r="A61" s="3" t="s">
        <v>376</v>
      </c>
      <c r="B61" s="17" t="s">
        <v>377</v>
      </c>
      <c r="C61" s="25" t="n">
        <f aca="false">$C$36*$C$60</f>
        <v>98600</v>
      </c>
      <c r="E61" s="17" t="s">
        <v>378</v>
      </c>
    </row>
    <row r="62" customFormat="false" ht="15" hidden="false" customHeight="false" outlineLevel="0" collapsed="false">
      <c r="A62" s="3" t="s">
        <v>379</v>
      </c>
      <c r="B62" s="17" t="s">
        <v>380</v>
      </c>
      <c r="C62" s="25" t="n">
        <f aca="false">$C$61*$C$45</f>
        <v>1380.4</v>
      </c>
      <c r="E62" s="17" t="s">
        <v>378</v>
      </c>
    </row>
    <row r="63" customFormat="false" ht="15" hidden="false" customHeight="false" outlineLevel="0" collapsed="false">
      <c r="A63" s="3" t="s">
        <v>381</v>
      </c>
      <c r="B63" s="17" t="s">
        <v>382</v>
      </c>
      <c r="C63" s="25" t="n">
        <f aca="false">$C$61-$C$62</f>
        <v>97219.6</v>
      </c>
      <c r="E63" s="17" t="s">
        <v>383</v>
      </c>
    </row>
    <row r="64" customFormat="false" ht="32.8" hidden="false" customHeight="false" outlineLevel="0" collapsed="false">
      <c r="A64" s="3" t="s">
        <v>384</v>
      </c>
      <c r="B64" s="17" t="s">
        <v>385</v>
      </c>
      <c r="C64" s="25" t="n">
        <f aca="false">IF($C$47="own_desk",$C$36*$C$40,IF($C$47="market_plus_pct",$C$36*$C$40*(1-$C$42),$C$36*$C$41))</f>
        <v>100000</v>
      </c>
      <c r="E64" s="17" t="s">
        <v>386</v>
      </c>
    </row>
    <row r="65" customFormat="false" ht="22.35" hidden="false" customHeight="false" outlineLevel="0" collapsed="false">
      <c r="A65" s="3" t="s">
        <v>387</v>
      </c>
      <c r="B65" s="17" t="s">
        <v>388</v>
      </c>
      <c r="C65" s="25" t="n">
        <f aca="false">$C$36*$C$40-$C$64</f>
        <v>0</v>
      </c>
      <c r="E65" s="17" t="s">
        <v>383</v>
      </c>
    </row>
    <row r="66" customFormat="false" ht="15" hidden="false" customHeight="false" outlineLevel="0" collapsed="false">
      <c r="A66" s="3" t="s">
        <v>389</v>
      </c>
      <c r="B66" s="17" t="s">
        <v>390</v>
      </c>
      <c r="C66" s="25" t="n">
        <f aca="false">$C$64-$C$63</f>
        <v>2780.39999999999</v>
      </c>
      <c r="E66" s="17" t="s">
        <v>391</v>
      </c>
    </row>
    <row r="67" customFormat="false" ht="15" hidden="false" customHeight="false" outlineLevel="0" collapsed="false">
      <c r="A67" s="3" t="s">
        <v>392</v>
      </c>
      <c r="B67" s="17" t="s">
        <v>393</v>
      </c>
      <c r="C67" s="26" t="n">
        <f aca="false">IF($C$36*$C$40=0,0,$C$66/($C$36*$C$40))</f>
        <v>0.0278039999999999</v>
      </c>
      <c r="E67" s="17" t="s">
        <v>383</v>
      </c>
    </row>
    <row r="68" customFormat="false" ht="22.35" hidden="false" customHeight="false" outlineLevel="0" collapsed="false">
      <c r="A68" s="3" t="s">
        <v>394</v>
      </c>
      <c r="B68" s="17" t="s">
        <v>395</v>
      </c>
      <c r="C68" s="6" t="str">
        <f aca="false">IF($C$67&lt;$C$51,"YES — Finance approval","no")</f>
        <v>no</v>
      </c>
      <c r="E68" s="17" t="s">
        <v>396</v>
      </c>
    </row>
    <row r="69" customFormat="false" ht="22.35" hidden="false" customHeight="false" outlineLevel="0" collapsed="false">
      <c r="A69" s="3" t="s">
        <v>397</v>
      </c>
      <c r="B69" s="17" t="s">
        <v>398</v>
      </c>
      <c r="C69" s="25" t="n">
        <f aca="false">IF($C$49="round_up_unit",CEILING($C$63,$C$50),IF($C$49="nearest_unit",MROUND($C$63,$C$50),IF($C$49="nearest_n",MROUND($C$63,$C$50),FLOOR($C$63,$C$50))))</f>
        <v>97219</v>
      </c>
      <c r="E69" s="17" t="s">
        <v>399</v>
      </c>
    </row>
    <row r="70" customFormat="false" ht="23.85" hidden="false" customHeight="false" outlineLevel="0" collapsed="false">
      <c r="A70" s="3" t="s">
        <v>400</v>
      </c>
      <c r="B70" s="17" t="s">
        <v>401</v>
      </c>
      <c r="C70" s="25" t="n">
        <f aca="false">$C$63-$C$69</f>
        <v>0.600000000005821</v>
      </c>
      <c r="E70" s="17" t="s">
        <v>402</v>
      </c>
    </row>
    <row r="71" customFormat="false" ht="22.35" hidden="false" customHeight="false" outlineLevel="0" collapsed="false">
      <c r="A71" s="3" t="s">
        <v>403</v>
      </c>
      <c r="B71" s="17" t="s">
        <v>404</v>
      </c>
      <c r="C71" s="24" t="n">
        <f aca="false">IF($C$52="",$C$59,$C$60/(1-$C$52))</f>
        <v>1</v>
      </c>
      <c r="E71" s="17" t="s">
        <v>358</v>
      </c>
    </row>
    <row r="72" customFormat="false" ht="15" hidden="false" customHeight="false" outlineLevel="0" collapsed="false">
      <c r="A72" s="3" t="s">
        <v>405</v>
      </c>
      <c r="B72" s="17" t="s">
        <v>406</v>
      </c>
      <c r="C72" s="25" t="n">
        <f aca="false">IF($C$53="rebate",$C$65*$C$54,0)</f>
        <v>0</v>
      </c>
      <c r="E72" s="17" t="s">
        <v>407</v>
      </c>
    </row>
    <row r="73" customFormat="false" ht="15" hidden="false" customHeight="false" outlineLevel="0" collapsed="false">
      <c r="A73" s="3" t="s">
        <v>408</v>
      </c>
      <c r="B73" s="17" t="s">
        <v>409</v>
      </c>
      <c r="C73" s="25" t="n">
        <f aca="false">$C$36*$C$40*$C$55</f>
        <v>0</v>
      </c>
      <c r="E73" s="17" t="s">
        <v>410</v>
      </c>
    </row>
    <row r="74" customFormat="false" ht="23.85" hidden="false" customHeight="false" outlineLevel="0" collapsed="false">
      <c r="A74" s="3" t="s">
        <v>411</v>
      </c>
      <c r="B74" s="17" t="s">
        <v>412</v>
      </c>
      <c r="C74" s="25" t="n">
        <f aca="false">ROUND($C$63+$C$65+$C$66-$C$36*$C$40,6)</f>
        <v>0</v>
      </c>
      <c r="E74" s="17" t="s">
        <v>413</v>
      </c>
    </row>
    <row r="76" customFormat="false" ht="15" hidden="false" customHeight="false" outlineLevel="0" collapsed="false">
      <c r="A76" s="15" t="s">
        <v>414</v>
      </c>
    </row>
    <row r="77" customFormat="false" ht="15" hidden="false" customHeight="false" outlineLevel="0" collapsed="false">
      <c r="A77" s="16" t="s">
        <v>415</v>
      </c>
      <c r="B77" s="16" t="s">
        <v>416</v>
      </c>
      <c r="C77" s="16" t="s">
        <v>417</v>
      </c>
      <c r="D77" s="16" t="s">
        <v>418</v>
      </c>
      <c r="E77" s="16" t="s">
        <v>419</v>
      </c>
    </row>
    <row r="78" customFormat="false" ht="15" hidden="false" customHeight="false" outlineLevel="0" collapsed="false">
      <c r="A78" s="6" t="str">
        <f aca="false">"CL."&amp;$C$39&amp;"."&amp;$C$37&amp;".COLLECTED"</f>
        <v>CL.ALI.EUR.COLLECTED</v>
      </c>
      <c r="B78" s="6" t="s">
        <v>420</v>
      </c>
      <c r="C78" s="25" t="n">
        <f aca="false">$C$36</f>
        <v>100000</v>
      </c>
      <c r="D78" s="18" t="s">
        <v>421</v>
      </c>
      <c r="E78" s="18" t="s">
        <v>422</v>
      </c>
    </row>
    <row r="79" customFormat="false" ht="15" hidden="false" customHeight="false" outlineLevel="0" collapsed="false">
      <c r="A79" s="6" t="str">
        <f aca="false">"CL.PROJECT."&amp;$C$37&amp;".PAYABLE"</f>
        <v>CL.PROJECT.EUR.PAYABLE</v>
      </c>
      <c r="B79" s="6" t="s">
        <v>423</v>
      </c>
      <c r="C79" s="25" t="n">
        <f aca="false">$C$36</f>
        <v>100000</v>
      </c>
      <c r="D79" s="18" t="s">
        <v>421</v>
      </c>
      <c r="E79" s="18" t="s">
        <v>422</v>
      </c>
    </row>
    <row r="80" customFormat="false" ht="15" hidden="false" customHeight="false" outlineLevel="0" collapsed="false">
      <c r="A80" s="6" t="str">
        <f aca="false">"CL.PROJECT."&amp;$C$37&amp;".PAYABLE"</f>
        <v>CL.PROJECT.EUR.PAYABLE</v>
      </c>
      <c r="B80" s="6" t="s">
        <v>420</v>
      </c>
      <c r="C80" s="25" t="n">
        <f aca="false">$C$36</f>
        <v>100000</v>
      </c>
      <c r="D80" s="18" t="s">
        <v>421</v>
      </c>
      <c r="E80" s="18" t="s">
        <v>424</v>
      </c>
    </row>
    <row r="81" customFormat="false" ht="15" hidden="false" customHeight="false" outlineLevel="0" collapsed="false">
      <c r="A81" s="6" t="str">
        <f aca="false">"CL."&amp;$C$39&amp;"."&amp;$C$37&amp;".COLLECTED"</f>
        <v>CL.ALI.EUR.COLLECTED</v>
      </c>
      <c r="B81" s="6" t="s">
        <v>423</v>
      </c>
      <c r="C81" s="25" t="n">
        <f aca="false">$C$36</f>
        <v>100000</v>
      </c>
      <c r="D81" s="18" t="s">
        <v>421</v>
      </c>
      <c r="E81" s="18" t="s">
        <v>424</v>
      </c>
    </row>
    <row r="82" customFormat="false" ht="15" hidden="false" customHeight="false" outlineLevel="0" collapsed="false">
      <c r="A82" s="6" t="str">
        <f aca="false">"CL."&amp;$C$39&amp;"."&amp;$C$38&amp;".DUE"</f>
        <v>CL.ALI.EUR.DUE</v>
      </c>
      <c r="B82" s="6" t="s">
        <v>420</v>
      </c>
      <c r="C82" s="25" t="n">
        <f aca="false">$C$63</f>
        <v>97219.6</v>
      </c>
      <c r="D82" s="18" t="s">
        <v>425</v>
      </c>
      <c r="E82" s="18" t="s">
        <v>426</v>
      </c>
    </row>
    <row r="83" customFormat="false" ht="15" hidden="false" customHeight="false" outlineLevel="0" collapsed="false">
      <c r="A83" s="6" t="str">
        <f aca="false">"CO."&amp;$C$39&amp;"."&amp;$C$38&amp;".POOL"</f>
        <v>CO.ALI.EUR.POOL</v>
      </c>
      <c r="B83" s="6" t="s">
        <v>420</v>
      </c>
      <c r="C83" s="25" t="n">
        <f aca="false">IF($C$53="rebate",0,$C$66)</f>
        <v>2780.39999999999</v>
      </c>
      <c r="D83" s="18" t="s">
        <v>427</v>
      </c>
      <c r="E83" s="18" t="s">
        <v>428</v>
      </c>
    </row>
    <row r="84" customFormat="false" ht="15" hidden="false" customHeight="false" outlineLevel="0" collapsed="false">
      <c r="A84" s="6" t="str">
        <f aca="false">"CO."&amp;$C$39&amp;"."&amp;$C$38&amp;".REBATE_RECEIVABLE"</f>
        <v>CO.ALI.EUR.REBATE_RECEIVABLE</v>
      </c>
      <c r="B84" s="6" t="s">
        <v>420</v>
      </c>
      <c r="C84" s="25" t="n">
        <f aca="false">$C$72</f>
        <v>0</v>
      </c>
      <c r="D84" s="18" t="s">
        <v>427</v>
      </c>
      <c r="E84" s="18" t="s">
        <v>429</v>
      </c>
    </row>
    <row r="85" customFormat="false" ht="15" hidden="false" customHeight="false" outlineLevel="0" collapsed="false">
      <c r="A85" s="6" t="str">
        <f aca="false">"CL.PROJECT."&amp;$C$38&amp;".PAYABLE"</f>
        <v>CL.PROJECT.EUR.PAYABLE</v>
      </c>
      <c r="B85" s="6" t="s">
        <v>423</v>
      </c>
      <c r="C85" s="25" t="n">
        <f aca="false">$C$63</f>
        <v>97219.6</v>
      </c>
      <c r="D85" s="18" t="s">
        <v>421</v>
      </c>
      <c r="E85" s="18" t="s">
        <v>426</v>
      </c>
    </row>
    <row r="86" customFormat="false" ht="15" hidden="false" customHeight="false" outlineLevel="0" collapsed="false">
      <c r="A86" s="6" t="str">
        <f aca="false">"CO.NONE."&amp;$C$38&amp;".EARN_GROSS"</f>
        <v>CO.NONE.EUR.EARN_GROSS</v>
      </c>
      <c r="B86" s="6" t="s">
        <v>423</v>
      </c>
      <c r="C86" s="25" t="n">
        <f aca="false">$C$66+$C$72</f>
        <v>2780.39999999999</v>
      </c>
      <c r="D86" s="18" t="s">
        <v>427</v>
      </c>
      <c r="E86" s="18" t="s">
        <v>430</v>
      </c>
    </row>
    <row r="87" customFormat="false" ht="15" hidden="false" customHeight="false" outlineLevel="0" collapsed="false">
      <c r="A87" s="6" t="str">
        <f aca="false">"CL."&amp;$C$39&amp;"."&amp;$C$38&amp;".INTRANSIT"</f>
        <v>CL.ALI.EUR.INTRANSIT</v>
      </c>
      <c r="B87" s="6" t="s">
        <v>420</v>
      </c>
      <c r="C87" s="25" t="n">
        <f aca="false">$C$69</f>
        <v>97219</v>
      </c>
      <c r="D87" s="18" t="s">
        <v>421</v>
      </c>
      <c r="E87" s="18" t="s">
        <v>431</v>
      </c>
    </row>
    <row r="88" customFormat="false" ht="15" hidden="false" customHeight="false" outlineLevel="0" collapsed="false">
      <c r="A88" s="6" t="str">
        <f aca="false">"CL."&amp;$C$39&amp;"."&amp;$C$38&amp;".DUE"</f>
        <v>CL.ALI.EUR.DUE</v>
      </c>
      <c r="B88" s="6" t="s">
        <v>423</v>
      </c>
      <c r="C88" s="25" t="n">
        <f aca="false">$C$69</f>
        <v>97219</v>
      </c>
      <c r="D88" s="18" t="s">
        <v>421</v>
      </c>
      <c r="E88" s="18" t="s">
        <v>432</v>
      </c>
    </row>
    <row r="89" customFormat="false" ht="15" hidden="false" customHeight="false" outlineLevel="0" collapsed="false">
      <c r="A89" s="6" t="str">
        <f aca="false">"CL.PROJECT."&amp;$C$38&amp;".PAYABLE"</f>
        <v>CL.PROJECT.EUR.PAYABLE</v>
      </c>
      <c r="B89" s="6" t="s">
        <v>420</v>
      </c>
      <c r="C89" s="25" t="n">
        <f aca="false">$C$69</f>
        <v>97219</v>
      </c>
      <c r="D89" s="18" t="s">
        <v>421</v>
      </c>
      <c r="E89" s="18" t="s">
        <v>433</v>
      </c>
    </row>
    <row r="90" customFormat="false" ht="15" hidden="false" customHeight="false" outlineLevel="0" collapsed="false">
      <c r="A90" s="6" t="str">
        <f aca="false">"CL."&amp;$C$39&amp;"."&amp;$C$38&amp;".INTRANSIT"</f>
        <v>CL.ALI.EUR.INTRANSIT</v>
      </c>
      <c r="B90" s="6" t="s">
        <v>423</v>
      </c>
      <c r="C90" s="25" t="n">
        <f aca="false">$C$69</f>
        <v>97219</v>
      </c>
      <c r="D90" s="18" t="s">
        <v>421</v>
      </c>
      <c r="E90" s="18" t="s">
        <v>433</v>
      </c>
    </row>
    <row r="91" customFormat="false" ht="15" hidden="false" customHeight="false" outlineLevel="0" collapsed="false">
      <c r="A91" s="6" t="str">
        <f aca="false">"CO.NONE."&amp;$C$38&amp;".EARN_GROSS"</f>
        <v>CO.NONE.EUR.EARN_GROSS</v>
      </c>
      <c r="B91" s="6" t="s">
        <v>420</v>
      </c>
      <c r="C91" s="25" t="n">
        <f aca="false">$C$73</f>
        <v>0</v>
      </c>
      <c r="D91" s="18" t="s">
        <v>434</v>
      </c>
      <c r="E91" s="18" t="s">
        <v>435</v>
      </c>
    </row>
    <row r="92" customFormat="false" ht="15" hidden="false" customHeight="false" outlineLevel="0" collapsed="false">
      <c r="A92" s="6" t="str">
        <f aca="false">"CO.INTRODUCER."&amp;$C$38&amp;".REFERRAL_PAYABLE"</f>
        <v>CO.INTRODUCER.EUR.REFERRAL_PAYABLE</v>
      </c>
      <c r="B92" s="6" t="s">
        <v>423</v>
      </c>
      <c r="C92" s="25" t="n">
        <f aca="false">$C$73</f>
        <v>0</v>
      </c>
      <c r="D92" s="18" t="s">
        <v>434</v>
      </c>
      <c r="E92" s="18" t="s">
        <v>436</v>
      </c>
    </row>
    <row r="93" customFormat="false" ht="30" hidden="false" customHeight="true" outlineLevel="0" collapsed="false">
      <c r="A93" s="27" t="s">
        <v>437</v>
      </c>
      <c r="C93" s="28" t="n">
        <f aca="false">ROUND(SUMIF($B$82:$B$92,"Dr",$C$82:$C$92)-SUMIF($B$82:$B$92,"Cr",$C$82:$C$92),6)</f>
        <v>0</v>
      </c>
      <c r="E93" s="17" t="s">
        <v>438</v>
      </c>
    </row>
    <row r="95" customFormat="false" ht="15" hidden="false" customHeight="false" outlineLevel="0" collapsed="false">
      <c r="A95" s="15" t="s">
        <v>439</v>
      </c>
    </row>
    <row r="96" customFormat="false" ht="15" hidden="false" customHeight="false" outlineLevel="0" collapsed="false">
      <c r="A96" s="16" t="s">
        <v>440</v>
      </c>
      <c r="B96" s="16" t="s">
        <v>441</v>
      </c>
      <c r="C96" s="16" t="s">
        <v>442</v>
      </c>
      <c r="D96" s="16" t="s">
        <v>443</v>
      </c>
      <c r="E96" s="16" t="s">
        <v>444</v>
      </c>
    </row>
    <row r="97" customFormat="false" ht="30" hidden="false" customHeight="true" outlineLevel="0" collapsed="false">
      <c r="A97" s="3" t="s">
        <v>619</v>
      </c>
      <c r="B97" s="19" t="n">
        <v>97219.6</v>
      </c>
      <c r="C97" s="25" t="n">
        <f aca="false">$C$63</f>
        <v>97219.6</v>
      </c>
      <c r="D97" s="28" t="n">
        <f aca="false">ROUND(C97-B97,2)</f>
        <v>0</v>
      </c>
      <c r="E97" s="17" t="s">
        <v>620</v>
      </c>
    </row>
    <row r="99" customFormat="false" ht="15" hidden="false" customHeight="false" outlineLevel="0" collapsed="false">
      <c r="A99" s="15" t="s">
        <v>447</v>
      </c>
    </row>
    <row r="100" customFormat="false" ht="31.5" hidden="false" customHeight="true" outlineLevel="0" collapsed="false">
      <c r="A100" s="13" t="s">
        <v>448</v>
      </c>
      <c r="B100" s="29" t="s">
        <v>621</v>
      </c>
      <c r="C100" s="29"/>
      <c r="D100" s="29"/>
      <c r="E100" s="29"/>
    </row>
    <row r="101" customFormat="false" ht="31.5" hidden="false" customHeight="true" outlineLevel="0" collapsed="false">
      <c r="A101" s="13" t="s">
        <v>448</v>
      </c>
      <c r="B101" s="29" t="s">
        <v>622</v>
      </c>
      <c r="C101" s="29"/>
      <c r="D101" s="29"/>
      <c r="E101" s="29"/>
    </row>
  </sheetData>
  <mergeCells count="2">
    <mergeCell ref="B100:E100"/>
    <mergeCell ref="B101:E10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2026-10-08T08:07:18Z</dcterms:created>
  <dc:creator>openpyxl</dc:creator>
  <dc:description/>
  <dc:language>en-PH</dc:language>
  <cp:lastModifiedBy/>
  <dcterms:modified xsi:type="dcterms:W3CDTF">2026-10-08T08:07:18Z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