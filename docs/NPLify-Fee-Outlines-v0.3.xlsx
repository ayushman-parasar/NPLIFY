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ll fee lines" sheetId="2" state="visible" r:id="rId2"/>
    <sheet xmlns:r="http://schemas.openxmlformats.org/officeDocument/2006/relationships" name="1 Market minus fee" sheetId="3" state="visible" r:id="rId3"/>
    <sheet xmlns:r="http://schemas.openxmlformats.org/officeDocument/2006/relationships" name="2 Agent rate" sheetId="4" state="visible" r:id="rId4"/>
    <sheet xmlns:r="http://schemas.openxmlformats.org/officeDocument/2006/relationships" name="3 Sender+receiver pay" sheetId="5" state="visible" r:id="rId5"/>
    <sheet xmlns:r="http://schemas.openxmlformats.org/officeDocument/2006/relationships" name="4 Fee per deal" sheetId="6" state="visible" r:id="rId6"/>
    <sheet xmlns:r="http://schemas.openxmlformats.org/officeDocument/2006/relationships" name="5 Fee by volume" sheetId="7" state="visible" r:id="rId7"/>
    <sheet xmlns:r="http://schemas.openxmlformats.org/officeDocument/2006/relationships" name="6 Shared with client" sheetId="8" state="visible" r:id="rId8"/>
    <sheet xmlns:r="http://schemas.openxmlformats.org/officeDocument/2006/relationships" name="7 NPL own wallet" sheetId="9" state="visible" r:id="rId9"/>
    <sheet xmlns:r="http://schemas.openxmlformats.org/officeDocument/2006/relationships" name="8 THB cash to vendors" sheetId="10" state="visible" r:id="rId10"/>
    <sheet xmlns:r="http://schemas.openxmlformats.org/officeDocument/2006/relationships" name="9 Withdrawal" sheetId="11" state="visible" r:id="rId11"/>
    <sheet xmlns:r="http://schemas.openxmlformats.org/officeDocument/2006/relationships" name="10 Cash collection" sheetId="12" state="visible" r:id="rId12"/>
    <sheet xmlns:r="http://schemas.openxmlformats.org/officeDocument/2006/relationships" name="11 No-fee internal" sheetId="13" state="visible" r:id="rId13"/>
    <sheet xmlns:r="http://schemas.openxmlformats.org/officeDocument/2006/relationships" name="12 Same currency" sheetId="14" state="visible" r:id="rId14"/>
    <sheet xmlns:r="http://schemas.openxmlformats.org/officeDocument/2006/relationships" name="Project Context" sheetId="15" state="visible" r:id="rId15"/>
    <sheet xmlns:r="http://schemas.openxmlformats.org/officeDocument/2006/relationships" name="Payment methods" sheetId="16" state="visible" r:id="rId16"/>
    <sheet xmlns:r="http://schemas.openxmlformats.org/officeDocument/2006/relationships" name="For New XP" sheetId="17" state="visible" r:id="rId17"/>
    <sheet xmlns:r="http://schemas.openxmlformats.org/officeDocument/2006/relationships" name="Acceptance vectors B" sheetId="18" state="visible" r:id="rId18"/>
  </sheets>
  <definedNames/>
  <calcPr calcId="124519" fullCalcOnLoad="1"/>
</workbook>
</file>

<file path=xl/styles.xml><?xml version="1.0" encoding="utf-8"?>
<styleSheet xmlns="http://schemas.openxmlformats.org/spreadsheetml/2006/main">
  <numFmts count="1">
    <numFmt numFmtId="164" formatCode="0.000000"/>
  </numFmts>
  <fonts count="7">
    <font>
      <name val="Calibri"/>
      <family val="2"/>
      <color theme="1"/>
      <sz val="11"/>
      <scheme val="minor"/>
    </font>
    <font>
      <name val="Arial"/>
      <b val="1"/>
      <color rgb="002F5D9E"/>
      <sz val="13"/>
    </font>
    <font>
      <name val="Arial"/>
      <b val="1"/>
      <sz val="10"/>
    </font>
    <font>
      <name val="Arial"/>
      <sz val="10"/>
    </font>
    <font>
      <name val="Arial"/>
      <color rgb="000000FF"/>
      <sz val="10"/>
    </font>
    <font>
      <name val="Arial"/>
      <b val="1"/>
      <color rgb="002F5D9E"/>
      <sz val="11"/>
    </font>
    <font>
      <name val="Arial"/>
      <i val="1"/>
      <color rgb="00555555"/>
      <sz val="9"/>
    </font>
  </fonts>
  <fills count="6">
    <fill>
      <patternFill/>
    </fill>
    <fill>
      <patternFill patternType="gray125"/>
    </fill>
    <fill>
      <patternFill patternType="solid">
        <fgColor rgb="00FFFF00"/>
      </patternFill>
    </fill>
    <fill>
      <patternFill patternType="solid">
        <fgColor rgb="00FDE9D9"/>
      </patternFill>
    </fill>
    <fill>
      <patternFill patternType="solid">
        <fgColor rgb="00E8EEF7"/>
      </patternFill>
    </fill>
    <fill>
      <patternFill patternType="solid">
        <fgColor rgb="00F3F6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pivotButton="0" quotePrefix="0" xfId="0"/>
    <xf numFmtId="0" fontId="3" fillId="2" borderId="1" pivotButton="0" quotePrefix="0" xfId="0"/>
    <xf numFmtId="0" fontId="3" fillId="0" borderId="1" pivotButton="0" quotePrefix="0" xfId="0"/>
    <xf numFmtId="0" fontId="3" fillId="3" borderId="1" pivotButton="0" quotePrefix="0" xfId="0"/>
    <xf numFmtId="0" fontId="4" fillId="0" borderId="1" pivotButton="0" quotePrefix="0" xfId="0"/>
    <xf numFmtId="0" fontId="2" fillId="4" borderId="1" applyAlignment="1" pivotButton="0" quotePrefix="0" xfId="0">
      <alignment vertical="top" wrapText="1"/>
    </xf>
    <xf numFmtId="0" fontId="4" fillId="0" borderId="1" applyAlignment="1" pivotButton="0" quotePrefix="0" xfId="0">
      <alignment vertical="top" wrapText="1"/>
    </xf>
    <xf numFmtId="0" fontId="3" fillId="2" borderId="1" applyAlignment="1" pivotButton="0" quotePrefix="0" xfId="0">
      <alignment vertical="top" wrapText="1"/>
    </xf>
    <xf numFmtId="10" fontId="4" fillId="0" borderId="1" applyAlignment="1" pivotButton="0" quotePrefix="0" xfId="0">
      <alignment vertical="top" wrapText="1"/>
    </xf>
    <xf numFmtId="0" fontId="2" fillId="0" borderId="0" pivotButton="0" quotePrefix="0" xfId="0"/>
    <xf numFmtId="0" fontId="3" fillId="0" borderId="0" pivotButton="0" quotePrefix="0" xfId="0"/>
    <xf numFmtId="0" fontId="5" fillId="0" borderId="0" pivotButton="0" quotePrefix="0" xfId="0"/>
    <xf numFmtId="0" fontId="2" fillId="4" borderId="1" pivotButton="0" quotePrefix="0" xfId="0"/>
    <xf numFmtId="0" fontId="6" fillId="0" borderId="1" applyAlignment="1" pivotButton="0" quotePrefix="0" xfId="0">
      <alignment vertical="top" wrapText="1"/>
    </xf>
    <xf numFmtId="4" fontId="4" fillId="0" borderId="1" pivotButton="0" quotePrefix="0" xfId="0"/>
    <xf numFmtId="164" fontId="4" fillId="0" borderId="1" pivotButton="0" quotePrefix="0" xfId="0"/>
    <xf numFmtId="164" fontId="3" fillId="2" borderId="1" pivotButton="0" quotePrefix="0" xfId="0"/>
    <xf numFmtId="10" fontId="4" fillId="0" borderId="1" pivotButton="0" quotePrefix="0" xfId="0"/>
    <xf numFmtId="10" fontId="3" fillId="2" borderId="1" pivotButton="0" quotePrefix="0" xfId="0"/>
    <xf numFmtId="164" fontId="3" fillId="0" borderId="1" pivotButton="0" quotePrefix="0" xfId="0"/>
    <xf numFmtId="4" fontId="3" fillId="0" borderId="1" pivotButton="0" quotePrefix="0" xfId="0"/>
    <xf numFmtId="10" fontId="3" fillId="0" borderId="1" pivotButton="0" quotePrefix="0" xfId="0"/>
    <xf numFmtId="0" fontId="2" fillId="5" borderId="1" applyAlignment="1" pivotButton="0" quotePrefix="0" xfId="0">
      <alignment vertical="top" wrapText="1"/>
    </xf>
    <xf numFmtId="4" fontId="3" fillId="5" borderId="1" pivotButton="0" quotePrefix="0" xfId="0"/>
    <xf numFmtId="0" fontId="3" fillId="0" borderId="0" applyAlignment="1" pivotButton="0" quotePrefix="0" xfId="0">
      <alignment vertical="top" wrapText="1"/>
    </xf>
    <xf numFmtId="0" fontId="6" fillId="0" borderId="1" pivotButton="0" quotePrefix="0" xfId="0"/>
    <xf numFmtId="10" fontId="3" fillId="5" borderId="1" pivotButton="0" quotePrefix="0" xfId="0"/>
    <xf numFmtId="0" fontId="2" fillId="5" borderId="1" pivotButton="0" quotePrefix="0" xfId="0"/>
    <xf numFmtId="10" fontId="4" fillId="3" borderId="1" applyAlignment="1" pivotButton="0" quotePrefix="0" xfId="0">
      <alignment vertical="top" wrapText="1"/>
    </xf>
    <xf numFmtId="10" fontId="4" fillId="3" borderId="1"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110" customWidth="1" min="2" max="2"/>
  </cols>
  <sheetData>
    <row r="1">
      <c r="A1" s="1" t="inlineStr">
        <is>
          <t>NPLify — Fee outlines for simulation · v0.3 (22 October 2026)</t>
        </is>
      </c>
    </row>
    <row r="3" ht="76" customHeight="1">
      <c r="A3" s="2" t="inlineStr">
        <is>
          <t>What changed in v0.3</t>
        </is>
      </c>
      <c r="B3" s="3" t="inlineStr">
        <is>
          <t>Status at ERD v6.0 (22 October 2026): every outline in this workbook is applied in the model — the thirteen proposals A–M as decisions D20–D32 (9 October), the ledger design as D46 (10–11 October) and the design review of 19–21 October as D47–D57; see 'Model Gaps &amp; Proposals v2.0'. Two corrections from NPL are folded in: the Evo receiver line of the fee sheet is now (29,325 − 2 %) × 0.888977323 = 25,548, the receiver's part on the principal (NPL's corrected sheet of 21 October; the 8 October sheet read 25,704 − 0.6 % = 25,550), and NPL supplied its own figures for the five cases the sheet had no line for (vectors B19–B23). The new last sheet, 'Acceptance vectors B', lists all 23 vector B rows with the sheet figure, the recomputed figure and the result: 23 of 23 match. Nothing is left for NPL to fill in this edition; the yellow and pink cells are kept as the record of what was asked and answered.</t>
        </is>
      </c>
    </row>
    <row r="4" ht="76" customHeight="1">
      <c r="A4" s="2" t="inlineStr">
        <is>
          <t>What changed in v0.2</t>
        </is>
      </c>
      <c r="B4" s="3" t="inlineStr">
        <is>
          <t>Your answers of 8 October are folded in (blue cells marked 'your answer'): how each partner pays NPL its share, the real rates behind the quotes, the Evo receiver groups, the GDC volume rule, the Raeen sub-account split, NPL-GR as the client for the game reseller, the rounding conventions, and the bank and name used on each payout. Questions you answered are gone from 'Please confirm'; the few places where two of your figures disagree are listed there as a choice (pink cells). Your 'Project Context' and 'Payment methods' tabs are carried over unchanged. Two things were renamed because the old words did not land: 'lowest / highest fee' is now 'lowest / highest markup', and the approval question now reads 'has the partner approved this account: yes / pending'.</t>
        </is>
      </c>
    </row>
    <row r="5" ht="76" customHeight="1">
      <c r="A5" s="2" t="inlineStr">
        <is>
          <t>What this is</t>
        </is>
      </c>
      <c r="B5" s="3" t="inlineStr">
        <is>
          <t>Every line of NPL's 'Table of Remittance Customers Fees' turned into a fill-in outline: who sends, who gets paid, which partner, which currencies, what fee, who pays it, how NPL's share reaches NPL, and how amounts are rounded. Each pattern sheet also has a worked calculation: change the amount or any value and it shows what the customer would be quoted, what the partner delivers, what NPL earns, what is paid out, and the bookkeeping entries — and compares the result with the figure in your sheet.</t>
        </is>
      </c>
    </row>
    <row r="6" ht="76" customHeight="1">
      <c r="A6" s="2" t="inlineStr">
        <is>
          <t>How to fill</t>
        </is>
      </c>
      <c r="B6" s="3" t="inlineStr">
        <is>
          <t>Yellow cells are still open — please fill them. Pink cells are a choice between two of your own figures. Blue cells were copied from your sheet or from your answers — correct them if they are wrong. Black cells are calculations; please do not type over them. 'Where it comes from' says how we got a value.</t>
        </is>
      </c>
    </row>
    <row r="7" ht="76" customHeight="1">
      <c r="A7" s="2" t="inlineStr">
        <is>
          <t>Sheets</t>
        </is>
      </c>
      <c r="B7" s="3" t="inlineStr">
        <is>
          <t>All fee lines — one row per line of your sheet (45), one column per thing to fill in. Then twelve pattern sheets, one per way a transaction works, each with one worked example from your sheet. Column D of 'All fee lines' says which pattern a line belongs to. 'Project Context' and 'Payment methods' are yours. The last sheet, 'For New XP', maps each item to the system's field names and is not for NPL to fill.</t>
        </is>
      </c>
    </row>
    <row r="8" ht="76" customHeight="1">
      <c r="A8" s="2" t="inlineStr">
        <is>
          <t>The worked calculation</t>
        </is>
      </c>
      <c r="B8" s="3" t="inlineStr">
        <is>
          <t>Uses the same arithmetic as your sheet: rates are written as units received per 1 unit sent (where a partner quotes the other way round, e.g. 1.1738, the sheet takes 1 ÷ that); the rate quoted to the sender is the market rate (or the agent rate) less the sender's fee; the receiver's fee, if any, comes off after that; the partner delivers at its own rate; NPL's earnings are what the partner delivers minus what the receiver gets; a partner's monthly rebate is shown on its own line and is never mixed into those earnings; payouts go out rounded as agreed. Where an item needs a change to the system before it can be handled, the note says 'needs a system change'.</t>
        </is>
      </c>
    </row>
    <row r="9" ht="76" customHeight="1">
      <c r="A9" s="2" t="inlineStr">
        <is>
          <t>What to do with it</t>
        </is>
      </c>
      <c r="B9" s="3" t="inlineStr">
        <is>
          <t>1. Fill the yellow cells, decide the pink ones, correct any blue value. 2. On each pattern sheet, 'Compare with your sheet' should show a difference of zero, or one that the comment explains. 3. We then load the filled-in lines as the system's configuration and use the pattern sheets as test cases: the system passes when it reproduces every figure.</t>
        </is>
      </c>
    </row>
    <row r="10" ht="76" customHeight="1">
      <c r="A10" s="2" t="inlineStr">
        <is>
          <t>Legend</t>
        </is>
      </c>
      <c r="B10" s="3" t="inlineStr">
        <is>
          <t>'Needs a system change' marks an item the system cannot handle yet. The full list, with what each change does to the model, is in the companion document 'Model Gaps &amp; Proposals v1.0'.</t>
        </is>
      </c>
    </row>
    <row r="12">
      <c r="A12" s="4" t="inlineStr">
        <is>
          <t>Colour</t>
        </is>
      </c>
      <c r="B12" s="4" t="inlineStr">
        <is>
          <t>Meaning</t>
        </is>
      </c>
    </row>
    <row r="13">
      <c r="A13" s="5" t="inlineStr">
        <is>
          <t>NPL fills in</t>
        </is>
      </c>
      <c r="B13" s="6" t="inlineStr">
        <is>
          <t>Still open — please supply</t>
        </is>
      </c>
    </row>
    <row r="14">
      <c r="A14" s="7" t="inlineStr">
        <is>
          <t>NPL chooses</t>
        </is>
      </c>
      <c r="B14" s="6" t="inlineStr">
        <is>
          <t>Two of your figures disagree — please pick one (the question is under 'Please confirm')</t>
        </is>
      </c>
    </row>
    <row r="15">
      <c r="A15" s="8" t="inlineStr">
        <is>
          <t>From your sheet or your answers</t>
        </is>
      </c>
      <c r="B15" s="6" t="inlineStr">
        <is>
          <t>Copied from your fee table or your answers of 8 October (blue text) — correct if wrong</t>
        </is>
      </c>
    </row>
    <row r="16">
      <c r="A16" s="6" t="inlineStr">
        <is>
          <t>Calculation</t>
        </is>
      </c>
      <c r="B16" s="6" t="inlineStr">
        <is>
          <t>Worked out by the workbook (black) — please do not overwrite</t>
        </is>
      </c>
    </row>
    <row r="18">
      <c r="A18" s="4" t="inlineStr">
        <is>
          <t>Pattern</t>
        </is>
      </c>
      <c r="B18" s="4" t="inlineStr">
        <is>
          <t>Name · sheet lines</t>
        </is>
      </c>
    </row>
    <row r="19">
      <c r="A19" s="6" t="inlineStr">
        <is>
          <t>1 Market minus fee</t>
        </is>
      </c>
      <c r="B19" s="6" t="inlineStr">
        <is>
          <t>Fee taken off the market rate; the partner pays NPL its share back monthly · rows 3, 4, 6, 9, 10, 11, 13, 17, 18 of your sheet</t>
        </is>
      </c>
    </row>
    <row r="20">
      <c r="A20" s="6" t="inlineStr">
        <is>
          <t>2 Agent rate</t>
        </is>
      </c>
      <c r="B20" s="6" t="inlineStr">
        <is>
          <t>Agent rate; the fee shown to the customer differs from the true total · rows 5, 7, 12, 15, 19, 30, 31, 35 of your sheet</t>
        </is>
      </c>
    </row>
    <row r="21">
      <c r="A21" s="6" t="inlineStr">
        <is>
          <t>3 Sender+receiver pay</t>
        </is>
      </c>
      <c r="B21" s="6" t="inlineStr">
        <is>
          <t>Sender and receiver both pay a part of the fee · rows 21, 22, 23, 24 of your sheet</t>
        </is>
      </c>
    </row>
    <row r="22">
      <c r="A22" s="6" t="inlineStr">
        <is>
          <t>4 Fee per deal</t>
        </is>
      </c>
      <c r="B22" s="6" t="inlineStr">
        <is>
          <t>Fee decided per deal, with a lowest value and a minimum margin · rows 8, 25, 26, 29, 34, 36, 43, 44 of your sheet</t>
        </is>
      </c>
    </row>
    <row r="23">
      <c r="A23" s="6" t="inlineStr">
        <is>
          <t>5 Fee by volume</t>
        </is>
      </c>
      <c r="B23" s="6" t="inlineStr">
        <is>
          <t>Fee that drops with monthly volume · rows 32, 33 of your sheet</t>
        </is>
      </c>
    </row>
    <row r="24">
      <c r="A24" s="6" t="inlineStr">
        <is>
          <t>6 Shared with client</t>
        </is>
      </c>
      <c r="B24" s="6" t="inlineStr">
        <is>
          <t>NPL's markup shared with the customer who provides the sub-account · rows 14, 16 of your sheet</t>
        </is>
      </c>
    </row>
    <row r="25">
      <c r="A25" s="6" t="inlineStr">
        <is>
          <t>7 NPL own wallet</t>
        </is>
      </c>
      <c r="B25" s="6" t="inlineStr">
        <is>
          <t>Game reseller (NPL-GR): NPL converts in its own wallet, no partner · rows 38, 39, 40, 41, 42 of your sheet</t>
        </is>
      </c>
    </row>
    <row r="26">
      <c r="A26" s="6" t="inlineStr">
        <is>
          <t>8 THB cash to vendors</t>
        </is>
      </c>
      <c r="B26" s="6" t="inlineStr">
        <is>
          <t>THB cash in, partner converts to USDT, vendors paid in USDT · rows 37 of your sheet</t>
        </is>
      </c>
    </row>
    <row r="27">
      <c r="A27" s="6" t="inlineStr">
        <is>
          <t>9 Withdrawal</t>
        </is>
      </c>
      <c r="B27" s="6" t="inlineStr">
        <is>
          <t>Withdrawal: bank transfer in, USDT out · rows 20 of your sheet</t>
        </is>
      </c>
    </row>
    <row r="28">
      <c r="A28" s="6" t="inlineStr">
        <is>
          <t>10 Cash collection</t>
        </is>
      </c>
      <c r="B28" s="6" t="inlineStr">
        <is>
          <t>Cash collection · rows 28, 45 of your sheet</t>
        </is>
      </c>
    </row>
    <row r="29">
      <c r="A29" s="6" t="inlineStr">
        <is>
          <t>11 No-fee internal</t>
        </is>
      </c>
      <c r="B29" s="6" t="inlineStr">
        <is>
          <t>No-fee internal collection, balance held at the partner · rows 46, 47 of your sheet</t>
        </is>
      </c>
    </row>
    <row r="30">
      <c r="A30" s="6" t="inlineStr">
        <is>
          <t>12 Same currency</t>
        </is>
      </c>
      <c r="B30" s="6" t="inlineStr">
        <is>
          <t>Same-currency bank transfer · rows 27 of your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4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30" customWidth="1" min="3" max="3"/>
    <col width="8" customWidth="1" min="4" max="4"/>
    <col width="44" customWidth="1" min="5" max="5"/>
    <col width="18" customWidth="1" min="6" max="6"/>
    <col width="22" customWidth="1" min="7" max="7"/>
    <col width="24" customWidth="1" min="8" max="8"/>
    <col width="16" customWidth="1" min="9" max="9"/>
    <col width="28" customWidth="1" min="10" max="10"/>
    <col width="16" customWidth="1" min="11" max="11"/>
    <col width="18" customWidth="1" min="12" max="12"/>
    <col width="18" customWidth="1" min="13" max="13"/>
    <col width="14" customWidth="1" min="14" max="14"/>
    <col width="12" customWidth="1" min="15" max="15"/>
    <col width="10" customWidth="1" min="16" max="16"/>
    <col width="11" customWidth="1" min="17" max="17"/>
    <col width="11" customWidth="1" min="18" max="18"/>
    <col width="11" customWidth="1" min="19" max="19"/>
    <col width="9" customWidth="1" min="20" max="20"/>
    <col width="9" customWidth="1" min="21" max="21"/>
    <col width="10" customWidth="1" min="22" max="22"/>
    <col width="12" customWidth="1" min="23" max="23"/>
    <col width="12" customWidth="1" min="24" max="24"/>
    <col width="12" customWidth="1" min="25" max="25"/>
    <col width="18" customWidth="1" min="26" max="26"/>
    <col width="14" customWidth="1" min="27" max="27"/>
    <col width="22" customWidth="1" min="28" max="28"/>
    <col width="18" customWidth="1" min="29" max="29"/>
    <col width="16" customWidth="1" min="30" max="30"/>
    <col width="16" customWidth="1" min="31" max="31"/>
    <col width="14" customWidth="1" min="32" max="32"/>
    <col width="16" customWidth="1" min="33" max="33"/>
    <col width="40" customWidth="1" min="34" max="34"/>
    <col width="40" customWidth="1" min="35" max="35"/>
  </cols>
  <sheetData>
    <row r="1" ht="92" customHeight="1">
      <c r="A1" s="9" t="inlineStr">
        <is>
          <t>Line</t>
        </is>
      </c>
      <c r="B1" s="9" t="inlineStr">
        <is>
          <t>Row in your sheet</t>
        </is>
      </c>
      <c r="C1" s="9" t="inlineStr">
        <is>
          <t>Client / product</t>
        </is>
      </c>
      <c r="D1" s="9" t="inlineStr">
        <is>
          <t>Pattern</t>
        </is>
      </c>
      <c r="E1" s="9" t="inlineStr">
        <is>
          <t>How it works today (from your sheet)</t>
        </is>
      </c>
      <c r="F1" s="9" t="inlineStr">
        <is>
          <t>Who sends the money</t>
        </is>
      </c>
      <c r="G1" s="9" t="inlineStr">
        <is>
          <t>Who gets paid</t>
        </is>
      </c>
      <c r="H1" s="9" t="inlineStr">
        <is>
          <t>Their account: currency · bank or wallet · route (SEPA, SWIFT, TRC-20, internal transfer …)</t>
        </is>
      </c>
      <c r="I1" s="9" t="inlineStr">
        <is>
          <t>How the money comes in (crypto / bank / cash / local deposit)</t>
        </is>
      </c>
      <c r="J1" s="9" t="inlineStr">
        <is>
          <t>Where it comes in: which partner company, its wallet or bank account</t>
        </is>
      </c>
      <c r="K1" s="9" t="inlineStr">
        <is>
          <t>Partner / agent</t>
        </is>
      </c>
      <c r="L1" s="9" t="inlineStr">
        <is>
          <t>How the partner prices (fee on top of market / fee inside its rate / NPL's own wallet)</t>
        </is>
      </c>
      <c r="M1" s="9" t="inlineStr">
        <is>
          <t>Exchange pair (sent → paid out)</t>
        </is>
      </c>
      <c r="N1" s="9" t="inlineStr">
        <is>
          <t>Fee taken how (off the rate the sender gets / added to what the sender pays)</t>
        </is>
      </c>
      <c r="O1" s="9" t="inlineStr">
        <is>
          <t>Fee applied to (market rate / agent rate)</t>
        </is>
      </c>
      <c r="P1" s="9" t="inlineStr">
        <is>
          <t>Fee is (fixed / set per deal)</t>
        </is>
      </c>
      <c r="Q1" s="9" t="inlineStr">
        <is>
          <t>Total fee %</t>
        </is>
      </c>
      <c r="R1" s="9" t="inlineStr">
        <is>
          <t>Sender pays %</t>
        </is>
      </c>
      <c r="S1" s="9" t="inlineStr">
        <is>
          <t>Receiver pays %</t>
        </is>
      </c>
      <c r="T1" s="9" t="inlineStr">
        <is>
          <t>Lowest markup % (only when set per deal)</t>
        </is>
      </c>
      <c r="U1" s="9" t="inlineStr">
        <is>
          <t>Highest markup % (only when set per deal)</t>
        </is>
      </c>
      <c r="V1" s="9" t="inlineStr">
        <is>
          <t>Minimum NPL margin %</t>
        </is>
      </c>
      <c r="W1" s="9" t="inlineStr">
        <is>
          <t>Fee shown to the customer %, if different (needs a system change)</t>
        </is>
      </c>
      <c r="X1" s="9" t="inlineStr">
        <is>
          <t>Partner / agent cost % (from your sheet)</t>
        </is>
      </c>
      <c r="Y1" s="9" t="inlineStr">
        <is>
          <t>NPL margin % (from your sheet)</t>
        </is>
      </c>
      <c r="Z1" s="9" t="inlineStr">
        <is>
          <t>How NPL's share reaches NPL (partner keeps it for NPL / partner pays it back monthly / held by the client, paid monthly / NPL's own wallet)</t>
        </is>
      </c>
      <c r="AA1" s="9" t="inlineStr">
        <is>
          <t>% of the partner's fee paid back to NPL (rebate)</t>
        </is>
      </c>
      <c r="AB1" s="9" t="inlineStr">
        <is>
          <t>Markup shared with someone else: who · their share — several parties possible</t>
        </is>
      </c>
      <c r="AC1" s="9" t="inlineStr">
        <is>
          <t>Rounding (drop the cents / nearest unit / round up / nearest 1,000)</t>
        </is>
      </c>
      <c r="AD1" s="9" t="inlineStr">
        <is>
          <t>Bank or EMI that pays out</t>
        </is>
      </c>
      <c r="AE1" s="9" t="inlineStr">
        <is>
          <t>Name shown on the transfer</t>
        </is>
      </c>
      <c r="AF1" s="9" t="inlineStr">
        <is>
          <t>Has the partner approved the receiver's account? (yes / pending)</t>
        </is>
      </c>
      <c r="AG1" s="9" t="inlineStr">
        <is>
          <t>Fee by monthly volume (needs a system change)</t>
        </is>
      </c>
      <c r="AH1" s="9" t="inlineStr">
        <is>
          <t>Note from your sheet</t>
        </is>
      </c>
      <c r="AI1" s="9" t="inlineStr">
        <is>
          <t>Please confirm</t>
        </is>
      </c>
    </row>
    <row r="2" ht="60" customHeight="1">
      <c r="A2" s="3" t="n">
        <v>1</v>
      </c>
      <c r="B2" s="3" t="n">
        <v>3</v>
      </c>
      <c r="C2" s="10" t="inlineStr">
        <is>
          <t>BF-Seven</t>
        </is>
      </c>
      <c r="D2" s="3" t="inlineStr">
        <is>
          <t>1 Market minus fee</t>
        </is>
      </c>
      <c r="E2" s="10" t="inlineStr">
        <is>
          <t>For USDT 661,060:
Rate: 0.857097
Fee: 1%
Amount: EUR 560,927</t>
        </is>
      </c>
      <c r="F2" s="11" t="inlineStr"/>
      <c r="G2" s="11" t="inlineStr"/>
      <c r="H2" s="11" t="inlineStr"/>
      <c r="I2" s="11" t="inlineStr"/>
      <c r="J2" s="11" t="inlineStr"/>
      <c r="K2" s="10" t="inlineStr">
        <is>
          <t>Jeton</t>
        </is>
      </c>
      <c r="L2" s="10" t="inlineStr">
        <is>
          <t>fee on top of market</t>
        </is>
      </c>
      <c r="M2" s="10" t="inlineStr">
        <is>
          <t>USDT → EUR</t>
        </is>
      </c>
      <c r="N2" s="11" t="inlineStr"/>
      <c r="O2" s="11" t="inlineStr"/>
      <c r="P2" s="10" t="inlineStr">
        <is>
          <t>fixed</t>
        </is>
      </c>
      <c r="Q2" s="12" t="n">
        <v>0.01</v>
      </c>
      <c r="R2" s="12" t="n">
        <v>0.01</v>
      </c>
      <c r="S2" s="12" t="n">
        <v>0</v>
      </c>
      <c r="T2" s="11" t="inlineStr"/>
      <c r="U2" s="11" t="inlineStr"/>
      <c r="V2" s="11" t="inlineStr"/>
      <c r="W2" s="11" t="inlineStr"/>
      <c r="X2" s="12" t="n">
        <v>0.006</v>
      </c>
      <c r="Y2" s="12" t="n">
        <v>0.004</v>
      </c>
      <c r="Z2" s="10" t="inlineStr">
        <is>
          <t>paid back monthly</t>
        </is>
      </c>
      <c r="AA2" s="12" t="n">
        <v>0.4</v>
      </c>
      <c r="AB2" s="11" t="inlineStr"/>
      <c r="AC2" s="11" t="inlineStr"/>
      <c r="AD2" s="11" t="inlineStr"/>
      <c r="AE2" s="11" t="inlineStr"/>
      <c r="AF2" s="11" t="inlineStr"/>
      <c r="AG2" s="11" t="inlineStr"/>
      <c r="AH2" s="10" t="inlineStr">
        <is>
          <t>Fixed Fee</t>
        </is>
      </c>
      <c r="AI2" s="3" t="inlineStr"/>
    </row>
    <row r="3" ht="60" customHeight="1">
      <c r="A3" s="3" t="n">
        <v>2</v>
      </c>
      <c r="B3" s="3" t="n">
        <v>4</v>
      </c>
      <c r="C3" s="10" t="inlineStr">
        <is>
          <t>BF-Seven</t>
        </is>
      </c>
      <c r="D3" s="3" t="inlineStr">
        <is>
          <t>1 Market minus fee</t>
        </is>
      </c>
      <c r="E3" s="10" t="inlineStr">
        <is>
          <t>"For USDT 195,000:
Fee: 0.80%
Amount: EUR 166,009.55"</t>
        </is>
      </c>
      <c r="F3" s="11" t="inlineStr"/>
      <c r="G3" s="11" t="inlineStr"/>
      <c r="H3" s="11" t="inlineStr"/>
      <c r="I3" s="11" t="inlineStr"/>
      <c r="J3" s="11" t="inlineStr"/>
      <c r="K3" s="10" t="inlineStr">
        <is>
          <t>Aquanow</t>
        </is>
      </c>
      <c r="L3" s="10" t="inlineStr">
        <is>
          <t>fee on top of market</t>
        </is>
      </c>
      <c r="M3" s="10" t="inlineStr">
        <is>
          <t>USDT → EUR</t>
        </is>
      </c>
      <c r="N3" s="11" t="inlineStr"/>
      <c r="O3" s="11" t="inlineStr"/>
      <c r="P3" s="10" t="inlineStr">
        <is>
          <t>fixed</t>
        </is>
      </c>
      <c r="Q3" s="12" t="n">
        <v>0.008</v>
      </c>
      <c r="R3" s="12" t="n">
        <v>0.008</v>
      </c>
      <c r="S3" s="12" t="n">
        <v>0</v>
      </c>
      <c r="T3" s="11" t="inlineStr"/>
      <c r="U3" s="11" t="inlineStr"/>
      <c r="V3" s="11" t="inlineStr"/>
      <c r="W3" s="11" t="inlineStr"/>
      <c r="X3" s="12" t="n">
        <v>0.005</v>
      </c>
      <c r="Y3" s="12" t="n">
        <v>0.003</v>
      </c>
      <c r="Z3" s="10" t="inlineStr">
        <is>
          <t>paid back monthly</t>
        </is>
      </c>
      <c r="AA3" s="12" t="n">
        <v>0.375</v>
      </c>
      <c r="AB3" s="11" t="inlineStr"/>
      <c r="AC3" s="11" t="inlineStr"/>
      <c r="AD3" s="11" t="inlineStr"/>
      <c r="AE3" s="11" t="inlineStr"/>
      <c r="AF3" s="11" t="inlineStr"/>
      <c r="AG3" s="11" t="inlineStr"/>
      <c r="AH3" s="10" t="inlineStr">
        <is>
          <t>Fixed Fee</t>
        </is>
      </c>
      <c r="AI3" s="3" t="inlineStr"/>
    </row>
    <row r="4" ht="60" customHeight="1">
      <c r="A4" s="3" t="n">
        <v>3</v>
      </c>
      <c r="B4" s="3" t="n">
        <v>5</v>
      </c>
      <c r="C4" s="10" t="inlineStr">
        <is>
          <t>BF-Seven</t>
        </is>
      </c>
      <c r="D4" s="3" t="inlineStr">
        <is>
          <t>2 Agent rate</t>
        </is>
      </c>
      <c r="E4" s="10" t="inlineStr">
        <is>
          <t>For USDT 661,060:
Rate: 0.857097
Fee: 1%
Amount: EUR 560,927
Note - source rate is manually recomputed to allow the sender-facing calculation to land at 1%</t>
        </is>
      </c>
      <c r="F4" s="11" t="inlineStr"/>
      <c r="G4" s="11" t="inlineStr"/>
      <c r="H4" s="11" t="inlineStr"/>
      <c r="I4" s="11" t="inlineStr"/>
      <c r="J4" s="11" t="inlineStr"/>
      <c r="K4" s="10" t="inlineStr">
        <is>
          <t>Ali</t>
        </is>
      </c>
      <c r="L4" s="10" t="inlineStr">
        <is>
          <t>fee inside its rate</t>
        </is>
      </c>
      <c r="M4" s="10" t="inlineStr">
        <is>
          <t>USDT → EUR</t>
        </is>
      </c>
      <c r="N4" s="11" t="inlineStr"/>
      <c r="O4" s="11" t="inlineStr"/>
      <c r="P4" s="10" t="inlineStr">
        <is>
          <t>fixed</t>
        </is>
      </c>
      <c r="Q4" s="12" t="n">
        <v>0.014</v>
      </c>
      <c r="R4" s="12" t="n">
        <v>0.014</v>
      </c>
      <c r="S4" s="12" t="n">
        <v>0</v>
      </c>
      <c r="T4" s="11" t="inlineStr"/>
      <c r="U4" s="11" t="inlineStr"/>
      <c r="V4" s="11" t="inlineStr"/>
      <c r="W4" s="11" t="inlineStr"/>
      <c r="X4" s="12" t="n">
        <v>0.01</v>
      </c>
      <c r="Y4" s="12" t="n">
        <v>0.004</v>
      </c>
      <c r="Z4" s="10" t="inlineStr">
        <is>
          <t>kept for NPL at the partner</t>
        </is>
      </c>
      <c r="AA4" s="11" t="inlineStr"/>
      <c r="AB4" s="11" t="inlineStr"/>
      <c r="AC4" s="11" t="inlineStr"/>
      <c r="AD4" s="11" t="inlineStr"/>
      <c r="AE4" s="11" t="inlineStr"/>
      <c r="AF4" s="11" t="inlineStr"/>
      <c r="AG4" s="11" t="inlineStr"/>
      <c r="AH4" s="3" t="inlineStr"/>
      <c r="AI4" s="3" t="inlineStr">
        <is>
          <t>the real market rate at the time of the quote (your sheet shows the recomputed one)</t>
        </is>
      </c>
    </row>
    <row r="5" ht="60" customHeight="1">
      <c r="A5" s="3" t="n">
        <v>4</v>
      </c>
      <c r="B5" s="3" t="n">
        <v>6</v>
      </c>
      <c r="C5" s="10" t="inlineStr">
        <is>
          <t>BF- Arrow Wood</t>
        </is>
      </c>
      <c r="D5" s="3" t="inlineStr">
        <is>
          <t>1 Market minus fee</t>
        </is>
      </c>
      <c r="E5" s="10" t="inlineStr">
        <is>
          <t>For the 499,780 USDT collected:
Rate: 0.843784
Fee: 1%
Amount: EUR 417,489</t>
        </is>
      </c>
      <c r="F5" s="11" t="inlineStr"/>
      <c r="G5" s="11" t="inlineStr"/>
      <c r="H5" s="11" t="inlineStr"/>
      <c r="I5" s="11" t="inlineStr"/>
      <c r="J5" s="11" t="inlineStr"/>
      <c r="K5" s="10" t="inlineStr">
        <is>
          <t>Jeton</t>
        </is>
      </c>
      <c r="L5" s="10" t="inlineStr">
        <is>
          <t>fee on top of market</t>
        </is>
      </c>
      <c r="M5" s="10" t="inlineStr">
        <is>
          <t>USDT → EUR</t>
        </is>
      </c>
      <c r="N5" s="11" t="inlineStr"/>
      <c r="O5" s="11" t="inlineStr"/>
      <c r="P5" s="10" t="inlineStr">
        <is>
          <t>fixed</t>
        </is>
      </c>
      <c r="Q5" s="12" t="n">
        <v>0.01</v>
      </c>
      <c r="R5" s="12" t="n">
        <v>0.01</v>
      </c>
      <c r="S5" s="12" t="n">
        <v>0</v>
      </c>
      <c r="T5" s="11" t="inlineStr"/>
      <c r="U5" s="11" t="inlineStr"/>
      <c r="V5" s="11" t="inlineStr"/>
      <c r="W5" s="11" t="inlineStr"/>
      <c r="X5" s="12" t="n">
        <v>0.006</v>
      </c>
      <c r="Y5" s="12" t="n">
        <v>0.004</v>
      </c>
      <c r="Z5" s="10" t="inlineStr">
        <is>
          <t>paid back monthly</t>
        </is>
      </c>
      <c r="AA5" s="12" t="n">
        <v>0.4</v>
      </c>
      <c r="AB5" s="11" t="inlineStr"/>
      <c r="AC5" s="11" t="inlineStr"/>
      <c r="AD5" s="11" t="inlineStr"/>
      <c r="AE5" s="11" t="inlineStr"/>
      <c r="AF5" s="11" t="inlineStr"/>
      <c r="AG5" s="11" t="inlineStr"/>
      <c r="AH5" s="10" t="inlineStr">
        <is>
          <t>Fixed Fee</t>
        </is>
      </c>
      <c r="AI5" s="3" t="inlineStr"/>
    </row>
    <row r="6" ht="60" customHeight="1">
      <c r="A6" s="3" t="n">
        <v>5</v>
      </c>
      <c r="B6" s="3" t="n">
        <v>7</v>
      </c>
      <c r="C6" s="10" t="inlineStr">
        <is>
          <t>BF- Arrow Wood</t>
        </is>
      </c>
      <c r="D6" s="3" t="inlineStr">
        <is>
          <t>2 Agent rate</t>
        </is>
      </c>
      <c r="E6" s="10" t="inlineStr">
        <is>
          <t>For the 400,000 USDT collected:
Rate: 0.8679402
Fee: 1%
Amount: EUR 343,704
Note - source rate is manually recomputed to allow the sender-facing calculation to land at 1%</t>
        </is>
      </c>
      <c r="F6" s="11" t="inlineStr"/>
      <c r="G6" s="11" t="inlineStr"/>
      <c r="H6" s="11" t="inlineStr"/>
      <c r="I6" s="11" t="inlineStr"/>
      <c r="J6" s="11" t="inlineStr"/>
      <c r="K6" s="10" t="inlineStr">
        <is>
          <t>Ali</t>
        </is>
      </c>
      <c r="L6" s="10" t="inlineStr">
        <is>
          <t>fee inside its rate</t>
        </is>
      </c>
      <c r="M6" s="10" t="inlineStr">
        <is>
          <t>USDT → EUR</t>
        </is>
      </c>
      <c r="N6" s="11" t="inlineStr"/>
      <c r="O6" s="11" t="inlineStr"/>
      <c r="P6" s="10" t="inlineStr">
        <is>
          <t>fixed</t>
        </is>
      </c>
      <c r="Q6" s="12" t="n">
        <v>0.014</v>
      </c>
      <c r="R6" s="12" t="n">
        <v>0.014</v>
      </c>
      <c r="S6" s="12" t="n">
        <v>0</v>
      </c>
      <c r="T6" s="11" t="inlineStr"/>
      <c r="U6" s="11" t="inlineStr"/>
      <c r="V6" s="11" t="inlineStr"/>
      <c r="W6" s="11" t="inlineStr"/>
      <c r="X6" s="12" t="n">
        <v>0.01</v>
      </c>
      <c r="Y6" s="12" t="n">
        <v>0.004</v>
      </c>
      <c r="Z6" s="10" t="inlineStr">
        <is>
          <t>kept for NPL at the partner</t>
        </is>
      </c>
      <c r="AA6" s="11" t="inlineStr"/>
      <c r="AB6" s="11" t="inlineStr"/>
      <c r="AC6" s="11" t="inlineStr"/>
      <c r="AD6" s="11" t="inlineStr"/>
      <c r="AE6" s="11" t="inlineStr"/>
      <c r="AF6" s="11" t="inlineStr"/>
      <c r="AG6" s="11" t="inlineStr"/>
      <c r="AH6" s="3" t="inlineStr"/>
      <c r="AI6" s="3" t="inlineStr">
        <is>
          <t>the real market rate at the time of the quote (your sheet shows the recomputed one)</t>
        </is>
      </c>
    </row>
    <row r="7" ht="60" customHeight="1">
      <c r="A7" s="3" t="n">
        <v>6</v>
      </c>
      <c r="B7" s="3" t="n">
        <v>8</v>
      </c>
      <c r="C7" s="10" t="inlineStr">
        <is>
          <t>BF-Trade Lab</t>
        </is>
      </c>
      <c r="D7" s="3" t="inlineStr">
        <is>
          <t>4 Fee per deal</t>
        </is>
      </c>
      <c r="E7" s="11" t="inlineStr"/>
      <c r="F7" s="11" t="inlineStr"/>
      <c r="G7" s="11" t="inlineStr"/>
      <c r="H7" s="11" t="inlineStr"/>
      <c r="I7" s="11" t="inlineStr"/>
      <c r="J7" s="11" t="inlineStr"/>
      <c r="K7" s="10" t="inlineStr">
        <is>
          <t>Jeton</t>
        </is>
      </c>
      <c r="L7" s="10" t="inlineStr">
        <is>
          <t>fee on top of market</t>
        </is>
      </c>
      <c r="M7" s="10" t="inlineStr">
        <is>
          <t>USDT → EUR</t>
        </is>
      </c>
      <c r="N7" s="11" t="inlineStr"/>
      <c r="O7" s="11" t="inlineStr"/>
      <c r="P7" s="10" t="inlineStr">
        <is>
          <t>fixed</t>
        </is>
      </c>
      <c r="Q7" s="12" t="n">
        <v>0.01</v>
      </c>
      <c r="R7" s="12" t="n">
        <v>0.01</v>
      </c>
      <c r="S7" s="12" t="n">
        <v>0</v>
      </c>
      <c r="T7" s="11" t="inlineStr"/>
      <c r="U7" s="11" t="inlineStr"/>
      <c r="V7" s="11" t="inlineStr"/>
      <c r="W7" s="11" t="inlineStr"/>
      <c r="X7" s="12" t="n">
        <v>0.005</v>
      </c>
      <c r="Y7" s="12" t="n">
        <v>0.004</v>
      </c>
      <c r="Z7" s="10" t="inlineStr">
        <is>
          <t>paid back monthly</t>
        </is>
      </c>
      <c r="AA7" s="12" t="n">
        <v>0.4</v>
      </c>
      <c r="AB7" s="11" t="inlineStr"/>
      <c r="AC7" s="11" t="inlineStr"/>
      <c r="AD7" s="11" t="inlineStr"/>
      <c r="AE7" s="11" t="inlineStr"/>
      <c r="AF7" s="11" t="inlineStr"/>
      <c r="AG7" s="11" t="inlineStr"/>
      <c r="AH7" s="10" t="inlineStr">
        <is>
          <t>Fixed Fee</t>
        </is>
      </c>
      <c r="AI7" s="3" t="inlineStr"/>
    </row>
    <row r="8" ht="60" customHeight="1">
      <c r="A8" s="3" t="n">
        <v>7</v>
      </c>
      <c r="B8" s="3" t="n">
        <v>9</v>
      </c>
      <c r="C8" s="10" t="inlineStr">
        <is>
          <t>BF-Orbit</t>
        </is>
      </c>
      <c r="D8" s="3" t="inlineStr">
        <is>
          <t>1 Market minus fee</t>
        </is>
      </c>
      <c r="E8" s="10" t="inlineStr">
        <is>
          <t>For the 699,000 USDT collected:
Fee: 1.25%
EUR Amount: 619,332</t>
        </is>
      </c>
      <c r="F8" s="11" t="inlineStr"/>
      <c r="G8" s="11" t="inlineStr"/>
      <c r="H8" s="11" t="inlineStr"/>
      <c r="I8" s="11" t="inlineStr"/>
      <c r="J8" s="11" t="inlineStr"/>
      <c r="K8" s="10" t="inlineStr">
        <is>
          <t>Jeton</t>
        </is>
      </c>
      <c r="L8" s="10" t="inlineStr">
        <is>
          <t>fee on top of market</t>
        </is>
      </c>
      <c r="M8" s="10" t="inlineStr">
        <is>
          <t>USDT → EUR</t>
        </is>
      </c>
      <c r="N8" s="11" t="inlineStr"/>
      <c r="O8" s="11" t="inlineStr"/>
      <c r="P8" s="10" t="inlineStr">
        <is>
          <t>fixed</t>
        </is>
      </c>
      <c r="Q8" s="12" t="n">
        <v>0.01</v>
      </c>
      <c r="R8" s="12" t="n">
        <v>0.01</v>
      </c>
      <c r="S8" s="12" t="n">
        <v>0</v>
      </c>
      <c r="T8" s="11" t="inlineStr"/>
      <c r="U8" s="11" t="inlineStr"/>
      <c r="V8" s="11" t="inlineStr"/>
      <c r="W8" s="11" t="inlineStr"/>
      <c r="X8" s="12" t="n">
        <v>0.006</v>
      </c>
      <c r="Y8" s="12" t="n">
        <v>0.004</v>
      </c>
      <c r="Z8" s="10" t="inlineStr">
        <is>
          <t>paid back monthly</t>
        </is>
      </c>
      <c r="AA8" s="12" t="n">
        <v>0.4</v>
      </c>
      <c r="AB8" s="11" t="inlineStr"/>
      <c r="AC8" s="11" t="inlineStr"/>
      <c r="AD8" s="11" t="inlineStr"/>
      <c r="AE8" s="11" t="inlineStr"/>
      <c r="AF8" s="11" t="inlineStr"/>
      <c r="AG8" s="11" t="inlineStr"/>
      <c r="AH8" s="10" t="inlineStr">
        <is>
          <t>Fixed Fee</t>
        </is>
      </c>
      <c r="AI8" s="3" t="inlineStr"/>
    </row>
    <row r="9" ht="60" customHeight="1">
      <c r="A9" s="3" t="n">
        <v>8</v>
      </c>
      <c r="B9" s="3" t="n">
        <v>10</v>
      </c>
      <c r="C9" s="10" t="inlineStr">
        <is>
          <t>BF-Blue Sapphire</t>
        </is>
      </c>
      <c r="D9" s="3" t="inlineStr">
        <is>
          <t>1 Market minus fee</t>
        </is>
      </c>
      <c r="E9" s="10" t="inlineStr">
        <is>
          <t>For the 200,000 USDT collected:
Rate: 0.838313
Fee: 1%
Amount: EUR 165,986</t>
        </is>
      </c>
      <c r="F9" s="11" t="inlineStr"/>
      <c r="G9" s="11" t="inlineStr"/>
      <c r="H9" s="11" t="inlineStr"/>
      <c r="I9" s="11" t="inlineStr"/>
      <c r="J9" s="11" t="inlineStr"/>
      <c r="K9" s="10" t="inlineStr">
        <is>
          <t>Jeton</t>
        </is>
      </c>
      <c r="L9" s="10" t="inlineStr">
        <is>
          <t>fee on top of market</t>
        </is>
      </c>
      <c r="M9" s="10" t="inlineStr">
        <is>
          <t>USDT → EUR</t>
        </is>
      </c>
      <c r="N9" s="11" t="inlineStr"/>
      <c r="O9" s="11" t="inlineStr"/>
      <c r="P9" s="10" t="inlineStr">
        <is>
          <t>fixed</t>
        </is>
      </c>
      <c r="Q9" s="12" t="n">
        <v>0.01</v>
      </c>
      <c r="R9" s="12" t="n">
        <v>0.01</v>
      </c>
      <c r="S9" s="12" t="n">
        <v>0</v>
      </c>
      <c r="T9" s="11" t="inlineStr"/>
      <c r="U9" s="11" t="inlineStr"/>
      <c r="V9" s="11" t="inlineStr"/>
      <c r="W9" s="11" t="inlineStr"/>
      <c r="X9" s="12" t="n">
        <v>0.006</v>
      </c>
      <c r="Y9" s="12" t="n">
        <v>0.004</v>
      </c>
      <c r="Z9" s="10" t="inlineStr">
        <is>
          <t>paid back monthly</t>
        </is>
      </c>
      <c r="AA9" s="12" t="n">
        <v>0.4</v>
      </c>
      <c r="AB9" s="11" t="inlineStr"/>
      <c r="AC9" s="11" t="inlineStr"/>
      <c r="AD9" s="11" t="inlineStr"/>
      <c r="AE9" s="11" t="inlineStr"/>
      <c r="AF9" s="11" t="inlineStr"/>
      <c r="AG9" s="11" t="inlineStr"/>
      <c r="AH9" s="10" t="inlineStr">
        <is>
          <t>Fixed Fee</t>
        </is>
      </c>
      <c r="AI9" s="3" t="inlineStr"/>
    </row>
    <row r="10" ht="60" customHeight="1">
      <c r="A10" s="3" t="n">
        <v>9</v>
      </c>
      <c r="B10" s="3" t="n">
        <v>11</v>
      </c>
      <c r="C10" s="10" t="inlineStr">
        <is>
          <t>BF-Blue Sapphire</t>
        </is>
      </c>
      <c r="D10" s="3" t="inlineStr">
        <is>
          <t>1 Market minus fee</t>
        </is>
      </c>
      <c r="E10" s="10" t="inlineStr">
        <is>
          <t>For USDT 195,000:
Fee: 0.80%
Amount: EUR 166,009.55</t>
        </is>
      </c>
      <c r="F10" s="11" t="inlineStr"/>
      <c r="G10" s="11" t="inlineStr"/>
      <c r="H10" s="11" t="inlineStr"/>
      <c r="I10" s="11" t="inlineStr"/>
      <c r="J10" s="11" t="inlineStr"/>
      <c r="K10" s="10" t="inlineStr">
        <is>
          <t>Aquanow</t>
        </is>
      </c>
      <c r="L10" s="10" t="inlineStr">
        <is>
          <t>fee on top of market</t>
        </is>
      </c>
      <c r="M10" s="10" t="inlineStr">
        <is>
          <t>USDT → EUR</t>
        </is>
      </c>
      <c r="N10" s="11" t="inlineStr"/>
      <c r="O10" s="11" t="inlineStr"/>
      <c r="P10" s="10" t="inlineStr">
        <is>
          <t>fixed</t>
        </is>
      </c>
      <c r="Q10" s="12" t="n">
        <v>0.008</v>
      </c>
      <c r="R10" s="12" t="n">
        <v>0.008</v>
      </c>
      <c r="S10" s="12" t="n">
        <v>0</v>
      </c>
      <c r="T10" s="11" t="inlineStr"/>
      <c r="U10" s="11" t="inlineStr"/>
      <c r="V10" s="11" t="inlineStr"/>
      <c r="W10" s="11" t="inlineStr"/>
      <c r="X10" s="12" t="n">
        <v>0.005</v>
      </c>
      <c r="Y10" s="12" t="n">
        <v>0.003</v>
      </c>
      <c r="Z10" s="10" t="inlineStr">
        <is>
          <t>paid back monthly</t>
        </is>
      </c>
      <c r="AA10" s="12" t="n">
        <v>0.375</v>
      </c>
      <c r="AB10" s="11" t="inlineStr"/>
      <c r="AC10" s="11" t="inlineStr"/>
      <c r="AD10" s="11" t="inlineStr"/>
      <c r="AE10" s="11" t="inlineStr"/>
      <c r="AF10" s="11" t="inlineStr"/>
      <c r="AG10" s="11" t="inlineStr"/>
      <c r="AH10" s="10" t="inlineStr">
        <is>
          <t>Fixed Fee</t>
        </is>
      </c>
      <c r="AI10" s="3" t="inlineStr"/>
    </row>
    <row r="11" ht="60" customHeight="1">
      <c r="A11" s="3" t="n">
        <v>10</v>
      </c>
      <c r="B11" s="3" t="n">
        <v>12</v>
      </c>
      <c r="C11" s="10" t="inlineStr">
        <is>
          <t>BF-Blue Sapphire</t>
        </is>
      </c>
      <c r="D11" s="3" t="inlineStr">
        <is>
          <t>2 Agent rate</t>
        </is>
      </c>
      <c r="E11" s="10" t="inlineStr">
        <is>
          <t>For USDT 1,000,000:
Rate: 0.872249
Fee: 1%
Amount: EUR 863,527
Note - source rate is manually recomputed to allow the sender-facing calculation to land at 1%</t>
        </is>
      </c>
      <c r="F11" s="11" t="inlineStr"/>
      <c r="G11" s="11" t="inlineStr"/>
      <c r="H11" s="11" t="inlineStr"/>
      <c r="I11" s="11" t="inlineStr"/>
      <c r="J11" s="11" t="inlineStr"/>
      <c r="K11" s="10" t="inlineStr">
        <is>
          <t>Ali</t>
        </is>
      </c>
      <c r="L11" s="10" t="inlineStr">
        <is>
          <t>fee inside its rate</t>
        </is>
      </c>
      <c r="M11" s="10" t="inlineStr">
        <is>
          <t>USDT → EUR</t>
        </is>
      </c>
      <c r="N11" s="11" t="inlineStr"/>
      <c r="O11" s="11" t="inlineStr"/>
      <c r="P11" s="10" t="inlineStr">
        <is>
          <t>fixed</t>
        </is>
      </c>
      <c r="Q11" s="12" t="n">
        <v>0.014</v>
      </c>
      <c r="R11" s="12" t="n">
        <v>0.014</v>
      </c>
      <c r="S11" s="12" t="n">
        <v>0</v>
      </c>
      <c r="T11" s="11" t="inlineStr"/>
      <c r="U11" s="11" t="inlineStr"/>
      <c r="V11" s="11" t="inlineStr"/>
      <c r="W11" s="11" t="inlineStr"/>
      <c r="X11" s="12" t="n">
        <v>0.01</v>
      </c>
      <c r="Y11" s="12" t="n">
        <v>0.004</v>
      </c>
      <c r="Z11" s="10" t="inlineStr">
        <is>
          <t>kept for NPL at the partner</t>
        </is>
      </c>
      <c r="AA11" s="11" t="inlineStr"/>
      <c r="AB11" s="11" t="inlineStr"/>
      <c r="AC11" s="11" t="inlineStr"/>
      <c r="AD11" s="11" t="inlineStr"/>
      <c r="AE11" s="11" t="inlineStr"/>
      <c r="AF11" s="11" t="inlineStr"/>
      <c r="AG11" s="11" t="inlineStr"/>
      <c r="AH11" s="3" t="inlineStr"/>
      <c r="AI11" s="3" t="inlineStr">
        <is>
          <t>the real market rate at the time of the quote (your sheet shows the recomputed one)</t>
        </is>
      </c>
    </row>
    <row r="12" ht="60" customHeight="1">
      <c r="A12" s="3" t="n">
        <v>11</v>
      </c>
      <c r="B12" s="3" t="n">
        <v>13</v>
      </c>
      <c r="C12" s="10" t="inlineStr">
        <is>
          <t>BF-Raeen</t>
        </is>
      </c>
      <c r="D12" s="3" t="inlineStr">
        <is>
          <t>1 Market minus fee</t>
        </is>
      </c>
      <c r="E12" s="10" t="inlineStr">
        <is>
          <t>For the 200,000 USDT collected:
Rate: 0.8610999
Fee: 1%
Amount: EUR 170,498</t>
        </is>
      </c>
      <c r="F12" s="11" t="inlineStr"/>
      <c r="G12" s="11" t="inlineStr"/>
      <c r="H12" s="11" t="inlineStr"/>
      <c r="I12" s="11" t="inlineStr"/>
      <c r="J12" s="11" t="inlineStr"/>
      <c r="K12" s="10" t="inlineStr">
        <is>
          <t>Jeton</t>
        </is>
      </c>
      <c r="L12" s="10" t="inlineStr">
        <is>
          <t>fee on top of market</t>
        </is>
      </c>
      <c r="M12" s="10" t="inlineStr">
        <is>
          <t>USDT → EUR</t>
        </is>
      </c>
      <c r="N12" s="11" t="inlineStr"/>
      <c r="O12" s="11" t="inlineStr"/>
      <c r="P12" s="10" t="inlineStr">
        <is>
          <t>fixed</t>
        </is>
      </c>
      <c r="Q12" s="12" t="n">
        <v>0.01</v>
      </c>
      <c r="R12" s="12" t="n">
        <v>0.01</v>
      </c>
      <c r="S12" s="12" t="n">
        <v>0</v>
      </c>
      <c r="T12" s="11" t="inlineStr"/>
      <c r="U12" s="11" t="inlineStr"/>
      <c r="V12" s="11" t="inlineStr"/>
      <c r="W12" s="11" t="inlineStr"/>
      <c r="X12" s="12" t="n">
        <v>0.006</v>
      </c>
      <c r="Y12" s="12" t="n">
        <v>0.004</v>
      </c>
      <c r="Z12" s="10" t="inlineStr">
        <is>
          <t>paid back monthly</t>
        </is>
      </c>
      <c r="AA12" s="12" t="n">
        <v>0.4</v>
      </c>
      <c r="AB12" s="11" t="inlineStr"/>
      <c r="AC12" s="11" t="inlineStr"/>
      <c r="AD12" s="11" t="inlineStr"/>
      <c r="AE12" s="11" t="inlineStr"/>
      <c r="AF12" s="11" t="inlineStr"/>
      <c r="AG12" s="11" t="inlineStr"/>
      <c r="AH12" s="10" t="inlineStr">
        <is>
          <t>Fixed Fee</t>
        </is>
      </c>
      <c r="AI12" s="3" t="inlineStr"/>
    </row>
    <row r="13" ht="60" customHeight="1">
      <c r="A13" s="3" t="n">
        <v>12</v>
      </c>
      <c r="B13" s="3" t="n">
        <v>14</v>
      </c>
      <c r="C13" s="10" t="inlineStr">
        <is>
          <t>BF-Raeen (direct from downlines)</t>
        </is>
      </c>
      <c r="D13" s="3" t="inlineStr">
        <is>
          <t>6 Shared with client</t>
        </is>
      </c>
      <c r="E13" s="10" t="inlineStr">
        <is>
          <t>For USDT 40,593:
Fee: 1%
Amount: EUR 34,590.11</t>
        </is>
      </c>
      <c r="F13" s="11" t="inlineStr"/>
      <c r="G13" s="11" t="inlineStr"/>
      <c r="H13" s="11" t="inlineStr"/>
      <c r="I13" s="11" t="inlineStr"/>
      <c r="J13" s="11" t="inlineStr"/>
      <c r="K13" s="10" t="inlineStr">
        <is>
          <t>Aquanow</t>
        </is>
      </c>
      <c r="L13" s="10" t="inlineStr">
        <is>
          <t>fee on top of market</t>
        </is>
      </c>
      <c r="M13" s="10" t="inlineStr">
        <is>
          <t>USDT → EUR</t>
        </is>
      </c>
      <c r="N13" s="11" t="inlineStr"/>
      <c r="O13" s="11" t="inlineStr"/>
      <c r="P13" s="10" t="inlineStr">
        <is>
          <t>fixed</t>
        </is>
      </c>
      <c r="Q13" s="12" t="n">
        <v>0.01</v>
      </c>
      <c r="R13" s="12" t="n">
        <v>0.01</v>
      </c>
      <c r="S13" s="12" t="n">
        <v>0</v>
      </c>
      <c r="T13" s="11" t="inlineStr"/>
      <c r="U13" s="11" t="inlineStr"/>
      <c r="V13" s="11" t="inlineStr"/>
      <c r="W13" s="11" t="inlineStr"/>
      <c r="X13" s="12" t="n">
        <v>0.005</v>
      </c>
      <c r="Y13" s="12" t="n">
        <v>0.003</v>
      </c>
      <c r="Z13" s="10" t="inlineStr">
        <is>
          <t>paid back monthly</t>
        </is>
      </c>
      <c r="AA13" s="12" t="n">
        <v>0.375</v>
      </c>
      <c r="AB13" s="10" t="inlineStr">
        <is>
          <t>0.2% shared with Raeen (75% raeen) (25% NPL)</t>
        </is>
      </c>
      <c r="AC13" s="11" t="inlineStr"/>
      <c r="AD13" s="11" t="inlineStr"/>
      <c r="AE13" s="11" t="inlineStr"/>
      <c r="AF13" s="11" t="inlineStr"/>
      <c r="AG13" s="11" t="inlineStr"/>
      <c r="AH13" s="10" t="inlineStr">
        <is>
          <t>Fixed Fee</t>
        </is>
      </c>
      <c r="AI13" s="3" t="inlineStr"/>
    </row>
    <row r="14" ht="60" customHeight="1">
      <c r="A14" s="3" t="n">
        <v>13</v>
      </c>
      <c r="B14" s="3" t="n">
        <v>15</v>
      </c>
      <c r="C14" s="10" t="inlineStr">
        <is>
          <t>BF-Raeen</t>
        </is>
      </c>
      <c r="D14" s="3" t="inlineStr">
        <is>
          <t>2 Agent rate</t>
        </is>
      </c>
      <c r="E14" s="10" t="inlineStr">
        <is>
          <t>For USDT 300,000:
Rate: 0.864189
Fee: 1.00%
Amount: EUR 256,664
Note - source rate is manually recomputed to allow the sender-facing calculation to land at 1%</t>
        </is>
      </c>
      <c r="F14" s="11" t="inlineStr"/>
      <c r="G14" s="11" t="inlineStr"/>
      <c r="H14" s="11" t="inlineStr"/>
      <c r="I14" s="11" t="inlineStr"/>
      <c r="J14" s="11" t="inlineStr"/>
      <c r="K14" s="10" t="inlineStr">
        <is>
          <t>Ali</t>
        </is>
      </c>
      <c r="L14" s="10" t="inlineStr">
        <is>
          <t>fee inside its rate</t>
        </is>
      </c>
      <c r="M14" s="10" t="inlineStr">
        <is>
          <t>USDT → EUR</t>
        </is>
      </c>
      <c r="N14" s="11" t="inlineStr"/>
      <c r="O14" s="11" t="inlineStr"/>
      <c r="P14" s="10" t="inlineStr">
        <is>
          <t>fixed</t>
        </is>
      </c>
      <c r="Q14" s="12" t="n">
        <v>0.014</v>
      </c>
      <c r="R14" s="12" t="n">
        <v>0.014</v>
      </c>
      <c r="S14" s="12" t="n">
        <v>0</v>
      </c>
      <c r="T14" s="11" t="inlineStr"/>
      <c r="U14" s="11" t="inlineStr"/>
      <c r="V14" s="11" t="inlineStr"/>
      <c r="W14" s="11" t="inlineStr"/>
      <c r="X14" s="12" t="n">
        <v>0.01</v>
      </c>
      <c r="Y14" s="12" t="n">
        <v>0.004</v>
      </c>
      <c r="Z14" s="10" t="inlineStr">
        <is>
          <t>kept for NPL at the partner</t>
        </is>
      </c>
      <c r="AA14" s="11" t="inlineStr"/>
      <c r="AB14" s="11" t="inlineStr"/>
      <c r="AC14" s="11" t="inlineStr"/>
      <c r="AD14" s="11" t="inlineStr"/>
      <c r="AE14" s="11" t="inlineStr"/>
      <c r="AF14" s="11" t="inlineStr"/>
      <c r="AG14" s="11" t="inlineStr"/>
      <c r="AH14" s="3" t="inlineStr"/>
      <c r="AI14" s="3" t="inlineStr">
        <is>
          <t>the real market rate at the time of the quote (your sheet shows the recomputed one)</t>
        </is>
      </c>
    </row>
    <row r="15" ht="60" customHeight="1">
      <c r="A15" s="3" t="n">
        <v>14</v>
      </c>
      <c r="B15" s="3" t="n">
        <v>16</v>
      </c>
      <c r="C15" s="10" t="inlineStr">
        <is>
          <t xml:space="preserve">BF-Raeen - Sub Account </t>
        </is>
      </c>
      <c r="D15" s="3" t="inlineStr">
        <is>
          <t>6 Shared with client</t>
        </is>
      </c>
      <c r="E15" s="10" t="inlineStr">
        <is>
          <t>For USDT 50,000:
Rate: 0.8650036
Fee: 4%
Amount: EUR 41,520.17</t>
        </is>
      </c>
      <c r="F15" s="11" t="inlineStr"/>
      <c r="G15" s="11" t="inlineStr"/>
      <c r="H15" s="11" t="inlineStr"/>
      <c r="I15" s="11" t="inlineStr"/>
      <c r="J15" s="11" t="inlineStr"/>
      <c r="K15" s="10" t="inlineStr">
        <is>
          <t>Aquanow</t>
        </is>
      </c>
      <c r="L15" s="10" t="inlineStr">
        <is>
          <t>fee on top of market</t>
        </is>
      </c>
      <c r="M15" s="10" t="inlineStr">
        <is>
          <t>USDT → EUR</t>
        </is>
      </c>
      <c r="N15" s="11" t="inlineStr"/>
      <c r="O15" s="11" t="inlineStr"/>
      <c r="P15" s="10" t="inlineStr">
        <is>
          <t>fixed</t>
        </is>
      </c>
      <c r="Q15" s="12" t="n">
        <v>0.04</v>
      </c>
      <c r="R15" s="12" t="n">
        <v>0.04</v>
      </c>
      <c r="S15" s="12" t="n">
        <v>0</v>
      </c>
      <c r="T15" s="11" t="inlineStr"/>
      <c r="U15" s="11" t="inlineStr"/>
      <c r="V15" s="11" t="inlineStr"/>
      <c r="W15" s="11" t="inlineStr"/>
      <c r="X15" s="12" t="n">
        <v>0.005</v>
      </c>
      <c r="Y15" s="12" t="n">
        <v>0.02</v>
      </c>
      <c r="Z15" s="10" t="inlineStr">
        <is>
          <t>held by the client, paid monthly</t>
        </is>
      </c>
      <c r="AA15" s="12" t="n">
        <v>0.375</v>
      </c>
      <c r="AB15" s="10" t="inlineStr">
        <is>
          <t>3% shared with Raeen equally</t>
        </is>
      </c>
      <c r="AC15" s="11" t="inlineStr"/>
      <c r="AD15" s="11" t="inlineStr"/>
      <c r="AE15" s="11" t="inlineStr"/>
      <c r="AF15" s="11" t="inlineStr"/>
      <c r="AG15" s="11" t="inlineStr"/>
      <c r="AH15" s="3" t="inlineStr"/>
      <c r="AI15" s="3" t="inlineStr"/>
    </row>
    <row r="16" ht="60" customHeight="1">
      <c r="A16" s="3" t="n">
        <v>15</v>
      </c>
      <c r="B16" s="3" t="n">
        <v>17</v>
      </c>
      <c r="C16" s="10" t="inlineStr">
        <is>
          <t>BF-Novi</t>
        </is>
      </c>
      <c r="D16" s="3" t="inlineStr">
        <is>
          <t>1 Market minus fee</t>
        </is>
      </c>
      <c r="E16" s="10" t="inlineStr">
        <is>
          <t>For the 500,000 USDT collected:
Rate: 0.865245
Fee: 0.90%
Amount: EUR 428,729</t>
        </is>
      </c>
      <c r="F16" s="11" t="inlineStr"/>
      <c r="G16" s="11" t="inlineStr"/>
      <c r="H16" s="11" t="inlineStr"/>
      <c r="I16" s="11" t="inlineStr"/>
      <c r="J16" s="11" t="inlineStr"/>
      <c r="K16" s="10" t="inlineStr">
        <is>
          <t>Jeton</t>
        </is>
      </c>
      <c r="L16" s="10" t="inlineStr">
        <is>
          <t>fee on top of market</t>
        </is>
      </c>
      <c r="M16" s="10" t="inlineStr">
        <is>
          <t>USDT → EUR</t>
        </is>
      </c>
      <c r="N16" s="11" t="inlineStr"/>
      <c r="O16" s="11" t="inlineStr"/>
      <c r="P16" s="10" t="inlineStr">
        <is>
          <t>fixed</t>
        </is>
      </c>
      <c r="Q16" s="12" t="n">
        <v>0.008999999999999999</v>
      </c>
      <c r="R16" s="12" t="n">
        <v>0.008999999999999999</v>
      </c>
      <c r="S16" s="12" t="n">
        <v>0</v>
      </c>
      <c r="T16" s="11" t="inlineStr"/>
      <c r="U16" s="11" t="inlineStr"/>
      <c r="V16" s="11" t="inlineStr"/>
      <c r="W16" s="11" t="inlineStr"/>
      <c r="X16" s="12" t="n">
        <v>0.006</v>
      </c>
      <c r="Y16" s="12" t="n">
        <v>0.003</v>
      </c>
      <c r="Z16" s="10" t="inlineStr">
        <is>
          <t>paid back monthly</t>
        </is>
      </c>
      <c r="AA16" s="12" t="n">
        <v>0.4</v>
      </c>
      <c r="AB16" s="11" t="inlineStr"/>
      <c r="AC16" s="11" t="inlineStr"/>
      <c r="AD16" s="11" t="inlineStr"/>
      <c r="AE16" s="11" t="inlineStr"/>
      <c r="AF16" s="11" t="inlineStr"/>
      <c r="AG16" s="11" t="inlineStr"/>
      <c r="AH16" s="10" t="inlineStr">
        <is>
          <t>Fixed Fee</t>
        </is>
      </c>
      <c r="AI16" s="3" t="inlineStr"/>
    </row>
    <row r="17" ht="60" customHeight="1">
      <c r="A17" s="3" t="n">
        <v>16</v>
      </c>
      <c r="B17" s="3" t="n">
        <v>18</v>
      </c>
      <c r="C17" s="10" t="inlineStr">
        <is>
          <t>BF-Novi</t>
        </is>
      </c>
      <c r="D17" s="3" t="inlineStr">
        <is>
          <t>1 Market minus fee</t>
        </is>
      </c>
      <c r="E17" s="10" t="inlineStr">
        <is>
          <t>For USDT 195,000:
Fee: 0.80%
Amount: EUR 166,009.55</t>
        </is>
      </c>
      <c r="F17" s="11" t="inlineStr"/>
      <c r="G17" s="11" t="inlineStr"/>
      <c r="H17" s="11" t="inlineStr"/>
      <c r="I17" s="11" t="inlineStr"/>
      <c r="J17" s="11" t="inlineStr"/>
      <c r="K17" s="10" t="inlineStr">
        <is>
          <t>Aquanow</t>
        </is>
      </c>
      <c r="L17" s="10" t="inlineStr">
        <is>
          <t>fee on top of market</t>
        </is>
      </c>
      <c r="M17" s="10" t="inlineStr">
        <is>
          <t>USDT → EUR</t>
        </is>
      </c>
      <c r="N17" s="11" t="inlineStr"/>
      <c r="O17" s="11" t="inlineStr"/>
      <c r="P17" s="10" t="inlineStr">
        <is>
          <t>fixed</t>
        </is>
      </c>
      <c r="Q17" s="12" t="n">
        <v>0.008</v>
      </c>
      <c r="R17" s="12" t="n">
        <v>0.008</v>
      </c>
      <c r="S17" s="12" t="n">
        <v>0</v>
      </c>
      <c r="T17" s="11" t="inlineStr"/>
      <c r="U17" s="11" t="inlineStr"/>
      <c r="V17" s="11" t="inlineStr"/>
      <c r="W17" s="11" t="inlineStr"/>
      <c r="X17" s="12" t="n">
        <v>0.005</v>
      </c>
      <c r="Y17" s="12" t="n">
        <v>0.003</v>
      </c>
      <c r="Z17" s="10" t="inlineStr">
        <is>
          <t>paid back monthly</t>
        </is>
      </c>
      <c r="AA17" s="12" t="n">
        <v>0.375</v>
      </c>
      <c r="AB17" s="11" t="inlineStr"/>
      <c r="AC17" s="11" t="inlineStr"/>
      <c r="AD17" s="11" t="inlineStr"/>
      <c r="AE17" s="11" t="inlineStr"/>
      <c r="AF17" s="11" t="inlineStr"/>
      <c r="AG17" s="11" t="inlineStr"/>
      <c r="AH17" s="10" t="inlineStr">
        <is>
          <t>Fixed Fee</t>
        </is>
      </c>
      <c r="AI17" s="3" t="inlineStr"/>
    </row>
    <row r="18" ht="60" customHeight="1">
      <c r="A18" s="3" t="n">
        <v>17</v>
      </c>
      <c r="B18" s="3" t="n">
        <v>19</v>
      </c>
      <c r="C18" s="10" t="inlineStr">
        <is>
          <t>BF-Novi</t>
        </is>
      </c>
      <c r="D18" s="3" t="inlineStr">
        <is>
          <t>2 Agent rate</t>
        </is>
      </c>
      <c r="E18" s="10" t="inlineStr">
        <is>
          <t>For the 500,000 USDT collected:
Rate: 0.865245
Fee: 0.90%
Amount: EUR 428,729
Note - source rate is manually recomputed to allow the sender-facing calculation to land at 0.9%</t>
        </is>
      </c>
      <c r="F18" s="11" t="inlineStr"/>
      <c r="G18" s="11" t="inlineStr"/>
      <c r="H18" s="11" t="inlineStr"/>
      <c r="I18" s="11" t="inlineStr"/>
      <c r="J18" s="11" t="inlineStr"/>
      <c r="K18" s="10" t="inlineStr">
        <is>
          <t>Ali</t>
        </is>
      </c>
      <c r="L18" s="10" t="inlineStr">
        <is>
          <t>fee inside its rate</t>
        </is>
      </c>
      <c r="M18" s="10" t="inlineStr">
        <is>
          <t>USDT → EUR</t>
        </is>
      </c>
      <c r="N18" s="11" t="inlineStr"/>
      <c r="O18" s="11" t="inlineStr"/>
      <c r="P18" s="10" t="inlineStr">
        <is>
          <t>fixed</t>
        </is>
      </c>
      <c r="Q18" s="12" t="n">
        <v>0.013</v>
      </c>
      <c r="R18" s="12" t="n">
        <v>0.013</v>
      </c>
      <c r="S18" s="12" t="n">
        <v>0</v>
      </c>
      <c r="T18" s="11" t="inlineStr"/>
      <c r="U18" s="11" t="inlineStr"/>
      <c r="V18" s="11" t="inlineStr"/>
      <c r="W18" s="11" t="inlineStr"/>
      <c r="X18" s="12" t="n">
        <v>0.01</v>
      </c>
      <c r="Y18" s="12" t="n">
        <v>0.003</v>
      </c>
      <c r="Z18" s="10" t="inlineStr">
        <is>
          <t>kept for NPL at the partner</t>
        </is>
      </c>
      <c r="AA18" s="11" t="inlineStr"/>
      <c r="AB18" s="11" t="inlineStr"/>
      <c r="AC18" s="11" t="inlineStr"/>
      <c r="AD18" s="11" t="inlineStr"/>
      <c r="AE18" s="11" t="inlineStr"/>
      <c r="AF18" s="11" t="inlineStr"/>
      <c r="AG18" s="11" t="inlineStr"/>
      <c r="AH18" s="10" t="inlineStr">
        <is>
          <t>Fixed Fee</t>
        </is>
      </c>
      <c r="AI18" s="3" t="inlineStr">
        <is>
          <t>the real market rate at the time of the quote (your sheet shows the recomputed one)</t>
        </is>
      </c>
    </row>
    <row r="19" ht="60" customHeight="1">
      <c r="A19" s="3" t="n">
        <v>18</v>
      </c>
      <c r="B19" s="3" t="n">
        <v>20</v>
      </c>
      <c r="C19" s="10" t="inlineStr">
        <is>
          <t>BF-Withdrawal 
(client sends EUR bank transfer and then takes settlement in USDT)</t>
        </is>
      </c>
      <c r="D19" s="3" t="inlineStr">
        <is>
          <t>9 Withdrawal</t>
        </is>
      </c>
      <c r="E19" s="10" t="inlineStr">
        <is>
          <t>For the GBP 51,000 withdrawn. Actual rate is 0.72739556
GBP Amount: GBP 51,000
Fee: 1%
USDT Amount: USDT 69,412</t>
        </is>
      </c>
      <c r="F19" s="11" t="inlineStr"/>
      <c r="G19" s="11" t="inlineStr"/>
      <c r="H19" s="11" t="inlineStr"/>
      <c r="I19" s="11" t="inlineStr"/>
      <c r="J19" s="11" t="inlineStr"/>
      <c r="K19" s="10" t="inlineStr">
        <is>
          <t>Jeton</t>
        </is>
      </c>
      <c r="L19" s="10" t="inlineStr">
        <is>
          <t>fee on top of market</t>
        </is>
      </c>
      <c r="M19" s="10" t="inlineStr">
        <is>
          <t>GBP → USDT; EUR → USDT</t>
        </is>
      </c>
      <c r="N19" s="11" t="inlineStr"/>
      <c r="O19" s="11" t="inlineStr"/>
      <c r="P19" s="10" t="inlineStr">
        <is>
          <t>set per deal</t>
        </is>
      </c>
      <c r="Q19" s="12" t="n">
        <v>0.01</v>
      </c>
      <c r="R19" s="12" t="n">
        <v>0.01</v>
      </c>
      <c r="S19" s="12" t="n">
        <v>0</v>
      </c>
      <c r="T19" s="11" t="inlineStr"/>
      <c r="U19" s="11" t="inlineStr"/>
      <c r="V19" s="11" t="inlineStr"/>
      <c r="W19" s="11" t="inlineStr"/>
      <c r="X19" s="12" t="n">
        <v>0.006</v>
      </c>
      <c r="Y19" s="12" t="n">
        <v>0.004</v>
      </c>
      <c r="Z19" s="10" t="inlineStr">
        <is>
          <t>paid back monthly</t>
        </is>
      </c>
      <c r="AA19" s="12" t="n">
        <v>0.4</v>
      </c>
      <c r="AB19" s="11" t="inlineStr"/>
      <c r="AC19" s="11" t="inlineStr"/>
      <c r="AD19" s="11" t="inlineStr"/>
      <c r="AE19" s="11" t="inlineStr"/>
      <c r="AF19" s="11" t="inlineStr"/>
      <c r="AG19" s="11" t="inlineStr"/>
      <c r="AH19" s="10" t="inlineStr">
        <is>
          <t>Fee is not fixed and is subject to change, but we have charged 1% in most recent transactions.</t>
        </is>
      </c>
      <c r="AI19" s="3" t="inlineStr">
        <is>
          <t>who decides the fee for each deal, and between which lowest and highest markup</t>
        </is>
      </c>
    </row>
    <row r="20" ht="60" customHeight="1">
      <c r="A20" s="3" t="n">
        <v>19</v>
      </c>
      <c r="B20" s="3" t="n">
        <v>21</v>
      </c>
      <c r="C20" s="10" t="inlineStr">
        <is>
          <t>Evo USDT Collection</t>
        </is>
      </c>
      <c r="D20" s="3" t="inlineStr">
        <is>
          <t>3 Sender+receiver pay</t>
        </is>
      </c>
      <c r="E20" s="10" t="inlineStr">
        <is>
          <t>Sender calculation
USDT&gt;&gt;EUR
Market Rate: 0.888977323
Fee: 1.40%
Final Rate: 0.876531640478
USDT 29,325 = EUR 25,704
Receiver calculation
EUR 25,704 - 0.6% = 25,550</t>
        </is>
      </c>
      <c r="F20" s="11" t="inlineStr"/>
      <c r="G20" s="11" t="inlineStr"/>
      <c r="H20" s="11" t="inlineStr"/>
      <c r="I20" s="11" t="inlineStr"/>
      <c r="J20" s="11" t="inlineStr"/>
      <c r="K20" s="10" t="inlineStr">
        <is>
          <t>Ali</t>
        </is>
      </c>
      <c r="L20" s="10" t="inlineStr">
        <is>
          <t>fee inside its rate</t>
        </is>
      </c>
      <c r="M20" s="10" t="inlineStr">
        <is>
          <t>USDT → EUR</t>
        </is>
      </c>
      <c r="N20" s="11" t="inlineStr"/>
      <c r="O20" s="11" t="inlineStr"/>
      <c r="P20" s="10" t="inlineStr">
        <is>
          <t>fixed</t>
        </is>
      </c>
      <c r="Q20" s="12" t="n">
        <v>0.02</v>
      </c>
      <c r="R20" s="12" t="n">
        <v>0.014</v>
      </c>
      <c r="S20" s="12" t="n">
        <v>0.006</v>
      </c>
      <c r="T20" s="11" t="inlineStr"/>
      <c r="U20" s="11" t="inlineStr"/>
      <c r="V20" s="11" t="inlineStr"/>
      <c r="W20" s="11" t="inlineStr"/>
      <c r="X20" s="12" t="n">
        <v>0.008500000000000001</v>
      </c>
      <c r="Y20" s="12" t="n">
        <v>0.0115</v>
      </c>
      <c r="Z20" s="10" t="inlineStr">
        <is>
          <t>kept for NPL at the partner</t>
        </is>
      </c>
      <c r="AA20" s="11" t="inlineStr"/>
      <c r="AB20" s="11" t="inlineStr"/>
      <c r="AC20" s="11" t="inlineStr"/>
      <c r="AD20" s="11" t="inlineStr"/>
      <c r="AE20" s="11" t="inlineStr"/>
      <c r="AF20" s="11" t="inlineStr"/>
      <c r="AG20" s="11" t="inlineStr"/>
      <c r="AH20" s="10" t="inlineStr">
        <is>
          <t>Fixed Fee---1.4% charged to Evo customer and 0.6% charged to Evo</t>
        </is>
      </c>
      <c r="AI20" s="3" t="inlineStr"/>
    </row>
    <row r="21" ht="60" customHeight="1">
      <c r="A21" s="3" t="n">
        <v>20</v>
      </c>
      <c r="B21" s="3" t="n">
        <v>22</v>
      </c>
      <c r="C21" s="10" t="inlineStr">
        <is>
          <t>Evo USDT Collection</t>
        </is>
      </c>
      <c r="D21" s="3" t="inlineStr">
        <is>
          <t>3 Sender+receiver pay</t>
        </is>
      </c>
      <c r="E21" s="10" t="inlineStr">
        <is>
          <t>Sender calculation
USDT&gt;&gt;EUR
Market Rate: 0.888977323
Fee: 1.40%
Final Rate: 0.876531640478
USDT 29,325 = EUR 25,704
Receiver calculation
EUR 25,704 - 0.6% = 25,550</t>
        </is>
      </c>
      <c r="F21" s="11" t="inlineStr"/>
      <c r="G21" s="11" t="inlineStr"/>
      <c r="H21" s="11" t="inlineStr"/>
      <c r="I21" s="11" t="inlineStr"/>
      <c r="J21" s="11" t="inlineStr"/>
      <c r="K21" s="10" t="inlineStr">
        <is>
          <t>Jeton</t>
        </is>
      </c>
      <c r="L21" s="10" t="inlineStr">
        <is>
          <t>fee on top of market</t>
        </is>
      </c>
      <c r="M21" s="10" t="inlineStr">
        <is>
          <t>USDT → EUR</t>
        </is>
      </c>
      <c r="N21" s="11" t="inlineStr"/>
      <c r="O21" s="11" t="inlineStr"/>
      <c r="P21" s="10" t="inlineStr">
        <is>
          <t>fixed</t>
        </is>
      </c>
      <c r="Q21" s="12" t="n">
        <v>0.02</v>
      </c>
      <c r="R21" s="12" t="n">
        <v>0.014</v>
      </c>
      <c r="S21" s="12" t="n">
        <v>0.006</v>
      </c>
      <c r="T21" s="11" t="inlineStr"/>
      <c r="U21" s="11" t="inlineStr"/>
      <c r="V21" s="11" t="inlineStr"/>
      <c r="W21" s="11" t="inlineStr"/>
      <c r="X21" s="12" t="n">
        <v>0.008500000000000001</v>
      </c>
      <c r="Y21" s="12" t="n">
        <v>0.0115</v>
      </c>
      <c r="Z21" s="10" t="inlineStr">
        <is>
          <t>paid back monthly</t>
        </is>
      </c>
      <c r="AA21" s="12" t="n">
        <v>0.4</v>
      </c>
      <c r="AB21" s="11" t="inlineStr"/>
      <c r="AC21" s="11" t="inlineStr"/>
      <c r="AD21" s="11" t="inlineStr"/>
      <c r="AE21" s="11" t="inlineStr"/>
      <c r="AF21" s="11" t="inlineStr"/>
      <c r="AG21" s="11" t="inlineStr"/>
      <c r="AH21" s="10" t="inlineStr">
        <is>
          <t>Fixed Fee---1.4% charged to Evo customer and 0.6% charged to Evo</t>
        </is>
      </c>
      <c r="AI21" s="3" t="inlineStr"/>
    </row>
    <row r="22" ht="60" customHeight="1">
      <c r="A22" s="3" t="n">
        <v>21</v>
      </c>
      <c r="B22" s="3" t="n">
        <v>23</v>
      </c>
      <c r="C22" s="10" t="inlineStr">
        <is>
          <t>Evo USDT Collection (selected senders)</t>
        </is>
      </c>
      <c r="D22" s="3" t="inlineStr">
        <is>
          <t>3 Sender+receiver pay</t>
        </is>
      </c>
      <c r="E22" s="10" t="inlineStr">
        <is>
          <t>Sender calculation
EUR&gt;&gt;USDT
Market Rate: 1.15580212667591 (1 ÷ 0.8652)
Fee: 1.00%
Final Rate: 1.16736014794267
EUR 50,000 = USDT 58,368
Receiver calculation
EUR 50,000 - 0.6% = 49,700</t>
        </is>
      </c>
      <c r="F22" s="11" t="inlineStr"/>
      <c r="G22" s="11" t="inlineStr"/>
      <c r="H22" s="11" t="inlineStr"/>
      <c r="I22" s="11" t="inlineStr"/>
      <c r="J22" s="11" t="inlineStr"/>
      <c r="K22" s="10" t="inlineStr">
        <is>
          <t>Ali</t>
        </is>
      </c>
      <c r="L22" s="10" t="inlineStr">
        <is>
          <t>fee inside its rate</t>
        </is>
      </c>
      <c r="M22" s="10" t="inlineStr">
        <is>
          <t>USDT → EUR</t>
        </is>
      </c>
      <c r="N22" s="11" t="inlineStr"/>
      <c r="O22" s="11" t="inlineStr"/>
      <c r="P22" s="10" t="inlineStr">
        <is>
          <t>fixed</t>
        </is>
      </c>
      <c r="Q22" s="12" t="n">
        <v>0.016</v>
      </c>
      <c r="R22" s="12" t="n">
        <v>0.01</v>
      </c>
      <c r="S22" s="12" t="n">
        <v>0.006</v>
      </c>
      <c r="T22" s="11" t="inlineStr"/>
      <c r="U22" s="11" t="inlineStr"/>
      <c r="V22" s="11" t="inlineStr"/>
      <c r="W22" s="11" t="inlineStr"/>
      <c r="X22" s="12" t="n">
        <v>0.0075</v>
      </c>
      <c r="Y22" s="12" t="n">
        <v>0.008500000000000001</v>
      </c>
      <c r="Z22" s="10" t="inlineStr">
        <is>
          <t>kept for NPL at the partner</t>
        </is>
      </c>
      <c r="AA22" s="11" t="inlineStr"/>
      <c r="AB22" s="11" t="inlineStr"/>
      <c r="AC22" s="11" t="inlineStr"/>
      <c r="AD22" s="11" t="inlineStr"/>
      <c r="AE22" s="11" t="inlineStr"/>
      <c r="AF22" s="11" t="inlineStr"/>
      <c r="AG22" s="11" t="inlineStr"/>
      <c r="AH22" s="10" t="inlineStr">
        <is>
          <t>For select customers (GTSI ,HG, Komodo)--but haven't transacted with us for some time</t>
        </is>
      </c>
      <c r="AI22" s="3" t="inlineStr"/>
    </row>
    <row r="23" ht="60" customHeight="1">
      <c r="A23" s="3" t="n">
        <v>22</v>
      </c>
      <c r="B23" s="3" t="n">
        <v>24</v>
      </c>
      <c r="C23" s="10" t="inlineStr">
        <is>
          <t>Evo USDT Collection (selected senders)</t>
        </is>
      </c>
      <c r="D23" s="3" t="inlineStr">
        <is>
          <t>3 Sender+receiver pay</t>
        </is>
      </c>
      <c r="E23" s="10" t="inlineStr">
        <is>
          <t>Sender calculation
EUR&gt;&gt;USDT
Market Rate: 1.15580212667591 (1 ÷ 0.8652)
Fee: 1.00%
Final Rate: 1.16736014794267
EUR 50,000 = USDT 58,368
Receiver calculation
EUR 50,000 - 0.6% = 49,700</t>
        </is>
      </c>
      <c r="F23" s="11" t="inlineStr"/>
      <c r="G23" s="11" t="inlineStr"/>
      <c r="H23" s="11" t="inlineStr"/>
      <c r="I23" s="11" t="inlineStr"/>
      <c r="J23" s="11" t="inlineStr"/>
      <c r="K23" s="10" t="inlineStr">
        <is>
          <t>Jeton</t>
        </is>
      </c>
      <c r="L23" s="10" t="inlineStr">
        <is>
          <t>fee on top of market</t>
        </is>
      </c>
      <c r="M23" s="10" t="inlineStr">
        <is>
          <t>USDT → EUR</t>
        </is>
      </c>
      <c r="N23" s="11" t="inlineStr"/>
      <c r="O23" s="11" t="inlineStr"/>
      <c r="P23" s="10" t="inlineStr">
        <is>
          <t>fixed</t>
        </is>
      </c>
      <c r="Q23" s="12" t="n">
        <v>0.016</v>
      </c>
      <c r="R23" s="12" t="n">
        <v>0.01</v>
      </c>
      <c r="S23" s="12" t="n">
        <v>0.006</v>
      </c>
      <c r="T23" s="11" t="inlineStr"/>
      <c r="U23" s="11" t="inlineStr"/>
      <c r="V23" s="11" t="inlineStr"/>
      <c r="W23" s="11" t="inlineStr"/>
      <c r="X23" s="12" t="n">
        <v>0.0075</v>
      </c>
      <c r="Y23" s="12" t="n">
        <v>0.008500000000000001</v>
      </c>
      <c r="Z23" s="10" t="inlineStr">
        <is>
          <t>paid back monthly</t>
        </is>
      </c>
      <c r="AA23" s="12" t="n">
        <v>0.4</v>
      </c>
      <c r="AB23" s="11" t="inlineStr"/>
      <c r="AC23" s="11" t="inlineStr"/>
      <c r="AD23" s="11" t="inlineStr"/>
      <c r="AE23" s="11" t="inlineStr"/>
      <c r="AF23" s="11" t="inlineStr"/>
      <c r="AG23" s="11" t="inlineStr"/>
      <c r="AH23" s="10" t="inlineStr">
        <is>
          <t>For select customers (GTSI ,HG, Komodo)--but haven't transacted with us for some time</t>
        </is>
      </c>
      <c r="AI23" s="3" t="inlineStr"/>
    </row>
    <row r="24" ht="60" customHeight="1">
      <c r="A24" s="3" t="n">
        <v>23</v>
      </c>
      <c r="B24" s="3" t="n">
        <v>25</v>
      </c>
      <c r="C24" s="10" t="inlineStr">
        <is>
          <t>Evolution CNY Collection</t>
        </is>
      </c>
      <c r="D24" s="3" t="inlineStr">
        <is>
          <t>4 Fee per deal</t>
        </is>
      </c>
      <c r="E24" s="10" t="inlineStr">
        <is>
          <t>Sender calculation
EUR &gt; CNY = 8.5193784
EUR 70,427.67 = CNY 600,000 (rounded off)
Receiver calculation
EUR 70,427 - 2.5% = 68,666</t>
        </is>
      </c>
      <c r="F24" s="11" t="inlineStr"/>
      <c r="G24" s="11" t="inlineStr"/>
      <c r="H24" s="11" t="inlineStr"/>
      <c r="I24" s="11" t="inlineStr"/>
      <c r="J24" s="11" t="inlineStr"/>
      <c r="K24" s="10" t="inlineStr">
        <is>
          <t>Ali</t>
        </is>
      </c>
      <c r="L24" s="10" t="inlineStr">
        <is>
          <t>fee inside its rate</t>
        </is>
      </c>
      <c r="M24" s="10" t="inlineStr">
        <is>
          <t>CNY → EUR</t>
        </is>
      </c>
      <c r="N24" s="11" t="inlineStr"/>
      <c r="O24" s="11" t="inlineStr"/>
      <c r="P24" s="10" t="inlineStr">
        <is>
          <t>set per deal</t>
        </is>
      </c>
      <c r="Q24" s="12" t="n">
        <v>0.0675</v>
      </c>
      <c r="R24" s="12" t="n">
        <v>0.0675</v>
      </c>
      <c r="S24" s="12" t="n">
        <v>0</v>
      </c>
      <c r="T24" s="11" t="inlineStr"/>
      <c r="U24" s="11" t="inlineStr"/>
      <c r="V24" s="11" t="inlineStr"/>
      <c r="W24" s="11" t="inlineStr"/>
      <c r="X24" s="12" t="n">
        <v>0.035</v>
      </c>
      <c r="Y24" s="12" t="n">
        <v>0.01</v>
      </c>
      <c r="Z24" s="10" t="inlineStr">
        <is>
          <t>kept for NPL at the partner</t>
        </is>
      </c>
      <c r="AA24" s="11" t="inlineStr"/>
      <c r="AB24" s="11" t="inlineStr"/>
      <c r="AC24" s="11" t="inlineStr"/>
      <c r="AD24" s="11" t="inlineStr"/>
      <c r="AE24" s="11" t="inlineStr"/>
      <c r="AF24" s="11" t="inlineStr"/>
      <c r="AG24" s="11" t="inlineStr"/>
      <c r="AH24" s="10" t="inlineStr">
        <is>
          <t>Fees change based on agent cost, but on average it is 6.75%---2.5% is charged to Evo balance will be borne by customer</t>
        </is>
      </c>
      <c r="AI24" s="3" t="inlineStr"/>
    </row>
    <row r="25" ht="60" customHeight="1">
      <c r="A25" s="3" t="n">
        <v>24</v>
      </c>
      <c r="B25" s="3" t="n">
        <v>26</v>
      </c>
      <c r="C25" s="10" t="inlineStr">
        <is>
          <t>Evolution PHP, THB, SGD, HKD</t>
        </is>
      </c>
      <c r="D25" s="3" t="inlineStr">
        <is>
          <t>4 Fee per deal</t>
        </is>
      </c>
      <c r="E25" s="10" t="inlineStr">
        <is>
          <t>Sender calculation
EUR &gt; PHP = 72.503792
EUR 100,000 = PHP 7,250,000
Receiver calculation
EUR 100,000- 1.6% = 98,400</t>
        </is>
      </c>
      <c r="F25" s="11" t="inlineStr"/>
      <c r="G25" s="11" t="inlineStr"/>
      <c r="H25" s="11" t="inlineStr"/>
      <c r="I25" s="11" t="inlineStr"/>
      <c r="J25" s="11" t="inlineStr"/>
      <c r="K25" s="10" t="inlineStr">
        <is>
          <t>Ali</t>
        </is>
      </c>
      <c r="L25" s="10" t="inlineStr">
        <is>
          <t>fee inside its rate</t>
        </is>
      </c>
      <c r="M25" s="10" t="inlineStr">
        <is>
          <t>PHP → EUR ; THB → EUR ; SGD → EUR; HKD → EUR</t>
        </is>
      </c>
      <c r="N25" s="11" t="inlineStr"/>
      <c r="O25" s="11" t="inlineStr"/>
      <c r="P25" s="10" t="inlineStr">
        <is>
          <t>fixed</t>
        </is>
      </c>
      <c r="Q25" s="12" t="n">
        <v>0.032</v>
      </c>
      <c r="R25" s="12" t="n">
        <v>0.032</v>
      </c>
      <c r="S25" s="12" t="n">
        <v>0</v>
      </c>
      <c r="T25" s="11" t="inlineStr"/>
      <c r="U25" s="11" t="inlineStr"/>
      <c r="V25" s="11" t="inlineStr"/>
      <c r="W25" s="11" t="inlineStr"/>
      <c r="X25" s="12" t="n">
        <v>0.015</v>
      </c>
      <c r="Y25" s="12" t="n">
        <v>0.006999999999999999</v>
      </c>
      <c r="Z25" s="10" t="inlineStr">
        <is>
          <t>kept for NPL at the partner</t>
        </is>
      </c>
      <c r="AA25" s="11" t="inlineStr"/>
      <c r="AB25" s="11" t="inlineStr"/>
      <c r="AC25" s="11" t="inlineStr"/>
      <c r="AD25" s="11" t="inlineStr"/>
      <c r="AE25" s="11" t="inlineStr"/>
      <c r="AF25" s="11" t="inlineStr"/>
      <c r="AG25" s="11" t="inlineStr"/>
      <c r="AH25" s="10" t="inlineStr">
        <is>
          <t>Fixed Fee---1.6% charged to Evo customer and 1.6% charged to Evolution. Among these pairs only PHP&gt;EUR has been active recently (in 2025).</t>
        </is>
      </c>
      <c r="AI25" s="3" t="inlineStr"/>
    </row>
    <row r="26" ht="60" customHeight="1">
      <c r="A26" s="3" t="n">
        <v>25</v>
      </c>
      <c r="B26" s="3" t="n">
        <v>27</v>
      </c>
      <c r="C26" s="10" t="inlineStr">
        <is>
          <t>Evolution USD, EUR, GBP (bank transfers)</t>
        </is>
      </c>
      <c r="D26" s="3" t="inlineStr">
        <is>
          <t>12 Same currency</t>
        </is>
      </c>
      <c r="E26" s="11" t="inlineStr"/>
      <c r="F26" s="11" t="inlineStr"/>
      <c r="G26" s="11" t="inlineStr"/>
      <c r="H26" s="11" t="inlineStr"/>
      <c r="I26" s="11" t="inlineStr"/>
      <c r="J26" s="11" t="inlineStr"/>
      <c r="K26" s="10" t="inlineStr">
        <is>
          <t>Ali</t>
        </is>
      </c>
      <c r="L26" s="10" t="inlineStr">
        <is>
          <t>fee inside its rate</t>
        </is>
      </c>
      <c r="M26" s="10" t="inlineStr">
        <is>
          <t>USD → EUR; EUR → EUR; GBP → EUR</t>
        </is>
      </c>
      <c r="N26" s="11" t="inlineStr"/>
      <c r="O26" s="11" t="inlineStr"/>
      <c r="P26" s="10" t="inlineStr">
        <is>
          <t>fixed</t>
        </is>
      </c>
      <c r="Q26" s="12" t="n">
        <v>0.028</v>
      </c>
      <c r="R26" s="12" t="n">
        <v>0.028</v>
      </c>
      <c r="S26" s="12" t="n">
        <v>0</v>
      </c>
      <c r="T26" s="11" t="inlineStr"/>
      <c r="U26" s="11" t="inlineStr"/>
      <c r="V26" s="11" t="inlineStr"/>
      <c r="W26" s="11" t="inlineStr"/>
      <c r="X26" s="10" t="inlineStr">
        <is>
          <t>no recent data</t>
        </is>
      </c>
      <c r="Y26" s="10" t="inlineStr">
        <is>
          <t>no recent data</t>
        </is>
      </c>
      <c r="Z26" s="10" t="inlineStr">
        <is>
          <t>kept for NPL at the partner</t>
        </is>
      </c>
      <c r="AA26" s="11" t="inlineStr"/>
      <c r="AB26" s="11" t="inlineStr"/>
      <c r="AC26" s="11" t="inlineStr"/>
      <c r="AD26" s="11" t="inlineStr"/>
      <c r="AE26" s="11" t="inlineStr"/>
      <c r="AF26" s="11" t="inlineStr"/>
      <c r="AG26" s="11" t="inlineStr"/>
      <c r="AH26" s="10" t="inlineStr">
        <is>
          <t>Fixed Fee---1.4% charged to Evo customer and 1.4% charged to Evolution. None of these pairs have been executed in the past couple of years.</t>
        </is>
      </c>
      <c r="AI26" s="3" t="inlineStr">
        <is>
          <t>the partner cost is a range or text — please give the usual value, or say it is read from the partner's rate each day; NPL margin is not a number</t>
        </is>
      </c>
    </row>
    <row r="27" ht="60" customHeight="1">
      <c r="A27" s="3" t="n">
        <v>26</v>
      </c>
      <c r="B27" s="3" t="n">
        <v>28</v>
      </c>
      <c r="C27" s="10" t="inlineStr">
        <is>
          <t>Evolution USD, AED (cash in Dubai)</t>
        </is>
      </c>
      <c r="D27" s="3" t="inlineStr">
        <is>
          <t>10 Cash collection</t>
        </is>
      </c>
      <c r="E27" s="11" t="inlineStr"/>
      <c r="F27" s="11" t="inlineStr"/>
      <c r="G27" s="11" t="inlineStr"/>
      <c r="H27" s="11" t="inlineStr"/>
      <c r="I27" s="11" t="inlineStr"/>
      <c r="J27" s="11" t="inlineStr"/>
      <c r="K27" s="10" t="inlineStr">
        <is>
          <t>Ali</t>
        </is>
      </c>
      <c r="L27" s="10" t="inlineStr">
        <is>
          <t>fee inside its rate</t>
        </is>
      </c>
      <c r="M27" s="10" t="inlineStr">
        <is>
          <t>AED (cash) → EUR; USD (cash) → EUR</t>
        </is>
      </c>
      <c r="N27" s="11" t="inlineStr"/>
      <c r="O27" s="11" t="inlineStr"/>
      <c r="P27" s="10" t="inlineStr">
        <is>
          <t>fixed</t>
        </is>
      </c>
      <c r="Q27" s="12" t="n">
        <v>0.055</v>
      </c>
      <c r="R27" s="12" t="n">
        <v>0.055</v>
      </c>
      <c r="S27" s="12" t="n">
        <v>0</v>
      </c>
      <c r="T27" s="11" t="inlineStr"/>
      <c r="U27" s="11" t="inlineStr"/>
      <c r="V27" s="11" t="inlineStr"/>
      <c r="W27" s="11" t="inlineStr"/>
      <c r="X27" s="10" t="inlineStr">
        <is>
          <t>no recent data</t>
        </is>
      </c>
      <c r="Y27" s="10" t="inlineStr">
        <is>
          <t>no recent data</t>
        </is>
      </c>
      <c r="Z27" s="10" t="inlineStr">
        <is>
          <t>kept for NPL at the partner</t>
        </is>
      </c>
      <c r="AA27" s="11" t="inlineStr"/>
      <c r="AB27" s="11" t="inlineStr"/>
      <c r="AC27" s="11" t="inlineStr"/>
      <c r="AD27" s="11" t="inlineStr"/>
      <c r="AE27" s="11" t="inlineStr"/>
      <c r="AF27" s="11" t="inlineStr"/>
      <c r="AG27" s="11" t="inlineStr"/>
      <c r="AH27" s="10" t="inlineStr">
        <is>
          <t>Fixed Fee---2.25% charged to Evo customer and 2.25% charged to Evolution. None of these pairs have been executed in the past couple of years.</t>
        </is>
      </c>
      <c r="AI27" s="3" t="inlineStr">
        <is>
          <t>the partner cost is a range or text — please give the usual value, or say it is read from the partner's rate each day; NPL margin is not a number</t>
        </is>
      </c>
    </row>
    <row r="28" ht="60" customHeight="1">
      <c r="A28" s="3" t="n">
        <v>27</v>
      </c>
      <c r="B28" s="3" t="n">
        <v>29</v>
      </c>
      <c r="C28" s="10" t="inlineStr">
        <is>
          <t>66 Group Remittance INR</t>
        </is>
      </c>
      <c r="D28" s="3" t="inlineStr">
        <is>
          <t>4 Fee per deal</t>
        </is>
      </c>
      <c r="E28" s="10" t="inlineStr">
        <is>
          <t>USD&gt;&gt;INR
XE Market Rate: 90.83911443
Fee: 7.00%
Final Rate: 97.19785244
USD 23,960.18 x 97.1978524401 = INR 2,328,878.04
--- Rounded off to INR 2,329,000</t>
        </is>
      </c>
      <c r="F28" s="11" t="inlineStr"/>
      <c r="G28" s="11" t="inlineStr"/>
      <c r="H28" s="11" t="inlineStr"/>
      <c r="I28" s="11" t="inlineStr"/>
      <c r="J28" s="11" t="inlineStr"/>
      <c r="K28" s="10" t="inlineStr">
        <is>
          <t>Ali</t>
        </is>
      </c>
      <c r="L28" s="10" t="inlineStr">
        <is>
          <t>fee inside its rate</t>
        </is>
      </c>
      <c r="M28" s="10" t="inlineStr">
        <is>
          <t>INR → USD</t>
        </is>
      </c>
      <c r="N28" s="11" t="inlineStr"/>
      <c r="O28" s="11" t="inlineStr"/>
      <c r="P28" s="10" t="inlineStr">
        <is>
          <t>set per deal</t>
        </is>
      </c>
      <c r="Q28" s="12" t="n">
        <v>0.07000000000000001</v>
      </c>
      <c r="R28" s="12" t="n">
        <v>0.07000000000000001</v>
      </c>
      <c r="S28" s="12" t="n">
        <v>0</v>
      </c>
      <c r="T28" s="11" t="inlineStr"/>
      <c r="U28" s="11" t="inlineStr"/>
      <c r="V28" s="11" t="inlineStr"/>
      <c r="W28" s="11" t="inlineStr"/>
      <c r="X28" s="12" t="n">
        <v>0.0525</v>
      </c>
      <c r="Y28" s="12" t="n">
        <v>0.0175</v>
      </c>
      <c r="Z28" s="10" t="inlineStr">
        <is>
          <t>kept for NPL at the partner</t>
        </is>
      </c>
      <c r="AA28" s="11" t="inlineStr"/>
      <c r="AB28" s="11" t="inlineStr"/>
      <c r="AC28" s="11" t="inlineStr"/>
      <c r="AD28" s="11" t="inlineStr"/>
      <c r="AE28" s="11" t="inlineStr"/>
      <c r="AF28" s="11" t="inlineStr"/>
      <c r="AG28" s="11" t="inlineStr"/>
      <c r="AH28" s="10" t="inlineStr">
        <is>
          <t>Customer-facing fees are not fixed and are subject to change every transaction, but on average it is 6%. also min margin expected is 0.5%</t>
        </is>
      </c>
      <c r="AI28" s="3" t="inlineStr"/>
    </row>
    <row r="29" ht="60" customHeight="1">
      <c r="A29" s="3" t="n">
        <v>28</v>
      </c>
      <c r="B29" s="3" t="n">
        <v>30</v>
      </c>
      <c r="C29" s="10" t="inlineStr">
        <is>
          <t>66 Group Remittance USD</t>
        </is>
      </c>
      <c r="D29" s="3" t="inlineStr">
        <is>
          <t>2 Agent rate</t>
        </is>
      </c>
      <c r="E29" s="10" t="inlineStr">
        <is>
          <t>Market Rate: 1.00041 (1/0.99959)
Fee: 1.50%
Final Rate: 1.01541632
USD 23,960.18 x 1.01541632 = USDT 24,329.56
--- Rounded off to USDT 24,330</t>
        </is>
      </c>
      <c r="F29" s="11" t="inlineStr"/>
      <c r="G29" s="11" t="inlineStr"/>
      <c r="H29" s="11" t="inlineStr"/>
      <c r="I29" s="11" t="inlineStr"/>
      <c r="J29" s="11" t="inlineStr"/>
      <c r="K29" s="10" t="inlineStr">
        <is>
          <t>Ali</t>
        </is>
      </c>
      <c r="L29" s="10" t="inlineStr">
        <is>
          <t>fee inside its rate</t>
        </is>
      </c>
      <c r="M29" s="10" t="inlineStr">
        <is>
          <t>USDT → USD</t>
        </is>
      </c>
      <c r="N29" s="11" t="inlineStr"/>
      <c r="O29" s="11" t="inlineStr"/>
      <c r="P29" s="10" t="inlineStr">
        <is>
          <t>fixed</t>
        </is>
      </c>
      <c r="Q29" s="12" t="n">
        <v>0.015</v>
      </c>
      <c r="R29" s="12" t="n">
        <v>0.015</v>
      </c>
      <c r="S29" s="12" t="n">
        <v>0</v>
      </c>
      <c r="T29" s="11" t="inlineStr"/>
      <c r="U29" s="11" t="inlineStr"/>
      <c r="V29" s="11" t="inlineStr"/>
      <c r="W29" s="11" t="inlineStr"/>
      <c r="X29" s="12" t="n">
        <v>0.004</v>
      </c>
      <c r="Y29" s="12" t="n">
        <v>0.011</v>
      </c>
      <c r="Z29" s="10" t="inlineStr">
        <is>
          <t>kept for NPL at the partner</t>
        </is>
      </c>
      <c r="AA29" s="11" t="inlineStr"/>
      <c r="AB29" s="11" t="inlineStr"/>
      <c r="AC29" s="11" t="inlineStr"/>
      <c r="AD29" s="11" t="inlineStr"/>
      <c r="AE29" s="11" t="inlineStr"/>
      <c r="AF29" s="11" t="inlineStr"/>
      <c r="AG29" s="11" t="inlineStr"/>
      <c r="AH29" s="10" t="inlineStr">
        <is>
          <t>Fixed Fee</t>
        </is>
      </c>
      <c r="AI29" s="3" t="inlineStr">
        <is>
          <t>the real market rate at the time of the quote (your sheet shows the recomputed one)</t>
        </is>
      </c>
    </row>
    <row r="30" ht="60" customHeight="1">
      <c r="A30" s="3" t="n">
        <v>29</v>
      </c>
      <c r="B30" s="3" t="n">
        <v>31</v>
      </c>
      <c r="C30" s="10" t="inlineStr">
        <is>
          <t>66 Group Remittance GBP</t>
        </is>
      </c>
      <c r="D30" s="3" t="inlineStr">
        <is>
          <t>2 Agent rate</t>
        </is>
      </c>
      <c r="E30" s="10" t="inlineStr">
        <is>
          <t>GBP&gt;&gt;USDT = 1.354309
GBP 25,000 x  1.354309 = USDT 33,858</t>
        </is>
      </c>
      <c r="F30" s="11" t="inlineStr"/>
      <c r="G30" s="11" t="inlineStr"/>
      <c r="H30" s="11" t="inlineStr"/>
      <c r="I30" s="11" t="inlineStr"/>
      <c r="J30" s="11" t="inlineStr"/>
      <c r="K30" s="10" t="inlineStr">
        <is>
          <t>Ali</t>
        </is>
      </c>
      <c r="L30" s="10" t="inlineStr">
        <is>
          <t>fee inside its rate</t>
        </is>
      </c>
      <c r="M30" s="10" t="inlineStr">
        <is>
          <t>USDT → GBP</t>
        </is>
      </c>
      <c r="N30" s="11" t="inlineStr"/>
      <c r="O30" s="11" t="inlineStr"/>
      <c r="P30" s="10" t="inlineStr">
        <is>
          <t>fixed</t>
        </is>
      </c>
      <c r="Q30" s="12" t="n">
        <v>0.0225</v>
      </c>
      <c r="R30" s="12" t="n">
        <v>0.0225</v>
      </c>
      <c r="S30" s="12" t="n">
        <v>0</v>
      </c>
      <c r="T30" s="11" t="inlineStr"/>
      <c r="U30" s="11" t="inlineStr"/>
      <c r="V30" s="11" t="inlineStr"/>
      <c r="W30" s="11" t="inlineStr"/>
      <c r="X30" s="12" t="n">
        <v>0.0122</v>
      </c>
      <c r="Y30" s="12" t="n">
        <v>0.0103</v>
      </c>
      <c r="Z30" s="10" t="inlineStr">
        <is>
          <t>kept for NPL at the partner</t>
        </is>
      </c>
      <c r="AA30" s="11" t="inlineStr"/>
      <c r="AB30" s="11" t="inlineStr"/>
      <c r="AC30" s="11" t="inlineStr"/>
      <c r="AD30" s="11" t="inlineStr"/>
      <c r="AE30" s="11" t="inlineStr"/>
      <c r="AF30" s="11" t="inlineStr"/>
      <c r="AG30" s="11" t="inlineStr"/>
      <c r="AH30" s="10" t="inlineStr">
        <is>
          <t>Fixed Fee</t>
        </is>
      </c>
      <c r="AI30" s="3" t="inlineStr">
        <is>
          <t>the real market rate at the time of the quote (your sheet shows the recomputed one)</t>
        </is>
      </c>
    </row>
    <row r="31" ht="60" customHeight="1">
      <c r="A31" s="3" t="n">
        <v>30</v>
      </c>
      <c r="B31" s="3" t="n">
        <v>32</v>
      </c>
      <c r="C31" s="10" t="inlineStr">
        <is>
          <t>GDC (up to $500K monthly volume)</t>
        </is>
      </c>
      <c r="D31" s="3" t="inlineStr">
        <is>
          <t>5 Fee by volume</t>
        </is>
      </c>
      <c r="E31" s="10" t="inlineStr">
        <is>
          <t>USD 84,482.00 + 2.5% = USDT 86,594</t>
        </is>
      </c>
      <c r="F31" s="11" t="inlineStr"/>
      <c r="G31" s="11" t="inlineStr"/>
      <c r="H31" s="11" t="inlineStr"/>
      <c r="I31" s="11" t="inlineStr"/>
      <c r="J31" s="11" t="inlineStr"/>
      <c r="K31" s="10" t="inlineStr">
        <is>
          <t>Ali</t>
        </is>
      </c>
      <c r="L31" s="10" t="inlineStr">
        <is>
          <t>fee inside its rate</t>
        </is>
      </c>
      <c r="M31" s="10" t="inlineStr">
        <is>
          <t>USDT → USD</t>
        </is>
      </c>
      <c r="N31" s="11" t="inlineStr"/>
      <c r="O31" s="11" t="inlineStr"/>
      <c r="P31" s="10" t="inlineStr">
        <is>
          <t>fixed</t>
        </is>
      </c>
      <c r="Q31" s="12" t="n">
        <v>0.025</v>
      </c>
      <c r="R31" s="12" t="n">
        <v>0.025</v>
      </c>
      <c r="S31" s="12" t="n">
        <v>0</v>
      </c>
      <c r="T31" s="11" t="inlineStr"/>
      <c r="U31" s="11" t="inlineStr"/>
      <c r="V31" s="11" t="inlineStr"/>
      <c r="W31" s="11" t="inlineStr"/>
      <c r="X31" s="12" t="n">
        <v>0.004</v>
      </c>
      <c r="Y31" s="12" t="n">
        <v>0.021</v>
      </c>
      <c r="Z31" s="10" t="inlineStr">
        <is>
          <t>kept for NPL at the partner</t>
        </is>
      </c>
      <c r="AA31" s="11" t="inlineStr"/>
      <c r="AB31" s="11" t="inlineStr"/>
      <c r="AC31" s="11" t="inlineStr"/>
      <c r="AD31" s="11" t="inlineStr"/>
      <c r="AE31" s="11" t="inlineStr"/>
      <c r="AF31" s="11" t="inlineStr"/>
      <c r="AG31" s="11" t="inlineStr"/>
      <c r="AH31" s="3" t="inlineStr"/>
      <c r="AI31" s="3" t="inlineStr"/>
    </row>
    <row r="32" ht="60" customHeight="1">
      <c r="A32" s="3" t="n">
        <v>31</v>
      </c>
      <c r="B32" s="3" t="n">
        <v>33</v>
      </c>
      <c r="C32" s="10" t="inlineStr">
        <is>
          <t>GDC (for $500K-1M monthly volume)</t>
        </is>
      </c>
      <c r="D32" s="3" t="inlineStr">
        <is>
          <t>5 Fee by volume</t>
        </is>
      </c>
      <c r="E32" s="10" t="inlineStr">
        <is>
          <t>USD 84,482.00 + 2.25% = USDT 86,383</t>
        </is>
      </c>
      <c r="F32" s="11" t="inlineStr"/>
      <c r="G32" s="11" t="inlineStr"/>
      <c r="H32" s="11" t="inlineStr"/>
      <c r="I32" s="11" t="inlineStr"/>
      <c r="J32" s="11" t="inlineStr"/>
      <c r="K32" s="10" t="inlineStr">
        <is>
          <t>Ali</t>
        </is>
      </c>
      <c r="L32" s="10" t="inlineStr">
        <is>
          <t>fee inside its rate</t>
        </is>
      </c>
      <c r="M32" s="10" t="inlineStr">
        <is>
          <t>USDT → USD</t>
        </is>
      </c>
      <c r="N32" s="11" t="inlineStr"/>
      <c r="O32" s="11" t="inlineStr"/>
      <c r="P32" s="10" t="inlineStr">
        <is>
          <t>fixed</t>
        </is>
      </c>
      <c r="Q32" s="12" t="n">
        <v>0.0225</v>
      </c>
      <c r="R32" s="12" t="n">
        <v>0.0225</v>
      </c>
      <c r="S32" s="12" t="n">
        <v>0</v>
      </c>
      <c r="T32" s="11" t="inlineStr"/>
      <c r="U32" s="11" t="inlineStr"/>
      <c r="V32" s="11" t="inlineStr"/>
      <c r="W32" s="11" t="inlineStr"/>
      <c r="X32" s="12" t="n">
        <v>0.004</v>
      </c>
      <c r="Y32" s="12" t="n">
        <v>0.0185</v>
      </c>
      <c r="Z32" s="10" t="inlineStr">
        <is>
          <t>kept for NPL at the partner</t>
        </is>
      </c>
      <c r="AA32" s="11" t="inlineStr"/>
      <c r="AB32" s="11" t="inlineStr"/>
      <c r="AC32" s="11" t="inlineStr"/>
      <c r="AD32" s="11" t="inlineStr"/>
      <c r="AE32" s="11" t="inlineStr"/>
      <c r="AF32" s="11" t="inlineStr"/>
      <c r="AG32" s="11" t="inlineStr"/>
      <c r="AH32" s="10" t="inlineStr">
        <is>
          <t>Fee is lowered to 2.25% if their monthly processing volume is more than USD 500,000</t>
        </is>
      </c>
      <c r="AI32" s="3" t="inlineStr"/>
    </row>
    <row r="33" ht="60" customHeight="1">
      <c r="A33" s="3" t="n">
        <v>32</v>
      </c>
      <c r="B33" s="3" t="n">
        <v>34</v>
      </c>
      <c r="C33" s="10" t="inlineStr">
        <is>
          <t>Jeton JPY</t>
        </is>
      </c>
      <c r="D33" s="3" t="inlineStr">
        <is>
          <t>4 Fee per deal</t>
        </is>
      </c>
      <c r="E33" s="10" t="inlineStr">
        <is>
          <t>USDT&gt;&gt;JPY = 156.06
USDT 150,000 = JPY 23,409,000</t>
        </is>
      </c>
      <c r="F33" s="11" t="inlineStr"/>
      <c r="G33" s="11" t="inlineStr"/>
      <c r="H33" s="11" t="inlineStr"/>
      <c r="I33" s="11" t="inlineStr"/>
      <c r="J33" s="11" t="inlineStr"/>
      <c r="K33" s="10" t="inlineStr">
        <is>
          <t>Ali</t>
        </is>
      </c>
      <c r="L33" s="10" t="inlineStr">
        <is>
          <t>fee inside its rate</t>
        </is>
      </c>
      <c r="M33" s="10" t="inlineStr">
        <is>
          <t>USDT → JPY</t>
        </is>
      </c>
      <c r="N33" s="11" t="inlineStr"/>
      <c r="O33" s="11" t="inlineStr"/>
      <c r="P33" s="10" t="inlineStr">
        <is>
          <t>set per deal</t>
        </is>
      </c>
      <c r="Q33" s="12" t="n">
        <v>0.01</v>
      </c>
      <c r="R33" s="12" t="n">
        <v>0.01</v>
      </c>
      <c r="S33" s="12" t="n">
        <v>0</v>
      </c>
      <c r="T33" s="11" t="inlineStr"/>
      <c r="U33" s="11" t="inlineStr"/>
      <c r="V33" s="11" t="inlineStr"/>
      <c r="W33" s="11" t="inlineStr"/>
      <c r="X33" s="12" t="n">
        <v>0.0065</v>
      </c>
      <c r="Y33" s="12" t="n">
        <v>0.0035</v>
      </c>
      <c r="Z33" s="10" t="inlineStr">
        <is>
          <t>kept for NPL at the partner</t>
        </is>
      </c>
      <c r="AA33" s="11" t="inlineStr"/>
      <c r="AB33" s="11" t="inlineStr"/>
      <c r="AC33" s="11" t="inlineStr"/>
      <c r="AD33" s="11" t="inlineStr"/>
      <c r="AE33" s="11" t="inlineStr"/>
      <c r="AF33" s="11" t="inlineStr"/>
      <c r="AG33" s="11" t="inlineStr"/>
      <c r="AH33" s="10" t="inlineStr">
        <is>
          <t>Fee changes every transaction, but on average it is 1%</t>
        </is>
      </c>
      <c r="AI33" s="3" t="inlineStr">
        <is>
          <t>who decides the fee for each deal, and between which lowest and highest markup</t>
        </is>
      </c>
    </row>
    <row r="34" ht="60" customHeight="1">
      <c r="A34" s="3" t="n">
        <v>33</v>
      </c>
      <c r="B34" s="3" t="n">
        <v>35</v>
      </c>
      <c r="C34" s="10" t="inlineStr">
        <is>
          <t>Kingdom</t>
        </is>
      </c>
      <c r="D34" s="3" t="inlineStr">
        <is>
          <t>2 Agent rate</t>
        </is>
      </c>
      <c r="E34" s="10" t="inlineStr">
        <is>
          <t>USD 50,000 + 0.9% = USDT 50,540</t>
        </is>
      </c>
      <c r="F34" s="11" t="inlineStr"/>
      <c r="G34" s="11" t="inlineStr"/>
      <c r="H34" s="11" t="inlineStr"/>
      <c r="I34" s="11" t="inlineStr"/>
      <c r="J34" s="11" t="inlineStr"/>
      <c r="K34" s="10" t="inlineStr">
        <is>
          <t>Ali</t>
        </is>
      </c>
      <c r="L34" s="10" t="inlineStr">
        <is>
          <t>fee inside its rate</t>
        </is>
      </c>
      <c r="M34" s="10" t="inlineStr">
        <is>
          <t>USDT → USD</t>
        </is>
      </c>
      <c r="N34" s="11" t="inlineStr"/>
      <c r="O34" s="11" t="inlineStr"/>
      <c r="P34" s="10" t="inlineStr">
        <is>
          <t>fixed</t>
        </is>
      </c>
      <c r="Q34" s="12" t="n">
        <v>0.008999999999999999</v>
      </c>
      <c r="R34" s="12" t="n">
        <v>0.008999999999999999</v>
      </c>
      <c r="S34" s="12" t="n">
        <v>0</v>
      </c>
      <c r="T34" s="11" t="inlineStr"/>
      <c r="U34" s="11" t="inlineStr"/>
      <c r="V34" s="11" t="inlineStr"/>
      <c r="W34" s="11" t="inlineStr"/>
      <c r="X34" s="12" t="n">
        <v>0.004</v>
      </c>
      <c r="Y34" s="12" t="n">
        <v>0.005</v>
      </c>
      <c r="Z34" s="10" t="inlineStr">
        <is>
          <t>kept for NPL at the partner</t>
        </is>
      </c>
      <c r="AA34" s="11" t="inlineStr"/>
      <c r="AB34" s="11" t="inlineStr"/>
      <c r="AC34" s="11" t="inlineStr"/>
      <c r="AD34" s="11" t="inlineStr"/>
      <c r="AE34" s="11" t="inlineStr"/>
      <c r="AF34" s="11" t="inlineStr"/>
      <c r="AG34" s="11" t="inlineStr"/>
      <c r="AH34" s="10" t="inlineStr">
        <is>
          <t>Fixed Fee</t>
        </is>
      </c>
      <c r="AI34" s="3" t="inlineStr">
        <is>
          <t>the real market rate at the time of the quote (your sheet shows the recomputed one)</t>
        </is>
      </c>
    </row>
    <row r="35" ht="60" customHeight="1">
      <c r="A35" s="3" t="n">
        <v>34</v>
      </c>
      <c r="B35" s="3" t="n">
        <v>36</v>
      </c>
      <c r="C35" s="10" t="inlineStr">
        <is>
          <t>Working Lab</t>
        </is>
      </c>
      <c r="D35" s="3" t="inlineStr">
        <is>
          <t>4 Fee per deal</t>
        </is>
      </c>
      <c r="E35" s="10" t="inlineStr">
        <is>
          <t>USD 10,000 - 0.75% = USDT 9,925</t>
        </is>
      </c>
      <c r="F35" s="11" t="inlineStr"/>
      <c r="G35" s="11" t="inlineStr"/>
      <c r="H35" s="11" t="inlineStr"/>
      <c r="I35" s="11" t="inlineStr"/>
      <c r="J35" s="11" t="inlineStr"/>
      <c r="K35" s="10" t="inlineStr">
        <is>
          <t>Ali</t>
        </is>
      </c>
      <c r="L35" s="10" t="inlineStr">
        <is>
          <t>fee inside its rate</t>
        </is>
      </c>
      <c r="M35" s="10" t="inlineStr">
        <is>
          <t>USD → USDT</t>
        </is>
      </c>
      <c r="N35" s="11" t="inlineStr"/>
      <c r="O35" s="11" t="inlineStr"/>
      <c r="P35" s="10" t="inlineStr">
        <is>
          <t>set per deal</t>
        </is>
      </c>
      <c r="Q35" s="12" t="n">
        <v>0.0075</v>
      </c>
      <c r="R35" s="12" t="n">
        <v>0.0075</v>
      </c>
      <c r="S35" s="12" t="n">
        <v>0</v>
      </c>
      <c r="T35" s="11" t="inlineStr"/>
      <c r="U35" s="11" t="inlineStr"/>
      <c r="V35" s="11" t="inlineStr"/>
      <c r="W35" s="11" t="inlineStr"/>
      <c r="X35" s="12" t="n">
        <v>0.004</v>
      </c>
      <c r="Y35" s="12" t="n">
        <v>0.0035</v>
      </c>
      <c r="Z35" s="10" t="inlineStr">
        <is>
          <t>kept for NPL at the partner</t>
        </is>
      </c>
      <c r="AA35" s="11" t="inlineStr"/>
      <c r="AB35" s="11" t="inlineStr"/>
      <c r="AC35" s="11" t="inlineStr"/>
      <c r="AD35" s="11" t="inlineStr"/>
      <c r="AE35" s="11" t="inlineStr"/>
      <c r="AF35" s="11" t="inlineStr"/>
      <c r="AG35" s="11" t="inlineStr"/>
      <c r="AH35" s="10" t="inlineStr">
        <is>
          <t>Fee is not fixed and changes every transaction, but on average it is 0.75%</t>
        </is>
      </c>
      <c r="AI35" s="3" t="inlineStr">
        <is>
          <t>who decides the fee for each deal, and between which lowest and highest markup</t>
        </is>
      </c>
    </row>
    <row r="36" ht="60" customHeight="1">
      <c r="A36" s="3" t="n">
        <v>35</v>
      </c>
      <c r="B36" s="3" t="n">
        <v>37</v>
      </c>
      <c r="C36" s="10" t="inlineStr">
        <is>
          <t>27 Group Remittance Collection for Game Reseller</t>
        </is>
      </c>
      <c r="D36" s="3" t="inlineStr">
        <is>
          <t>8 THB cash to vendors</t>
        </is>
      </c>
      <c r="E36" s="10" t="inlineStr">
        <is>
          <t xml:space="preserve">Customer Collection:
Advance Payment:
THB&gt;&gt;EUR
Market Rate: 0.0259463782412186
Fee: 2%
Updated Rate: 0.02542745
THB 17,000,000 x 0.02542745 = EUR 432,266.66
--- Rounded off to EUR 432,267
THB&gt;&gt;USDT
Market Rate: 0.0297503941927231 (1 ÷ 33.613)
Agent Fee: 0.6414425066510566%
Final Rate: 0.0295595625184747 (1 ÷ 33.83)
THB 17,000,000 x 0.0295595625184747 = USDT 502,513
Balance Invoice Clearance:
EUR&gt;&gt;THB
Market Rate: 38.13570206
Fee: 2.00%
Final Rate: 38.8984161012
EUR 329,408 x 38.8984161012 = THB 12,813,449.45
---Rounded Off to THB 12,813,000
THB &gt;&gt; USDT
Market Rate: 0.0303508558941362 (1 ÷ 32.948)
Agent Fee: 0.729135281711311%
Final Rate: 0.0301295570955107 (1 ÷ 33.19)
THB 12,813,000 x 0.0301295570955107 = USDT 386,050
===
===
===
Vendor Payment:
SACCO SIA (Latvia):
EUR&gt;&gt;USDT
Market Rate: 1.148412335637132
EUR 162,000 x 1.148412335637132 = USDT 186,042.80
Mitratech (QT):
EUR&gt;&gt;USDT
Market Rate: 1.153600110032772
EUR 29,487.18 x 1.153600110032772 = USDT 34,016.41
EZ-EVO (Samino):
USDT&gt;&gt;EUR
Market Rate: 1.154934460230491
EUR 492,665.17 x 1.154934460230491 = USDT 568,995.98
BraversPlay (Darwin):
EUR&gt;&gt;USDT
Market Rate: 1.156470452179947
EUR 13,270.28 x 1.156470452179947 = USDT 15,347
</t>
        </is>
      </c>
      <c r="F36" s="11" t="inlineStr"/>
      <c r="G36" s="11" t="inlineStr"/>
      <c r="H36" s="11" t="inlineStr"/>
      <c r="I36" s="11" t="inlineStr"/>
      <c r="J36" s="11" t="inlineStr"/>
      <c r="K36" s="10" t="inlineStr">
        <is>
          <t>Ali</t>
        </is>
      </c>
      <c r="L36" s="10" t="inlineStr">
        <is>
          <t>fee inside its rate</t>
        </is>
      </c>
      <c r="M36" s="10" t="inlineStr">
        <is>
          <t>THB → USDT then USDT &gt;&gt; EUR</t>
        </is>
      </c>
      <c r="N36" s="11" t="inlineStr"/>
      <c r="O36" s="11" t="inlineStr"/>
      <c r="P36" s="10" t="inlineStr">
        <is>
          <t>fixed</t>
        </is>
      </c>
      <c r="Q36" s="12" t="n">
        <v>0.02</v>
      </c>
      <c r="R36" s="12" t="n">
        <v>0.02</v>
      </c>
      <c r="S36" s="12" t="n">
        <v>0</v>
      </c>
      <c r="T36" s="11" t="inlineStr"/>
      <c r="U36" s="11" t="inlineStr"/>
      <c r="V36" s="11" t="inlineStr"/>
      <c r="W36" s="11" t="inlineStr"/>
      <c r="X36" s="12" t="n">
        <v>0.005</v>
      </c>
      <c r="Y36" s="12" t="n">
        <v>0.015</v>
      </c>
      <c r="Z36" s="10" t="inlineStr">
        <is>
          <t>kept for NPL at the partner</t>
        </is>
      </c>
      <c r="AA36" s="11" t="inlineStr"/>
      <c r="AB36" s="11" t="inlineStr"/>
      <c r="AC36" s="11" t="inlineStr"/>
      <c r="AD36" s="11" t="inlineStr"/>
      <c r="AE36" s="11" t="inlineStr"/>
      <c r="AF36" s="11" t="inlineStr"/>
      <c r="AG36" s="11" t="inlineStr"/>
      <c r="AH36" s="10" t="inlineStr">
        <is>
          <t>For Game reseller projects, the EUR invoices from vendors are marked up by NPL-Reseller and a higher value invoice is issued to customers. 
Customer needs to pay an EUR invoice value (in this case customer wants to pay in THB - either as an advance payment or balance for a current invoice. The EUR&gt;THB rate for the customer is calculated with a fixed 2% fee markup
The rate from the partner is THB&gt;USDT (partner fee comparison should show that the partner rate is below 1.5%), so NPL's margin will be min 0.5%.
Once the THB is paid by customer (cash), Partner converts it to USDT. This USDT is then used to pay the vendors as per the share of invoices. Vendors provide the USDT equivalent for the EUR amount due as per market rates.</t>
        </is>
      </c>
      <c r="AI36" s="3" t="inlineStr"/>
    </row>
    <row r="37" ht="60" customHeight="1">
      <c r="A37" s="3" t="n">
        <v>36</v>
      </c>
      <c r="B37" s="3" t="n">
        <v>38</v>
      </c>
      <c r="C37" s="10" t="inlineStr">
        <is>
          <t>Bala Remittance Collection for Game Reseller</t>
        </is>
      </c>
      <c r="D37" s="3" t="inlineStr">
        <is>
          <t>7 NPL own wallet</t>
        </is>
      </c>
      <c r="E37" s="10" t="inlineStr">
        <is>
          <t xml:space="preserve">Customer Collection:
EUR&gt;&gt;USDT
Market Rate: 1.14731528223956 (1 ÷ 0.8716)
Fee: 2%
Final Rate: 1.17026158788435
EUR 2,220 x 1.17026158788435 = USDT 2,597.98
--- Round-up to USDT 2,600
Vendor Payment:
EZ-EVO (Samino):
EUR&gt;&gt;USDT
Market Rate: 1.140965082766247
EUR 1,358.98 x 1.140965082766247 = USDT 1,550.55
</t>
        </is>
      </c>
      <c r="F37" s="11" t="inlineStr"/>
      <c r="G37" s="11" t="inlineStr"/>
      <c r="H37" s="11" t="inlineStr"/>
      <c r="I37" s="11" t="inlineStr"/>
      <c r="J37" s="11" t="inlineStr"/>
      <c r="K37" s="10" t="inlineStr">
        <is>
          <t>LT Sub (Aquanow)</t>
        </is>
      </c>
      <c r="L37" s="10" t="inlineStr">
        <is>
          <t>NPL's own wallet (needs a system change)</t>
        </is>
      </c>
      <c r="M37" s="10" t="inlineStr">
        <is>
          <t>USDT → EUR</t>
        </is>
      </c>
      <c r="N37" s="11" t="inlineStr"/>
      <c r="O37" s="11" t="inlineStr"/>
      <c r="P37" s="10" t="inlineStr">
        <is>
          <t>fixed</t>
        </is>
      </c>
      <c r="Q37" s="12" t="n">
        <v>0.02</v>
      </c>
      <c r="R37" s="12" t="n">
        <v>0.02</v>
      </c>
      <c r="S37" s="12" t="n">
        <v>0</v>
      </c>
      <c r="T37" s="11" t="inlineStr"/>
      <c r="U37" s="11" t="inlineStr"/>
      <c r="V37" s="11" t="inlineStr"/>
      <c r="W37" s="11" t="inlineStr"/>
      <c r="X37" s="12" t="n">
        <v>0</v>
      </c>
      <c r="Y37" s="12" t="n">
        <v>0.02</v>
      </c>
      <c r="Z37" s="10" t="inlineStr">
        <is>
          <t>NPL's own wallet</t>
        </is>
      </c>
      <c r="AA37" s="11" t="inlineStr"/>
      <c r="AB37" s="11" t="inlineStr"/>
      <c r="AC37" s="11" t="inlineStr"/>
      <c r="AD37" s="11" t="inlineStr"/>
      <c r="AE37" s="11" t="inlineStr"/>
      <c r="AF37" s="11" t="inlineStr"/>
      <c r="AG37" s="11" t="inlineStr"/>
      <c r="AH37" s="10" t="inlineStr">
        <is>
          <t xml:space="preserve">For Game reseller projects, the EUR invoices from vendors are marked up by NPL-Reseller and a higher value invoice is issued to customers. 
Customer needs to pay an EUR invoice value (in this case customer wants to pay in USDT. NPL offers the EUR &gt;&gt; USDT plus its markup. Customer sends USDT to NPL. This USDT is then used to pay the vendors as per the share of invoices. Vendors provide the USDT equivalent for the EUR amount due as per market rates. </t>
        </is>
      </c>
      <c r="AI37" s="3" t="inlineStr"/>
    </row>
    <row r="38" ht="60" customHeight="1">
      <c r="A38" s="3" t="n">
        <v>37</v>
      </c>
      <c r="B38" s="3" t="n">
        <v>39</v>
      </c>
      <c r="C38" s="10" t="inlineStr">
        <is>
          <t>Fair Remittance Collection for Game Reseller</t>
        </is>
      </c>
      <c r="D38" s="3" t="inlineStr">
        <is>
          <t>7 NPL own wallet</t>
        </is>
      </c>
      <c r="E38" s="10" t="inlineStr">
        <is>
          <t>Customer Collection:
Market Rate: 1.15713955102985 (1/0.8642)
Fee: 0.75%
Final Rate: 1.16581809766258
EUR 1,079 x 1.16581809766258 = USDT 1,257.92
--- Rounded off to USDT 1,258
Vendor Payment:
EZ-EVO (Samino):
USDT&gt;&gt;EUR
Market Rate: 1.154934460230491
EUR 697.99 x 1.154934460230491 = USDT 806.13</t>
        </is>
      </c>
      <c r="F38" s="11" t="inlineStr"/>
      <c r="G38" s="11" t="inlineStr"/>
      <c r="H38" s="11" t="inlineStr"/>
      <c r="I38" s="11" t="inlineStr"/>
      <c r="J38" s="11" t="inlineStr"/>
      <c r="K38" s="10" t="inlineStr">
        <is>
          <t>LT Sub (Aquanow)</t>
        </is>
      </c>
      <c r="L38" s="10" t="inlineStr">
        <is>
          <t>NPL's own wallet (needs a system change)</t>
        </is>
      </c>
      <c r="M38" s="10" t="inlineStr">
        <is>
          <t>USDT → EUR</t>
        </is>
      </c>
      <c r="N38" s="11" t="inlineStr"/>
      <c r="O38" s="11" t="inlineStr"/>
      <c r="P38" s="10" t="inlineStr">
        <is>
          <t>fixed</t>
        </is>
      </c>
      <c r="Q38" s="12" t="n">
        <v>0.0075</v>
      </c>
      <c r="R38" s="12" t="n">
        <v>0.0075</v>
      </c>
      <c r="S38" s="12" t="n">
        <v>0</v>
      </c>
      <c r="T38" s="11" t="inlineStr"/>
      <c r="U38" s="11" t="inlineStr"/>
      <c r="V38" s="11" t="inlineStr"/>
      <c r="W38" s="11" t="inlineStr"/>
      <c r="X38" s="12" t="n">
        <v>0</v>
      </c>
      <c r="Y38" s="12" t="n">
        <v>0.0075</v>
      </c>
      <c r="Z38" s="10" t="inlineStr">
        <is>
          <t>NPL's own wallet</t>
        </is>
      </c>
      <c r="AA38" s="11" t="inlineStr"/>
      <c r="AB38" s="11" t="inlineStr"/>
      <c r="AC38" s="11" t="inlineStr"/>
      <c r="AD38" s="11" t="inlineStr"/>
      <c r="AE38" s="11" t="inlineStr"/>
      <c r="AF38" s="11" t="inlineStr"/>
      <c r="AG38" s="11" t="inlineStr"/>
      <c r="AH38" s="10" t="inlineStr">
        <is>
          <t xml:space="preserve">For Game reseller projects, the EUR invoices from vendors are marked up by NPL-Reseller and a higher value invoice is issued to customers. 
Customer needs to pay an EUR invoice value (in this case customer wants to pay in USDT. NPL offers the EUR &gt;&gt; USDT plus its markup. Customer sends USDT to NPL. This USDT is then used to pay the vendors as per the share of invoices. Vendors provide the USDT equivalent for the EUR amount due as per market rates. </t>
        </is>
      </c>
      <c r="AI38" s="3" t="inlineStr"/>
    </row>
    <row r="39" ht="60" customHeight="1">
      <c r="A39" s="3" t="n">
        <v>38</v>
      </c>
      <c r="B39" s="3" t="n">
        <v>40</v>
      </c>
      <c r="C39" s="10" t="inlineStr">
        <is>
          <t>66 Group Remittance Collection for Game Reseller</t>
        </is>
      </c>
      <c r="D39" s="3" t="inlineStr">
        <is>
          <t>7 NPL own wallet</t>
        </is>
      </c>
      <c r="E39" s="10" t="inlineStr">
        <is>
          <t>Customer Collection:
Market Rate: 1.1368804 (1/0.8796)
Fee: 1.50%
Final Rate: 1.15393361
EUR 239,149 x 1.15393361 = USDT 275,962.07
--- Rounded off to USDT 275,962
Vendor Payment:
Marbles:
EUR&gt;&gt;USDT
Market Rate: 1.148038054369771
Fee: 1%
Final Rate: 1.159518434913469
EUR 53.16 x 1.159518434913469 = USDT 61.64
Mitratech (QT):
Market Rate: 1.137541599423579
EUR 19,126.04 x 1.137541599423579 = USDT 21,756.67
EZ-EVO (Samino):
EUR&gt;&gt;USDT
Market Rate: 1.134950126147394
EUR 175,789.33 x 1.134950126147394 = USDT 199,512.12</t>
        </is>
      </c>
      <c r="F39" s="11" t="inlineStr"/>
      <c r="G39" s="11" t="inlineStr"/>
      <c r="H39" s="11" t="inlineStr"/>
      <c r="I39" s="11" t="inlineStr"/>
      <c r="J39" s="11" t="inlineStr"/>
      <c r="K39" s="10" t="inlineStr">
        <is>
          <t>LT Sub (Aquanow)</t>
        </is>
      </c>
      <c r="L39" s="10" t="inlineStr">
        <is>
          <t>NPL's own wallet (needs a system change)</t>
        </is>
      </c>
      <c r="M39" s="10" t="inlineStr">
        <is>
          <t>USDT → EUR</t>
        </is>
      </c>
      <c r="N39" s="11" t="inlineStr"/>
      <c r="O39" s="11" t="inlineStr"/>
      <c r="P39" s="10" t="inlineStr">
        <is>
          <t>fixed</t>
        </is>
      </c>
      <c r="Q39" s="12" t="n">
        <v>0.015</v>
      </c>
      <c r="R39" s="12" t="n">
        <v>0.015</v>
      </c>
      <c r="S39" s="12" t="n">
        <v>0</v>
      </c>
      <c r="T39" s="11" t="inlineStr"/>
      <c r="U39" s="11" t="inlineStr"/>
      <c r="V39" s="11" t="inlineStr"/>
      <c r="W39" s="11" t="inlineStr"/>
      <c r="X39" s="12" t="n">
        <v>0</v>
      </c>
      <c r="Y39" s="12" t="n">
        <v>0.015</v>
      </c>
      <c r="Z39" s="10" t="inlineStr">
        <is>
          <t>NPL's own wallet</t>
        </is>
      </c>
      <c r="AA39" s="11" t="inlineStr"/>
      <c r="AB39" s="11" t="inlineStr"/>
      <c r="AC39" s="11" t="inlineStr"/>
      <c r="AD39" s="11" t="inlineStr"/>
      <c r="AE39" s="11" t="inlineStr"/>
      <c r="AF39" s="11" t="inlineStr"/>
      <c r="AG39" s="11" t="inlineStr"/>
      <c r="AH39" s="10" t="inlineStr">
        <is>
          <t xml:space="preserve">For Game reseller projects, the EUR invoices from vendors are marked up by NPL-Reseller and a higher value invoice is issued to customers. 
Customer needs to pay an EUR invoice value (in this case customer wants to pay in USDT. NPL offers the EUR &gt;&gt; USDT plus its markup. Customer sends USDT to NPL. This USDT is then used to pay the vendors as per the share of invoices. Vendors provide the USDT equivalent for the EUR amount due as per market rates. </t>
        </is>
      </c>
      <c r="AI39" s="3" t="inlineStr"/>
    </row>
    <row r="40" ht="60" customHeight="1">
      <c r="A40" s="3" t="n">
        <v>39</v>
      </c>
      <c r="B40" s="3" t="n">
        <v>41</v>
      </c>
      <c r="C40" s="10" t="inlineStr">
        <is>
          <t>TripleSeven/GZ Remittance Collection for Game Reseller</t>
        </is>
      </c>
      <c r="D40" s="3" t="inlineStr">
        <is>
          <t>7 NPL own wallet</t>
        </is>
      </c>
      <c r="E40" s="10" t="inlineStr">
        <is>
          <t>Customer Collection:
Market Rate: 1.163061177 (1 ÷ 0.8598)
Fee: 1.50%
Final Rate: 1.18050709467318
EUR 4,097 x 1.18050709467318 = USDT 4,837
Vendor Payment:
Mitratech (QT):
EUR&gt;&gt;USDT
Market Rate: 1.137541599423579
EUR 3,403.10 x 1.137541599423579 = USDT 3,871.17</t>
        </is>
      </c>
      <c r="F40" s="11" t="inlineStr"/>
      <c r="G40" s="11" t="inlineStr"/>
      <c r="H40" s="11" t="inlineStr"/>
      <c r="I40" s="11" t="inlineStr"/>
      <c r="J40" s="11" t="inlineStr"/>
      <c r="K40" s="10" t="inlineStr">
        <is>
          <t>LT Sub (Aquanow)</t>
        </is>
      </c>
      <c r="L40" s="10" t="inlineStr">
        <is>
          <t>NPL's own wallet (needs a system change)</t>
        </is>
      </c>
      <c r="M40" s="10" t="inlineStr">
        <is>
          <t>USDT → EUR</t>
        </is>
      </c>
      <c r="N40" s="11" t="inlineStr"/>
      <c r="O40" s="11" t="inlineStr"/>
      <c r="P40" s="10" t="inlineStr">
        <is>
          <t>fixed</t>
        </is>
      </c>
      <c r="Q40" s="12" t="n">
        <v>0.015</v>
      </c>
      <c r="R40" s="12" t="n">
        <v>0.015</v>
      </c>
      <c r="S40" s="12" t="n">
        <v>0</v>
      </c>
      <c r="T40" s="11" t="inlineStr"/>
      <c r="U40" s="11" t="inlineStr"/>
      <c r="V40" s="11" t="inlineStr"/>
      <c r="W40" s="11" t="inlineStr"/>
      <c r="X40" s="12" t="n">
        <v>0</v>
      </c>
      <c r="Y40" s="12" t="n">
        <v>0.015</v>
      </c>
      <c r="Z40" s="10" t="inlineStr">
        <is>
          <t>NPL's own wallet</t>
        </is>
      </c>
      <c r="AA40" s="11" t="inlineStr"/>
      <c r="AB40" s="11" t="inlineStr"/>
      <c r="AC40" s="11" t="inlineStr"/>
      <c r="AD40" s="11" t="inlineStr"/>
      <c r="AE40" s="11" t="inlineStr"/>
      <c r="AF40" s="11" t="inlineStr"/>
      <c r="AG40" s="11" t="inlineStr"/>
      <c r="AH40" s="10" t="inlineStr">
        <is>
          <t xml:space="preserve">For Game reseller projects, the EUR invoices from vendors are marked up by NPL-Reseller and a higher value invoice is issued to customers. 
Customer needs to pay an EUR invoice value (in this case customer wants to pay in USDT. NPL offers the EUR &gt;&gt; USDT plus its markup. Customer sends USDT to NPL. This USDT is then used to pay the vendors as per the share of invoices. Vendors provide the USDT equivalent for the EUR amount due as per market rates. </t>
        </is>
      </c>
      <c r="AI40" s="3" t="inlineStr"/>
    </row>
    <row r="41" ht="60" customHeight="1">
      <c r="A41" s="3" t="n">
        <v>40</v>
      </c>
      <c r="B41" s="3" t="n">
        <v>42</v>
      </c>
      <c r="C41" s="10" t="inlineStr">
        <is>
          <t>Alpha Plus Remittance Collection for Game Reseller</t>
        </is>
      </c>
      <c r="D41" s="3" t="inlineStr">
        <is>
          <t>7 NPL own wallet</t>
        </is>
      </c>
      <c r="E41" s="10" t="inlineStr">
        <is>
          <t>Customer Collection:
Market Rate: 1.14784206 (1/0.8712)
Fee: 1.50%
Final Rate: 1.16505969
EUR 2,939 x 1.16505969 = USDT 3,424.11
--- Rounded off to USDT 3,424
Vendor Payment:
Mitratech (QT):
EUR&gt;&gt;USDT
Market Rate: 1.137541599423579
EUR 2,299.93 x 1.137541599423579 = USDT 2,616.27</t>
        </is>
      </c>
      <c r="F41" s="11" t="inlineStr"/>
      <c r="G41" s="11" t="inlineStr"/>
      <c r="H41" s="11" t="inlineStr"/>
      <c r="I41" s="11" t="inlineStr"/>
      <c r="J41" s="11" t="inlineStr"/>
      <c r="K41" s="10" t="inlineStr">
        <is>
          <t>LT Sub (Aquanow)</t>
        </is>
      </c>
      <c r="L41" s="10" t="inlineStr">
        <is>
          <t>NPL's own wallet (needs a system change)</t>
        </is>
      </c>
      <c r="M41" s="10" t="inlineStr">
        <is>
          <t>USDT → EUR</t>
        </is>
      </c>
      <c r="N41" s="11" t="inlineStr"/>
      <c r="O41" s="11" t="inlineStr"/>
      <c r="P41" s="10" t="inlineStr">
        <is>
          <t>fixed</t>
        </is>
      </c>
      <c r="Q41" s="12" t="n">
        <v>0.015</v>
      </c>
      <c r="R41" s="12" t="n">
        <v>0.015</v>
      </c>
      <c r="S41" s="12" t="n">
        <v>0</v>
      </c>
      <c r="T41" s="11" t="inlineStr"/>
      <c r="U41" s="11" t="inlineStr"/>
      <c r="V41" s="11" t="inlineStr"/>
      <c r="W41" s="11" t="inlineStr"/>
      <c r="X41" s="12" t="n">
        <v>0</v>
      </c>
      <c r="Y41" s="12" t="n">
        <v>0.015</v>
      </c>
      <c r="Z41" s="10" t="inlineStr">
        <is>
          <t>NPL's own wallet</t>
        </is>
      </c>
      <c r="AA41" s="11" t="inlineStr"/>
      <c r="AB41" s="11" t="inlineStr"/>
      <c r="AC41" s="11" t="inlineStr"/>
      <c r="AD41" s="11" t="inlineStr"/>
      <c r="AE41" s="11" t="inlineStr"/>
      <c r="AF41" s="11" t="inlineStr"/>
      <c r="AG41" s="11" t="inlineStr"/>
      <c r="AH41" s="10" t="inlineStr">
        <is>
          <t xml:space="preserve">For Game reseller projects, the EUR invoices from vendors are marked up by NPL-Reseller and a higher value invoice is issued to customers. 
Customer needs to pay an EUR invoice value (in this case customer wants to pay in USDT. NPL offers the EUR &gt;&gt; USDT plus its markup. Customer sends USDT to NPL. This USDT is then used to pay the vendors as per the share of invoices. Vendors provide the USDT equivalent for the EUR amount due as per market rates. </t>
        </is>
      </c>
      <c r="AI41" s="3" t="inlineStr"/>
    </row>
    <row r="42" ht="60" customHeight="1">
      <c r="A42" s="3" t="n">
        <v>41</v>
      </c>
      <c r="B42" s="3" t="n">
        <v>43</v>
      </c>
      <c r="C42" s="10" t="inlineStr">
        <is>
          <t>Remit YN</t>
        </is>
      </c>
      <c r="D42" s="3" t="inlineStr">
        <is>
          <t>4 Fee per deal</t>
        </is>
      </c>
      <c r="E42" s="10" t="inlineStr">
        <is>
          <t>GBP 21,216 = USDT 28,591</t>
        </is>
      </c>
      <c r="F42" s="11" t="inlineStr"/>
      <c r="G42" s="11" t="inlineStr"/>
      <c r="H42" s="11" t="inlineStr"/>
      <c r="I42" s="11" t="inlineStr"/>
      <c r="J42" s="11" t="inlineStr"/>
      <c r="K42" s="10" t="inlineStr">
        <is>
          <t>Ali</t>
        </is>
      </c>
      <c r="L42" s="10" t="inlineStr">
        <is>
          <t>fee inside its rate</t>
        </is>
      </c>
      <c r="M42" s="10" t="inlineStr">
        <is>
          <t>USDT → GBP; USDT → EUR; USDT → USD</t>
        </is>
      </c>
      <c r="N42" s="11" t="inlineStr"/>
      <c r="O42" s="11" t="inlineStr"/>
      <c r="P42" s="10" t="inlineStr">
        <is>
          <t>set per deal</t>
        </is>
      </c>
      <c r="Q42" s="12" t="n">
        <v>0.005</v>
      </c>
      <c r="R42" s="12" t="n">
        <v>0.005</v>
      </c>
      <c r="S42" s="12" t="n">
        <v>0</v>
      </c>
      <c r="T42" s="11" t="inlineStr"/>
      <c r="U42" s="11" t="inlineStr"/>
      <c r="V42" s="11" t="inlineStr"/>
      <c r="W42" s="11" t="inlineStr"/>
      <c r="X42" s="12" t="n">
        <v>0.0083</v>
      </c>
      <c r="Y42" s="12" t="n">
        <v>0.005</v>
      </c>
      <c r="Z42" s="10" t="inlineStr">
        <is>
          <t>kept for NPL at the partner</t>
        </is>
      </c>
      <c r="AA42" s="11" t="inlineStr"/>
      <c r="AB42" s="11" t="inlineStr"/>
      <c r="AC42" s="11" t="inlineStr"/>
      <c r="AD42" s="11" t="inlineStr"/>
      <c r="AE42" s="11" t="inlineStr"/>
      <c r="AF42" s="11" t="inlineStr"/>
      <c r="AG42" s="11" t="inlineStr"/>
      <c r="AH42" s="10" t="inlineStr">
        <is>
          <t>Fee is not fixed and changes every transaction, but on average it is 1.84%</t>
        </is>
      </c>
      <c r="AI42" s="3" t="inlineStr">
        <is>
          <t>who decides the fee for each deal, and between which lowest and highest markup</t>
        </is>
      </c>
    </row>
    <row r="43" ht="60" customHeight="1">
      <c r="A43" s="3" t="n">
        <v>42</v>
      </c>
      <c r="B43" s="3" t="n">
        <v>44</v>
      </c>
      <c r="C43" s="10" t="inlineStr">
        <is>
          <t>Remittance Peru</t>
        </is>
      </c>
      <c r="D43" s="3" t="inlineStr">
        <is>
          <t>4 Fee per deal</t>
        </is>
      </c>
      <c r="E43" s="10" t="inlineStr">
        <is>
          <t>USD 299,350 - 4% = USDT 287,376</t>
        </is>
      </c>
      <c r="F43" s="11" t="inlineStr"/>
      <c r="G43" s="11" t="inlineStr"/>
      <c r="H43" s="11" t="inlineStr"/>
      <c r="I43" s="11" t="inlineStr"/>
      <c r="J43" s="11" t="inlineStr"/>
      <c r="K43" s="10" t="inlineStr">
        <is>
          <t>Ali</t>
        </is>
      </c>
      <c r="L43" s="10" t="inlineStr">
        <is>
          <t>fee inside its rate</t>
        </is>
      </c>
      <c r="M43" s="10" t="inlineStr">
        <is>
          <t>USD&gt;USDT</t>
        </is>
      </c>
      <c r="N43" s="11" t="inlineStr"/>
      <c r="O43" s="11" t="inlineStr"/>
      <c r="P43" s="10" t="inlineStr">
        <is>
          <t>fixed</t>
        </is>
      </c>
      <c r="Q43" s="12" t="n">
        <v>0.04</v>
      </c>
      <c r="R43" s="12" t="n">
        <v>0.04</v>
      </c>
      <c r="S43" s="12" t="n">
        <v>0</v>
      </c>
      <c r="T43" s="11" t="inlineStr"/>
      <c r="U43" s="11" t="inlineStr"/>
      <c r="V43" s="11" t="inlineStr"/>
      <c r="W43" s="11" t="inlineStr"/>
      <c r="X43" s="12" t="n">
        <v>0.03</v>
      </c>
      <c r="Y43" s="12" t="n">
        <v>0.01</v>
      </c>
      <c r="Z43" s="10" t="inlineStr">
        <is>
          <t>kept for NPL at the partner</t>
        </is>
      </c>
      <c r="AA43" s="11" t="inlineStr"/>
      <c r="AB43" s="11" t="inlineStr"/>
      <c r="AC43" s="11" t="inlineStr"/>
      <c r="AD43" s="11" t="inlineStr"/>
      <c r="AE43" s="11" t="inlineStr"/>
      <c r="AF43" s="11" t="inlineStr"/>
      <c r="AG43" s="11" t="inlineStr"/>
      <c r="AH43" s="10" t="inlineStr">
        <is>
          <t>Fixed Fee</t>
        </is>
      </c>
      <c r="AI43" s="3" t="inlineStr"/>
    </row>
    <row r="44" ht="60" customHeight="1">
      <c r="A44" s="3" t="n">
        <v>43</v>
      </c>
      <c r="B44" s="3" t="n">
        <v>45</v>
      </c>
      <c r="C44" s="10" t="inlineStr">
        <is>
          <t>Ad Hoc INR Cash</t>
        </is>
      </c>
      <c r="D44" s="3" t="inlineStr">
        <is>
          <t>10 Cash collection</t>
        </is>
      </c>
      <c r="E44" s="10" t="inlineStr">
        <is>
          <t>INR 8,500,000 / 79.52918721</t>
        </is>
      </c>
      <c r="F44" s="11" t="inlineStr"/>
      <c r="G44" s="11" t="inlineStr"/>
      <c r="H44" s="11" t="inlineStr"/>
      <c r="I44" s="11" t="inlineStr"/>
      <c r="J44" s="11" t="inlineStr"/>
      <c r="K44" s="10" t="inlineStr">
        <is>
          <t>Ali</t>
        </is>
      </c>
      <c r="L44" s="10" t="inlineStr">
        <is>
          <t>fee inside its rate</t>
        </is>
      </c>
      <c r="M44" s="10" t="inlineStr">
        <is>
          <t>INR → USD; INR → SGD; INR → USDT</t>
        </is>
      </c>
      <c r="N44" s="11" t="inlineStr"/>
      <c r="O44" s="11" t="inlineStr"/>
      <c r="P44" s="10" t="inlineStr">
        <is>
          <t>fixed</t>
        </is>
      </c>
      <c r="Q44" s="12" t="n">
        <v>0.005</v>
      </c>
      <c r="R44" s="12" t="n">
        <v>0.005</v>
      </c>
      <c r="S44" s="12" t="n">
        <v>0</v>
      </c>
      <c r="T44" s="11" t="inlineStr"/>
      <c r="U44" s="11" t="inlineStr"/>
      <c r="V44" s="11" t="inlineStr"/>
      <c r="W44" s="11" t="inlineStr"/>
      <c r="X44" s="12" t="n">
        <v>0.055</v>
      </c>
      <c r="Y44" s="12" t="n">
        <v>0</v>
      </c>
      <c r="Z44" s="10" t="inlineStr">
        <is>
          <t>kept for NPL at the partner</t>
        </is>
      </c>
      <c r="AA44" s="11" t="inlineStr"/>
      <c r="AB44" s="11" t="inlineStr"/>
      <c r="AC44" s="11" t="inlineStr"/>
      <c r="AD44" s="11" t="inlineStr"/>
      <c r="AE44" s="11" t="inlineStr"/>
      <c r="AF44" s="11" t="inlineStr"/>
      <c r="AG44" s="11" t="inlineStr"/>
      <c r="AH44" s="3" t="inlineStr"/>
      <c r="AI44" s="3" t="inlineStr"/>
    </row>
    <row r="45" ht="60" customHeight="1">
      <c r="A45" s="3" t="n">
        <v>44</v>
      </c>
      <c r="B45" s="3" t="n">
        <v>46</v>
      </c>
      <c r="C45" s="10" t="inlineStr">
        <is>
          <t>AK collections (INR)</t>
        </is>
      </c>
      <c r="D45" s="3" t="inlineStr">
        <is>
          <t>11 No-fee internal</t>
        </is>
      </c>
      <c r="E45" s="10" t="inlineStr">
        <is>
          <t>INR 8,735,000 / 100.80</t>
        </is>
      </c>
      <c r="F45" s="11" t="inlineStr"/>
      <c r="G45" s="11" t="inlineStr"/>
      <c r="H45" s="11" t="inlineStr"/>
      <c r="I45" s="11" t="inlineStr"/>
      <c r="J45" s="11" t="inlineStr"/>
      <c r="K45" s="10" t="inlineStr">
        <is>
          <t>Ali</t>
        </is>
      </c>
      <c r="L45" s="10" t="inlineStr">
        <is>
          <t>fee inside its rate</t>
        </is>
      </c>
      <c r="M45" s="10" t="inlineStr">
        <is>
          <t>INR → USD</t>
        </is>
      </c>
      <c r="N45" s="11" t="inlineStr"/>
      <c r="O45" s="11" t="inlineStr"/>
      <c r="P45" s="10" t="inlineStr">
        <is>
          <t>fixed</t>
        </is>
      </c>
      <c r="Q45" s="12" t="n">
        <v>0</v>
      </c>
      <c r="R45" s="12" t="n">
        <v>0</v>
      </c>
      <c r="S45" s="12" t="n">
        <v>0</v>
      </c>
      <c r="T45" s="11" t="inlineStr"/>
      <c r="U45" s="11" t="inlineStr"/>
      <c r="V45" s="11" t="inlineStr"/>
      <c r="W45" s="11" t="inlineStr"/>
      <c r="X45" s="12" t="n">
        <v>0.055</v>
      </c>
      <c r="Y45" s="12" t="n">
        <v>0</v>
      </c>
      <c r="Z45" s="10" t="inlineStr">
        <is>
          <t>kept for NPL at the partner</t>
        </is>
      </c>
      <c r="AA45" s="11" t="inlineStr"/>
      <c r="AB45" s="11" t="inlineStr"/>
      <c r="AC45" s="11" t="inlineStr"/>
      <c r="AD45" s="11" t="inlineStr"/>
      <c r="AE45" s="11" t="inlineStr"/>
      <c r="AF45" s="11" t="inlineStr"/>
      <c r="AG45" s="11" t="inlineStr"/>
      <c r="AH45" s="10" t="inlineStr">
        <is>
          <t>Internal stakeholder collection</t>
        </is>
      </c>
      <c r="AI45" s="3" t="inlineStr"/>
    </row>
    <row r="46" ht="60" customHeight="1">
      <c r="A46" s="3" t="n">
        <v>45</v>
      </c>
      <c r="B46" s="3" t="n">
        <v>47</v>
      </c>
      <c r="C46" s="10" t="inlineStr">
        <is>
          <t>AK collections (USDT)</t>
        </is>
      </c>
      <c r="D46" s="3" t="inlineStr">
        <is>
          <t>11 No-fee internal</t>
        </is>
      </c>
      <c r="E46" s="10" t="inlineStr">
        <is>
          <t>USDT 10,000 * 0.996</t>
        </is>
      </c>
      <c r="F46" s="11" t="inlineStr"/>
      <c r="G46" s="11" t="inlineStr"/>
      <c r="H46" s="11" t="inlineStr"/>
      <c r="I46" s="11" t="inlineStr"/>
      <c r="J46" s="11" t="inlineStr"/>
      <c r="K46" s="10" t="inlineStr">
        <is>
          <t>Ali</t>
        </is>
      </c>
      <c r="L46" s="10" t="inlineStr">
        <is>
          <t>fee inside its rate</t>
        </is>
      </c>
      <c r="M46" s="10" t="inlineStr">
        <is>
          <t>USDT → USD; USDT → SGD</t>
        </is>
      </c>
      <c r="N46" s="11" t="inlineStr"/>
      <c r="O46" s="11" t="inlineStr"/>
      <c r="P46" s="10" t="inlineStr">
        <is>
          <t>fixed</t>
        </is>
      </c>
      <c r="Q46" s="12" t="n">
        <v>0</v>
      </c>
      <c r="R46" s="12" t="n">
        <v>0</v>
      </c>
      <c r="S46" s="12" t="n">
        <v>0</v>
      </c>
      <c r="T46" s="11" t="inlineStr"/>
      <c r="U46" s="11" t="inlineStr"/>
      <c r="V46" s="11" t="inlineStr"/>
      <c r="W46" s="11" t="inlineStr"/>
      <c r="X46" s="12" t="n">
        <v>0.004</v>
      </c>
      <c r="Y46" s="12" t="n">
        <v>0</v>
      </c>
      <c r="Z46" s="10" t="inlineStr">
        <is>
          <t>kept for NPL at the partner</t>
        </is>
      </c>
      <c r="AA46" s="11" t="inlineStr"/>
      <c r="AB46" s="11" t="inlineStr"/>
      <c r="AC46" s="11" t="inlineStr"/>
      <c r="AD46" s="11" t="inlineStr"/>
      <c r="AE46" s="11" t="inlineStr"/>
      <c r="AF46" s="11" t="inlineStr"/>
      <c r="AG46" s="11" t="inlineStr"/>
      <c r="AH46" s="10" t="inlineStr">
        <is>
          <t>Internal stakeholder collection</t>
        </is>
      </c>
      <c r="AI4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1 Market minus fee — Fee taken off the market rate; the partner pays NPL its share back monthly</t>
        </is>
      </c>
    </row>
    <row r="2">
      <c r="A2" s="13" t="inlineStr">
        <is>
          <t>Example taken from your sheet, rows</t>
        </is>
      </c>
      <c r="B2" s="14" t="inlineStr">
        <is>
          <t>3, 6, 8, 9, 10, 13, 17, 4, 11, 18, 20</t>
        </is>
      </c>
    </row>
    <row r="4">
      <c r="A4" s="15" t="inlineStr">
        <is>
          <t>A · The set-up for this kind of deal</t>
        </is>
      </c>
    </row>
    <row r="5">
      <c r="A5" s="16" t="inlineStr">
        <is>
          <t>Item</t>
        </is>
      </c>
      <c r="B5" s="16" t="inlineStr">
        <is>
          <t>Value</t>
        </is>
      </c>
      <c r="C5" s="16" t="inlineStr">
        <is>
          <t>Where it comes from</t>
        </is>
      </c>
      <c r="D5" s="16" t="inlineStr">
        <is>
          <t>Note</t>
        </is>
      </c>
    </row>
    <row r="6" ht="16" customHeight="1">
      <c r="A6" s="3" t="inlineStr">
        <is>
          <t>Client</t>
        </is>
      </c>
      <c r="B6" s="10" t="inlineStr">
        <is>
          <t>BF-Seven</t>
        </is>
      </c>
      <c r="C6" s="3" t="inlineStr">
        <is>
          <t>your sheet</t>
        </is>
      </c>
      <c r="D6" s="17" t="inlineStr">
        <is>
          <t>One set-up per client.</t>
        </is>
      </c>
    </row>
    <row r="7" ht="42" customHeight="1">
      <c r="A7" s="3" t="inlineStr">
        <is>
          <t>Who sends the money</t>
        </is>
      </c>
      <c r="B7" s="10" t="inlineStr">
        <is>
          <t>Seven</t>
        </is>
      </c>
      <c r="C7" s="3" t="inlineStr">
        <is>
          <t>your answer (8 Oct)</t>
        </is>
      </c>
      <c r="D7" s="17" t="inlineStr">
        <is>
          <t>The sender(s). Each must be on the list of who may pay this client's receivers.</t>
        </is>
      </c>
    </row>
    <row r="8" ht="42" customHeight="1">
      <c r="A8" s="3" t="inlineStr">
        <is>
          <t>Who gets paid</t>
        </is>
      </c>
      <c r="B8" s="10" t="inlineStr">
        <is>
          <t>BF (its 'Sporting Exchange' receiving account)</t>
        </is>
      </c>
      <c r="C8" s="3" t="inlineStr">
        <is>
          <t>your answer (8 Oct)</t>
        </is>
      </c>
      <c r="D8" s="17" t="inlineStr">
        <is>
          <t>The receiver, or the vendor. A refund goes back to the sender's own account.</t>
        </is>
      </c>
    </row>
    <row r="9" ht="54" customHeight="1">
      <c r="A9" s="3" t="inlineStr">
        <is>
          <t>Their account</t>
        </is>
      </c>
      <c r="B9" s="10" t="inlineStr">
        <is>
          <t>EUR via SWIFT</t>
        </is>
      </c>
      <c r="C9" s="3" t="inlineStr">
        <is>
          <t>your answer (8 Oct)</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crypto</t>
        </is>
      </c>
      <c r="C10" s="3" t="inlineStr">
        <is>
          <t>your sheet</t>
        </is>
      </c>
      <c r="D10" s="17" t="inlineStr">
        <is>
          <t>crypto, bank transfer, cash, or a one-time local bank deposit.</t>
        </is>
      </c>
    </row>
    <row r="11" ht="54" customHeight="1">
      <c r="A11" s="3" t="inlineStr">
        <is>
          <t>Where it comes in</t>
        </is>
      </c>
      <c r="B11" s="10" t="inlineStr">
        <is>
          <t>Jeton vehicle · wallet · TRC-20 or ERC-20 (both exist)</t>
        </is>
      </c>
      <c r="C11" s="3" t="inlineStr">
        <is>
          <t>your answer (8 Oct)</t>
        </is>
      </c>
      <c r="D11" s="17" t="inlineStr">
        <is>
          <t>Which partner company's wallet or bank account the sender pays into. It must be live, belong to that partner company, and be a wallet for crypto or a bank account for bank transfers.</t>
        </is>
      </c>
    </row>
    <row r="12" ht="16" customHeight="1">
      <c r="A12" s="3" t="inlineStr">
        <is>
          <t>Partner / agent</t>
        </is>
      </c>
      <c r="B12" s="10" t="inlineStr">
        <is>
          <t>Jeton</t>
        </is>
      </c>
      <c r="C12" s="3" t="inlineStr">
        <is>
          <t>your sheet</t>
        </is>
      </c>
      <c r="D12" s="17" t="inlineStr"/>
    </row>
    <row r="13" ht="54" customHeight="1">
      <c r="A13" s="3" t="inlineStr">
        <is>
          <t>How the partner prices</t>
        </is>
      </c>
      <c r="B13" s="10" t="inlineStr">
        <is>
          <t>fee on top of market</t>
        </is>
      </c>
      <c r="C13" s="3" t="inlineStr">
        <is>
          <t>your sheet</t>
        </is>
      </c>
      <c r="D13" s="17" t="inlineStr">
        <is>
          <t>'fee on top of market': the partner converts at market and states its fee separately. 'fee inside its rate': the partner's margin is built into the rate it gives.</t>
        </is>
      </c>
    </row>
    <row r="14" ht="16" customHeight="1">
      <c r="A14" s="3" t="inlineStr">
        <is>
          <t>Exchange pair</t>
        </is>
      </c>
      <c r="B14" s="10" t="inlineStr">
        <is>
          <t>USDT → EUR</t>
        </is>
      </c>
      <c r="C14" s="3" t="inlineStr">
        <is>
          <t>your sheet</t>
        </is>
      </c>
      <c r="D14" s="17" t="inlineStr">
        <is>
          <t>currency sent → currency paid out.</t>
        </is>
      </c>
    </row>
    <row r="15" ht="54" customHeight="1">
      <c r="A15" s="3" t="inlineStr">
        <is>
          <t>Fee taken how</t>
        </is>
      </c>
      <c r="B15" s="10" t="inlineStr">
        <is>
          <t>off the rate the sender gets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market rate</t>
        </is>
      </c>
      <c r="C16" s="3" t="inlineStr">
        <is>
          <t>your sheet</t>
        </is>
      </c>
      <c r="D16" s="17" t="inlineStr">
        <is>
          <t>the market rate, or the agent's rate.</t>
        </is>
      </c>
    </row>
    <row r="17" ht="42" customHeight="1">
      <c r="A17" s="3" t="inlineStr">
        <is>
          <t>Fee is</t>
        </is>
      </c>
      <c r="B17" s="10" t="inlineStr">
        <is>
          <t>fixed</t>
        </is>
      </c>
      <c r="C17" s="3" t="inlineStr">
        <is>
          <t>your sheet</t>
        </is>
      </c>
      <c r="D17" s="17" t="inlineStr">
        <is>
          <t>fixed, or decided per deal between a lowest and a highest markup.</t>
        </is>
      </c>
    </row>
    <row r="18" ht="16" customHeight="1">
      <c r="A18" s="3" t="inlineStr">
        <is>
          <t>Total fee %</t>
        </is>
      </c>
      <c r="B18" s="12" t="n">
        <v>0.01</v>
      </c>
      <c r="C18" s="3" t="inlineStr">
        <is>
          <t>your sheet</t>
        </is>
      </c>
      <c r="D18" s="17" t="inlineStr">
        <is>
          <t>sender's part + receiver's part.</t>
        </is>
      </c>
    </row>
    <row r="19" ht="16" customHeight="1">
      <c r="A19" s="3" t="inlineStr">
        <is>
          <t>Sender pays %</t>
        </is>
      </c>
      <c r="B19" s="12" t="n">
        <v>0.01</v>
      </c>
      <c r="C19" s="3" t="inlineStr">
        <is>
          <t>your sheet</t>
        </is>
      </c>
      <c r="D19" s="17" t="inlineStr"/>
    </row>
    <row r="20" ht="16" customHeight="1">
      <c r="A20" s="3" t="inlineStr">
        <is>
          <t>Receiver pays %</t>
        </is>
      </c>
      <c r="B20" s="12" t="n">
        <v>0</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2" t="n">
        <v>0.004</v>
      </c>
      <c r="C23" s="3" t="inlineStr">
        <is>
          <t>your answer (8 Oct)</t>
        </is>
      </c>
      <c r="D23" s="17" t="inlineStr">
        <is>
          <t>A quote that earns less needs Finance's approval.</t>
        </is>
      </c>
    </row>
    <row r="24" ht="42" customHeight="1">
      <c r="A24" s="3" t="inlineStr">
        <is>
          <t>Fee shown to the customer %</t>
        </is>
      </c>
      <c r="B24" s="11" t="inlineStr"/>
      <c r="C24" s="3" t="inlineStr">
        <is>
          <t>not needed here</t>
        </is>
      </c>
      <c r="D24" s="17" t="inlineStr">
        <is>
          <t>Only when the customer-facing calculation shows a different fee from the true total. Needs a system change.</t>
        </is>
      </c>
    </row>
    <row r="25" ht="54" customHeight="1">
      <c r="A25" s="3" t="inlineStr">
        <is>
          <t>How NPL's share reaches NPL</t>
        </is>
      </c>
      <c r="B25" s="10" t="inlineStr">
        <is>
          <t>paid back monthly</t>
        </is>
      </c>
      <c r="C25" s="3" t="inlineStr">
        <is>
          <t>your answer (8 Oct)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2" t="n">
        <v>0.4</v>
      </c>
      <c r="C26" s="3" t="inlineStr">
        <is>
          <t>worked out from your sheet</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drop the cents</t>
        </is>
      </c>
      <c r="C28" s="3" t="inlineStr">
        <is>
          <t>your sheet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Jeton (SWIFT)</t>
        </is>
      </c>
      <c r="C29" s="3" t="inlineStr">
        <is>
          <t>your answer (8 Oct)</t>
        </is>
      </c>
      <c r="D29" s="17" t="inlineStr">
        <is>
          <t>and the bank fee you expect on it</t>
        </is>
      </c>
    </row>
    <row r="30" ht="42" customHeight="1">
      <c r="A30" s="3" t="inlineStr">
        <is>
          <t>Name shown on the transfer</t>
        </is>
      </c>
      <c r="B30" s="10" t="inlineStr">
        <is>
          <t>Seven Investments N.V.</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3">
      <c r="A33" s="15" t="inlineStr">
        <is>
          <t>B · Worked calculation — the deal (change any value)</t>
        </is>
      </c>
    </row>
    <row r="34">
      <c r="A34" s="16" t="inlineStr">
        <is>
          <t>Item</t>
        </is>
      </c>
      <c r="B34" s="16" t="inlineStr"/>
      <c r="C34" s="16" t="inlineStr">
        <is>
          <t>Value</t>
        </is>
      </c>
      <c r="D34" s="16" t="inlineStr"/>
      <c r="E34" s="16" t="inlineStr">
        <is>
          <t>Meaning</t>
        </is>
      </c>
    </row>
    <row r="35" ht="16" customHeight="1">
      <c r="A35" s="3" t="inlineStr">
        <is>
          <t>Amount sent</t>
        </is>
      </c>
      <c r="C35" s="18" t="n">
        <v>661060</v>
      </c>
      <c r="E35" s="17" t="inlineStr">
        <is>
          <t>what the sender pays in, in the currency sent</t>
        </is>
      </c>
    </row>
    <row r="36" ht="16" customHeight="1">
      <c r="A36" s="3" t="inlineStr">
        <is>
          <t>Currency sent</t>
        </is>
      </c>
      <c r="C36" s="8" t="inlineStr">
        <is>
          <t>USDT</t>
        </is>
      </c>
      <c r="E36" s="17" t="inlineStr"/>
    </row>
    <row r="37" ht="16" customHeight="1">
      <c r="A37" s="3" t="inlineStr">
        <is>
          <t>Currency paid out</t>
        </is>
      </c>
      <c r="C37" s="8" t="inlineStr">
        <is>
          <t>EUR</t>
        </is>
      </c>
      <c r="E37" s="17" t="inlineStr"/>
    </row>
    <row r="38" ht="16" customHeight="1">
      <c r="A38" s="3" t="inlineStr">
        <is>
          <t>Partner (short name)</t>
        </is>
      </c>
      <c r="C38" s="8" t="inlineStr">
        <is>
          <t>JETON</t>
        </is>
      </c>
      <c r="E38" s="17" t="inlineStr">
        <is>
          <t>used in the bookkeeping entries below</t>
        </is>
      </c>
    </row>
    <row r="39" ht="16" customHeight="1">
      <c r="A39" s="3" t="inlineStr">
        <is>
          <t>Market rate</t>
        </is>
      </c>
      <c r="C39" s="19" t="n">
        <v>0.857097</v>
      </c>
      <c r="E39" s="17" t="inlineStr">
        <is>
          <t>units received per 1 unit sent, at the time of the quote</t>
        </is>
      </c>
    </row>
    <row r="40" ht="30" customHeight="1">
      <c r="A40" s="3" t="inlineStr">
        <is>
          <t>Agent rate (partners whose fee is inside the rate)</t>
        </is>
      </c>
      <c r="C40" s="20" t="inlineStr"/>
      <c r="E40" s="17" t="inlineStr">
        <is>
          <t>units received per 1 unit sent, as the partner offers it; leave blank for partners that state their fee separately. If the partner quotes the other way round (e.g. 1.1738), enter 1 ÷ that</t>
        </is>
      </c>
    </row>
    <row r="41" ht="30" customHeight="1">
      <c r="A41" s="3" t="inlineStr">
        <is>
          <t>Partner's fee on top of market</t>
        </is>
      </c>
      <c r="C41" s="21" t="n">
        <v>0.01</v>
      </c>
      <c r="E41" s="17" t="inlineStr">
        <is>
          <t>only for partners that state their fee separately; 0 otherwise</t>
        </is>
      </c>
    </row>
    <row r="42" ht="16" customHeight="1">
      <c r="A42" s="3" t="inlineStr">
        <is>
          <t>Total fee</t>
        </is>
      </c>
      <c r="C42" s="21" t="n">
        <v>0.01</v>
      </c>
      <c r="E42" s="17" t="inlineStr"/>
    </row>
    <row r="43" ht="16" customHeight="1">
      <c r="A43" s="3" t="inlineStr">
        <is>
          <t>Sender pays</t>
        </is>
      </c>
      <c r="C43" s="21" t="n">
        <v>0.01</v>
      </c>
      <c r="E43" s="17" t="inlineStr"/>
    </row>
    <row r="44" ht="16" customHeight="1">
      <c r="A44" s="3" t="inlineStr">
        <is>
          <t>Receiver pays</t>
        </is>
      </c>
      <c r="C44" s="21" t="n">
        <v>0</v>
      </c>
      <c r="E44" s="17" t="inlineStr"/>
    </row>
    <row r="45" ht="16" customHeight="1">
      <c r="A45" s="3" t="inlineStr">
        <is>
          <t>Fee applied to</t>
        </is>
      </c>
      <c r="C45" s="8" t="inlineStr">
        <is>
          <t>market rate</t>
        </is>
      </c>
      <c r="E45" s="17" t="inlineStr">
        <is>
          <t>market rate / agent rate</t>
        </is>
      </c>
    </row>
    <row r="46" ht="30" customHeight="1">
      <c r="A46" s="3" t="inlineStr">
        <is>
          <t>How the partner prices</t>
        </is>
      </c>
      <c r="C46" s="8" t="inlineStr">
        <is>
          <t>fee on top of market</t>
        </is>
      </c>
      <c r="E46" s="17" t="inlineStr">
        <is>
          <t>fee on top of market / fee inside its rate / NPL's own wallet</t>
        </is>
      </c>
    </row>
    <row r="47" ht="16" customHeight="1">
      <c r="A47" s="3" t="inlineStr">
        <is>
          <t>Fee taken how</t>
        </is>
      </c>
      <c r="C47" s="8" t="inlineStr">
        <is>
          <t>off the rate the sender gets</t>
        </is>
      </c>
      <c r="E47" s="17" t="inlineStr">
        <is>
          <t>off the rate the sender gets / added to what the sender pays</t>
        </is>
      </c>
    </row>
    <row r="48" ht="16" customHeight="1">
      <c r="A48" s="3" t="inlineStr">
        <is>
          <t>Rounding</t>
        </is>
      </c>
      <c r="C48" s="8" t="inlineStr">
        <is>
          <t>drop the cents</t>
        </is>
      </c>
      <c r="E48" s="17" t="inlineStr">
        <is>
          <t>drop the cents / nearest unit / round up / nearest 1,000</t>
        </is>
      </c>
    </row>
    <row r="49" ht="16" customHeight="1">
      <c r="A49" s="3" t="inlineStr">
        <is>
          <t>Rounding unit</t>
        </is>
      </c>
      <c r="C49" s="18" t="n">
        <v>1</v>
      </c>
      <c r="E49" s="17" t="inlineStr">
        <is>
          <t>1 for whole units; 1000 for the nearest thousand</t>
        </is>
      </c>
    </row>
    <row r="50" ht="30" customHeight="1">
      <c r="A50" s="3" t="inlineStr">
        <is>
          <t>Minimum NPL margin</t>
        </is>
      </c>
      <c r="C50" s="21" t="n">
        <v>0.004</v>
      </c>
      <c r="E50" s="17" t="inlineStr">
        <is>
          <t>your answer: on BF deals via Jeton the 0.4 % rebate is the only margin</t>
        </is>
      </c>
    </row>
    <row r="51" ht="16" customHeight="1">
      <c r="A51" s="3" t="inlineStr">
        <is>
          <t>Fee shown to the customer (blank = the true fee)</t>
        </is>
      </c>
      <c r="C51" s="22" t="inlineStr"/>
      <c r="E51" s="17" t="inlineStr">
        <is>
          <t>needs a system change when it differs</t>
        </is>
      </c>
    </row>
    <row r="52" ht="30" customHeight="1">
      <c r="A52" s="3" t="inlineStr">
        <is>
          <t>How NPL's share reaches NPL</t>
        </is>
      </c>
      <c r="C52" s="8" t="inlineStr">
        <is>
          <t>paid back monthly</t>
        </is>
      </c>
      <c r="E52" s="17" t="inlineStr">
        <is>
          <t>kept for NPL at the partner / paid back monthly / held by the client, paid monthly / NPL's own wallet</t>
        </is>
      </c>
    </row>
    <row r="53" ht="30" customHeight="1">
      <c r="A53" s="3" t="inlineStr">
        <is>
          <t>% of the partner's fee paid back (rebate)</t>
        </is>
      </c>
      <c r="C53" s="21" t="n">
        <v>0.4</v>
      </c>
      <c r="E53" s="17" t="inlineStr">
        <is>
          <t>your answer: Jeton deducts the full 1 % and pays 0.4 % back, accumulated monthly</t>
        </is>
      </c>
    </row>
    <row r="54" ht="30" customHeight="1">
      <c r="A54" s="3" t="inlineStr">
        <is>
          <t>Share paid to someone else %</t>
        </is>
      </c>
      <c r="C54" s="21" t="n">
        <v>0</v>
      </c>
      <c r="E54" s="17" t="inlineStr">
        <is>
          <t>of the amount × market; an introducer, or the customer who provides the sub-account</t>
        </is>
      </c>
    </row>
    <row r="56">
      <c r="A56" s="15" t="inlineStr">
        <is>
          <t>C · Worked calculation — what the system works out</t>
        </is>
      </c>
    </row>
    <row r="57">
      <c r="A57" s="16" t="inlineStr">
        <is>
          <t>Figure</t>
        </is>
      </c>
      <c r="B57" s="16" t="inlineStr">
        <is>
          <t>How it is worked out</t>
        </is>
      </c>
      <c r="C57" s="16" t="inlineStr">
        <is>
          <t>Value</t>
        </is>
      </c>
      <c r="E57" s="16" t="inlineStr">
        <is>
          <t>Note</t>
        </is>
      </c>
    </row>
    <row r="58">
      <c r="A58" s="3" t="inlineStr">
        <is>
          <t>Rate the fee is applied to</t>
        </is>
      </c>
      <c r="B58" s="17" t="inlineStr">
        <is>
          <t>the market rate, or the agent rate</t>
        </is>
      </c>
      <c r="C58" s="23">
        <f>IF($C$45="market rate",$C$39,$C$40)</f>
        <v/>
      </c>
      <c r="E58" s="17" t="inlineStr"/>
    </row>
    <row r="59">
      <c r="A59" s="3" t="inlineStr">
        <is>
          <t>Rate quoted to the sender</t>
        </is>
      </c>
      <c r="B59" s="17" t="inlineStr">
        <is>
          <t>that rate less the sender's fee — or, when the fee is added to what the sender pays, that rate ÷ (1 + fee)</t>
        </is>
      </c>
      <c r="C59" s="23">
        <f>IF($C$47="added to what the sender pays",$C$58/(1+$C$43),$C$58*(1-$C$43))</f>
        <v/>
      </c>
      <c r="E59" s="17" t="inlineStr"/>
    </row>
    <row r="60">
      <c r="A60" s="3" t="inlineStr">
        <is>
          <t>Amount the sender is promised</t>
        </is>
      </c>
      <c r="B60" s="17" t="inlineStr">
        <is>
          <t>amount sent × rate quoted to the sender</t>
        </is>
      </c>
      <c r="C60" s="24">
        <f>$C$35*$C$59</f>
        <v/>
      </c>
      <c r="E60" s="17" t="inlineStr">
        <is>
          <t>before any receiver-side fee</t>
        </is>
      </c>
    </row>
    <row r="61">
      <c r="A61" s="3" t="inlineStr">
        <is>
          <t>Receiver-side fee</t>
        </is>
      </c>
      <c r="B61" s="17" t="inlineStr">
        <is>
          <t>amount promised × receiver's fee</t>
        </is>
      </c>
      <c r="C61" s="24">
        <f>$C$60*$C$44</f>
        <v/>
      </c>
      <c r="E61" s="17" t="inlineStr">
        <is>
          <t>taken from the client's balance when the money is converted</t>
        </is>
      </c>
    </row>
    <row r="62">
      <c r="A62" s="3" t="inlineStr">
        <is>
          <t>Amount the receiver is owed</t>
        </is>
      </c>
      <c r="B62" s="17" t="inlineStr">
        <is>
          <t>amount promised − receiver-side fee</t>
        </is>
      </c>
      <c r="C62" s="24">
        <f>$C$60-$C$61</f>
        <v/>
      </c>
      <c r="E62" s="17" t="inlineStr">
        <is>
          <t>what the client's balance must deliver</t>
        </is>
      </c>
    </row>
    <row r="63">
      <c r="A63" s="3" t="inlineStr">
        <is>
          <t>What the partner delivers</t>
        </is>
      </c>
      <c r="B63" s="17" t="inlineStr">
        <is>
          <t>amount × agent rate · or amount × market less the partner's fee · or amount × market when NPL converts itself</t>
        </is>
      </c>
      <c r="C63" s="24">
        <f>IF($C$46="NPL's own wallet",$C$35*$C$39,IF($C$46="fee on top of market",$C$35*$C$39*(1-$C$41),$C$35*$C$40))</f>
        <v/>
      </c>
      <c r="E63" s="17" t="inlineStr"/>
    </row>
    <row r="64">
      <c r="A64" s="3" t="inlineStr">
        <is>
          <t>Partner / agent cost</t>
        </is>
      </c>
      <c r="B64" s="17" t="inlineStr">
        <is>
          <t>amount × market − what the partner delivers (nil when NPL converts itself)</t>
        </is>
      </c>
      <c r="C64" s="24">
        <f>$C$35*$C$39-$C$63</f>
        <v/>
      </c>
      <c r="E64" s="17" t="inlineStr"/>
    </row>
    <row r="65">
      <c r="A65" s="3" t="inlineStr">
        <is>
          <t>NPL earns on this deal</t>
        </is>
      </c>
      <c r="B65" s="17" t="inlineStr">
        <is>
          <t>what the partner delivers − what the receiver is owed</t>
        </is>
      </c>
      <c r="C65" s="24">
        <f>$C$63-$C$62</f>
        <v/>
      </c>
      <c r="E65" s="17" t="inlineStr">
        <is>
          <t>locked in when the money is converted; the partner's rebate is NOT in this figure</t>
        </is>
      </c>
    </row>
    <row r="66">
      <c r="A66" s="3" t="inlineStr">
        <is>
          <t>NPL margin %</t>
        </is>
      </c>
      <c r="B66" s="17" t="inlineStr">
        <is>
          <t>NPL earns ÷ (amount × market)</t>
        </is>
      </c>
      <c r="C66" s="25">
        <f>IF($C$35*$C$39=0,0,$C$65/($C$35*$C$39))</f>
        <v/>
      </c>
      <c r="E66" s="17" t="inlineStr"/>
    </row>
    <row r="67">
      <c r="A67" s="3" t="inlineStr">
        <is>
          <t>Below the minimum margin?</t>
        </is>
      </c>
      <c r="B67" s="17" t="inlineStr">
        <is>
          <t>if so, the quote needs Finance approval</t>
        </is>
      </c>
      <c r="C67" s="6">
        <f>IF($C$66&lt;$C$50,"YES — Finance must approve","no")</f>
        <v/>
      </c>
      <c r="E67" s="17" t="inlineStr"/>
    </row>
    <row r="68">
      <c r="A68" s="3" t="inlineStr">
        <is>
          <t>Amount actually paid out</t>
        </is>
      </c>
      <c r="B68" s="17" t="inlineStr">
        <is>
          <t>amount owed, rounded as agreed</t>
        </is>
      </c>
      <c r="C68" s="24">
        <f>IF($C$48="round up",CEILING($C$62,$C$49),IF($C$48="nearest unit",MROUND($C$62,$C$49),IF($C$48="nearest 1,000",MROUND($C$62,$C$49),FLOOR($C$62,$C$49))))</f>
        <v/>
      </c>
      <c r="E68" s="17" t="inlineStr">
        <is>
          <t>only 'drop the cents' exists today; the other options need a system change (proposal F)</t>
        </is>
      </c>
    </row>
    <row r="69">
      <c r="A69" s="3" t="inlineStr">
        <is>
          <t>Cents left in the client's balance (negative = NPL's cost)</t>
        </is>
      </c>
      <c r="B69" s="17" t="inlineStr">
        <is>
          <t>amount owed − amount paid out</t>
        </is>
      </c>
      <c r="C69" s="24">
        <f>$C$62-$C$68</f>
        <v/>
      </c>
      <c r="E69" s="17" t="inlineStr"/>
    </row>
    <row r="70">
      <c r="A70" s="3" t="inlineStr">
        <is>
          <t>Rate printed on the customer's quote</t>
        </is>
      </c>
      <c r="B70" s="17" t="inlineStr">
        <is>
          <t>rate quoted to the sender ÷ (1 − fee shown) — the 'market rate' your customer-facing calculation prints</t>
        </is>
      </c>
      <c r="C70" s="23">
        <f>IF($C$51="",$C$58,$C$59/(1-$C$51))</f>
        <v/>
      </c>
      <c r="E70" s="17" t="inlineStr">
        <is>
          <t>needs a system change when it differs from the true rate (proposal C)</t>
        </is>
      </c>
    </row>
    <row r="71">
      <c r="A71" s="3" t="inlineStr">
        <is>
          <t>Rebate owed back to NPL by the partner</t>
        </is>
      </c>
      <c r="B71" s="17" t="inlineStr">
        <is>
          <t>partner's fee × % paid back — NPL's alone, never shared, tracked on its own</t>
        </is>
      </c>
      <c r="C71" s="24">
        <f>$C$64*$C$53</f>
        <v/>
      </c>
      <c r="E71" s="17" t="inlineStr">
        <is>
          <t>0 where the partner pays no rebate</t>
        </is>
      </c>
    </row>
    <row r="72">
      <c r="A72" s="3" t="inlineStr">
        <is>
          <t>Share owed to someone else</t>
        </is>
      </c>
      <c r="B72" s="17" t="inlineStr">
        <is>
          <t>amount × market × share % (the share is of NPL's earnings, not of the rebate)</t>
        </is>
      </c>
      <c r="C72" s="24">
        <f>$C$35*$C$39*$C$54</f>
        <v/>
      </c>
      <c r="E72" s="17" t="inlineStr">
        <is>
          <t>paid out of NPL's earnings</t>
        </is>
      </c>
    </row>
    <row r="73">
      <c r="A73" s="3" t="inlineStr">
        <is>
          <t>NPL keeps</t>
        </is>
      </c>
      <c r="B73" s="17" t="inlineStr">
        <is>
          <t>NPL earns − share owed + rebate</t>
        </is>
      </c>
      <c r="C73" s="24">
        <f>$C$65-$C$72+$C$71</f>
        <v/>
      </c>
      <c r="E73" s="17" t="inlineStr"/>
    </row>
    <row r="74">
      <c r="A74" s="3" t="inlineStr">
        <is>
          <t>Check: receiver + partner cost + NPL = amount × market</t>
        </is>
      </c>
      <c r="B74" s="17" t="inlineStr">
        <is>
          <t>must be zero</t>
        </is>
      </c>
      <c r="C74" s="24">
        <f>ROUND($C$62+$C$64+$C$65-$C$35*$C$39,6)</f>
        <v/>
      </c>
      <c r="E74" s="17" t="inlineStr">
        <is>
          <t>every unit sent is accounted for</t>
        </is>
      </c>
    </row>
    <row r="76">
      <c r="A76" s="15" t="inlineStr">
        <is>
          <t>D · Bookkeeping entries the system would write</t>
        </is>
      </c>
    </row>
    <row r="77">
      <c r="A77" s="16" t="inlineStr">
        <is>
          <t>Entry</t>
        </is>
      </c>
      <c r="B77" s="16" t="inlineStr">
        <is>
          <t>In / out</t>
        </is>
      </c>
      <c r="C77" s="16" t="inlineStr">
        <is>
          <t>Amount</t>
        </is>
      </c>
      <c r="D77" s="16" t="inlineStr">
        <is>
          <t>Whose money · what kind</t>
        </is>
      </c>
      <c r="E77" s="16" t="inlineStr">
        <is>
          <t>When</t>
        </is>
      </c>
    </row>
    <row r="78" ht="16" customHeight="1">
      <c r="A78" s="6">
        <f>"Client money received at "&amp;$C$38&amp;" ("&amp;$C$36&amp;")"</f>
        <v/>
      </c>
      <c r="B78" s="6" t="inlineStr">
        <is>
          <t>in</t>
        </is>
      </c>
      <c r="C78" s="24">
        <f>$C$35</f>
        <v/>
      </c>
      <c r="D78" s="17" t="inlineStr">
        <is>
          <t>client's money · the amount itself</t>
        </is>
      </c>
      <c r="E78" s="17" t="inlineStr">
        <is>
          <t>when the money arrives</t>
        </is>
      </c>
    </row>
    <row r="79" ht="16" customHeight="1">
      <c r="A79" s="6">
        <f>"Owed to the client's receivers ("&amp;$C$36&amp;")"</f>
        <v/>
      </c>
      <c r="B79" s="6" t="inlineStr">
        <is>
          <t>out</t>
        </is>
      </c>
      <c r="C79" s="24">
        <f>$C$35</f>
        <v/>
      </c>
      <c r="D79" s="17" t="inlineStr">
        <is>
          <t>client's money · the amount itself</t>
        </is>
      </c>
      <c r="E79" s="17" t="inlineStr">
        <is>
          <t>when the money arrives</t>
        </is>
      </c>
    </row>
    <row r="80" ht="16" customHeight="1">
      <c r="A80" s="6">
        <f>"Owed to the client's receivers ("&amp;$C$36&amp;")"</f>
        <v/>
      </c>
      <c r="B80" s="6" t="inlineStr">
        <is>
          <t>in</t>
        </is>
      </c>
      <c r="C80" s="24">
        <f>$C$35</f>
        <v/>
      </c>
      <c r="D80" s="17" t="inlineStr">
        <is>
          <t>client's money · the amount itself</t>
        </is>
      </c>
      <c r="E80" s="17" t="inlineStr">
        <is>
          <t>conversion — currency sent</t>
        </is>
      </c>
    </row>
    <row r="81" ht="16" customHeight="1">
      <c r="A81" s="6">
        <f>"Client money received at "&amp;$C$38&amp;" ("&amp;$C$36&amp;")"</f>
        <v/>
      </c>
      <c r="B81" s="6" t="inlineStr">
        <is>
          <t>out</t>
        </is>
      </c>
      <c r="C81" s="24">
        <f>$C$35</f>
        <v/>
      </c>
      <c r="D81" s="17" t="inlineStr">
        <is>
          <t>client's money · the amount itself</t>
        </is>
      </c>
      <c r="E81" s="17" t="inlineStr">
        <is>
          <t>conversion — currency sent</t>
        </is>
      </c>
    </row>
    <row r="82" ht="16" customHeight="1">
      <c r="A82" s="6">
        <f>"Client money ready to pay out at "&amp;$C$38&amp;" ("&amp;$C$37&amp;")"</f>
        <v/>
      </c>
      <c r="B82" s="6" t="inlineStr">
        <is>
          <t>in</t>
        </is>
      </c>
      <c r="C82" s="24">
        <f>$C$62</f>
        <v/>
      </c>
      <c r="D82" s="17" t="inlineStr">
        <is>
          <t>client's money · the amount itself (cents included)</t>
        </is>
      </c>
      <c r="E82" s="17" t="inlineStr">
        <is>
          <t>conversion — currency paid out</t>
        </is>
      </c>
    </row>
    <row r="83" ht="30" customHeight="1">
      <c r="A83" s="6">
        <f>"NPL's earnings kept at "&amp;$C$38&amp;" ("&amp;$C$37&amp;")"</f>
        <v/>
      </c>
      <c r="B83" s="6" t="inlineStr">
        <is>
          <t>in</t>
        </is>
      </c>
      <c r="C83" s="24">
        <f>IF(OR($C$52="paid back monthly",$C$52="held by the client, paid monthly"),0,$C$65)</f>
        <v/>
      </c>
      <c r="D83" s="17" t="inlineStr">
        <is>
          <t>NPL's money · earnings</t>
        </is>
      </c>
      <c r="E83" s="17" t="inlineStr">
        <is>
          <t>conversion — NPL's share left with the partner (or in NPL's own wallet)</t>
        </is>
      </c>
    </row>
    <row r="84" ht="30" customHeight="1">
      <c r="A84" s="6">
        <f>"Owed to NPL by the client ("&amp;$C$37&amp;")"</f>
        <v/>
      </c>
      <c r="B84" s="6" t="inlineStr">
        <is>
          <t>in</t>
        </is>
      </c>
      <c r="C84" s="24">
        <f>IF($C$52="held by the client, paid monthly",$C$65,0)</f>
        <v/>
      </c>
      <c r="D84" s="17" t="inlineStr">
        <is>
          <t>NPL's money · earnings</t>
        </is>
      </c>
      <c r="E84" s="17" t="inlineStr">
        <is>
          <t>conversion — the converted money went to the client's own account; NPL's share is owed by the client</t>
        </is>
      </c>
    </row>
    <row r="85" ht="16" customHeight="1">
      <c r="A85" s="6">
        <f>"Rebate owed to NPL by "&amp;$C$38&amp;" ("&amp;$C$37&amp;")"</f>
        <v/>
      </c>
      <c r="B85" s="6" t="inlineStr">
        <is>
          <t>in</t>
        </is>
      </c>
      <c r="C85" s="24">
        <f>$C$71</f>
        <v/>
      </c>
      <c r="D85" s="17" t="inlineStr">
        <is>
          <t>NPL's money · rebate (kept apart from earnings)</t>
        </is>
      </c>
      <c r="E85" s="17" t="inlineStr">
        <is>
          <t>conversion — the partner's monthly rebate</t>
        </is>
      </c>
    </row>
    <row r="86" ht="16" customHeight="1">
      <c r="A86" s="6">
        <f>"Owed to the client's receivers ("&amp;$C$37&amp;")"</f>
        <v/>
      </c>
      <c r="B86" s="6" t="inlineStr">
        <is>
          <t>out</t>
        </is>
      </c>
      <c r="C86" s="24">
        <f>$C$62</f>
        <v/>
      </c>
      <c r="D86" s="17" t="inlineStr">
        <is>
          <t>client's money · the amount itself</t>
        </is>
      </c>
      <c r="E86" s="17" t="inlineStr">
        <is>
          <t>conversion — currency paid out</t>
        </is>
      </c>
    </row>
    <row r="87" ht="16" customHeight="1">
      <c r="A87" s="6">
        <f>"NPL's earnings ("&amp;$C$37&amp;")"</f>
        <v/>
      </c>
      <c r="B87" s="6" t="inlineStr">
        <is>
          <t>out</t>
        </is>
      </c>
      <c r="C87" s="24">
        <f>$C$65</f>
        <v/>
      </c>
      <c r="D87" s="17" t="inlineStr">
        <is>
          <t>NPL's money · earnings</t>
        </is>
      </c>
      <c r="E87" s="17" t="inlineStr">
        <is>
          <t>margin recognised</t>
        </is>
      </c>
    </row>
    <row r="88" ht="16" customHeight="1">
      <c r="A88" s="6">
        <f>"NPL's rebate income ("&amp;$C$37&amp;")"</f>
        <v/>
      </c>
      <c r="B88" s="6" t="inlineStr">
        <is>
          <t>out</t>
        </is>
      </c>
      <c r="C88" s="24">
        <f>$C$71</f>
        <v/>
      </c>
      <c r="D88" s="17" t="inlineStr">
        <is>
          <t>NPL's money · rebate</t>
        </is>
      </c>
      <c r="E88" s="17" t="inlineStr">
        <is>
          <t>rebate expected — reported separately from earnings</t>
        </is>
      </c>
    </row>
    <row r="89" ht="16" customHeight="1">
      <c r="A89" s="6">
        <f>"Client money in transit from "&amp;$C$38&amp;" ("&amp;$C$37&amp;")"</f>
        <v/>
      </c>
      <c r="B89" s="6" t="inlineStr">
        <is>
          <t>in</t>
        </is>
      </c>
      <c r="C89" s="24">
        <f>$C$68</f>
        <v/>
      </c>
      <c r="D89" s="17" t="inlineStr">
        <is>
          <t>client's money · the amount itself</t>
        </is>
      </c>
      <c r="E89" s="17" t="inlineStr">
        <is>
          <t>payout released (rounded as agreed)</t>
        </is>
      </c>
    </row>
    <row r="90" ht="16" customHeight="1">
      <c r="A90" s="6">
        <f>"Client money ready to pay out at "&amp;$C$38&amp;" ("&amp;$C$37&amp;")"</f>
        <v/>
      </c>
      <c r="B90" s="6" t="inlineStr">
        <is>
          <t>out</t>
        </is>
      </c>
      <c r="C90" s="24">
        <f>$C$68</f>
        <v/>
      </c>
      <c r="D90" s="17" t="inlineStr">
        <is>
          <t>client's money · the amount itself</t>
        </is>
      </c>
      <c r="E90" s="17" t="inlineStr">
        <is>
          <t>payout released</t>
        </is>
      </c>
    </row>
    <row r="91" ht="16" customHeight="1">
      <c r="A91" s="6">
        <f>"Owed to the client's receivers ("&amp;$C$37&amp;")"</f>
        <v/>
      </c>
      <c r="B91" s="6" t="inlineStr">
        <is>
          <t>in</t>
        </is>
      </c>
      <c r="C91" s="24">
        <f>$C$68</f>
        <v/>
      </c>
      <c r="D91" s="17" t="inlineStr">
        <is>
          <t>client's money · the amount itself</t>
        </is>
      </c>
      <c r="E91" s="17" t="inlineStr">
        <is>
          <t>receiver confirms in full</t>
        </is>
      </c>
    </row>
    <row r="92" ht="16" customHeight="1">
      <c r="A92" s="6">
        <f>"Client money in transit from "&amp;$C$38&amp;" ("&amp;$C$37&amp;")"</f>
        <v/>
      </c>
      <c r="B92" s="6" t="inlineStr">
        <is>
          <t>out</t>
        </is>
      </c>
      <c r="C92" s="24">
        <f>$C$68</f>
        <v/>
      </c>
      <c r="D92" s="17" t="inlineStr">
        <is>
          <t>client's money · the amount itself</t>
        </is>
      </c>
      <c r="E92" s="17" t="inlineStr">
        <is>
          <t>receiver confirms in full</t>
        </is>
      </c>
    </row>
    <row r="93" ht="16" customHeight="1">
      <c r="A93" s="6">
        <f>"NPL's earnings ("&amp;$C$37&amp;")"</f>
        <v/>
      </c>
      <c r="B93" s="6" t="inlineStr">
        <is>
          <t>in</t>
        </is>
      </c>
      <c r="C93" s="24">
        <f>$C$72</f>
        <v/>
      </c>
      <c r="D93" s="17" t="inlineStr">
        <is>
          <t>NPL's money · share paid to someone else</t>
        </is>
      </c>
      <c r="E93" s="17" t="inlineStr">
        <is>
          <t>share accrued (if any)</t>
        </is>
      </c>
    </row>
    <row r="94" ht="16" customHeight="1">
      <c r="A94" s="6">
        <f>"Owed to the other party ("&amp;$C$37&amp;")"</f>
        <v/>
      </c>
      <c r="B94" s="6" t="inlineStr">
        <is>
          <t>out</t>
        </is>
      </c>
      <c r="C94" s="24">
        <f>$C$72</f>
        <v/>
      </c>
      <c r="D94" s="17" t="inlineStr">
        <is>
          <t>NPL's money · share paid to someone else</t>
        </is>
      </c>
      <c r="E94" s="17" t="inlineStr">
        <is>
          <t>share accrued</t>
        </is>
      </c>
    </row>
    <row r="95" ht="30" customHeight="1">
      <c r="A95" s="6">
        <f>"Owed to the other party ("&amp;$C$37&amp;")"</f>
        <v/>
      </c>
      <c r="B95" s="6" t="inlineStr">
        <is>
          <t>in</t>
        </is>
      </c>
      <c r="C95" s="24">
        <f>IF($C$52="held by the client, paid monthly",$C$72,0)</f>
        <v/>
      </c>
      <c r="D95" s="17" t="inlineStr">
        <is>
          <t>NPL's money · share</t>
        </is>
      </c>
      <c r="E95" s="17" t="inlineStr">
        <is>
          <t>netted: the client keeps its share out of the money in its account</t>
        </is>
      </c>
    </row>
    <row r="96" ht="16" customHeight="1">
      <c r="A96" s="6">
        <f>"Owed to NPL by the client ("&amp;$C$37&amp;")"</f>
        <v/>
      </c>
      <c r="B96" s="6" t="inlineStr">
        <is>
          <t>out</t>
        </is>
      </c>
      <c r="C96" s="24">
        <f>IF($C$52="held by the client, paid monthly",$C$72,0)</f>
        <v/>
      </c>
      <c r="D96" s="17" t="inlineStr">
        <is>
          <t>NPL's money · earnings</t>
        </is>
      </c>
      <c r="E96" s="17" t="inlineStr">
        <is>
          <t>netted: what the client pays NPL monthly is the rest</t>
        </is>
      </c>
    </row>
    <row r="97" ht="30" customHeight="1">
      <c r="A97" s="26" t="inlineStr">
        <is>
          <t>Check: in = out in the currency paid out</t>
        </is>
      </c>
      <c r="C97" s="27">
        <f>ROUND(SUMIF($B$82:$B$96,"in",$C$82:$C$96)-SUMIF($B$82:$B$96,"out",$C$82:$C$96),6)</f>
        <v/>
      </c>
      <c r="E97" s="17" t="inlineStr">
        <is>
          <t>money never appears or disappears: every entry moves it from one place to another</t>
        </is>
      </c>
    </row>
    <row r="99">
      <c r="A99" s="15" t="inlineStr">
        <is>
          <t>E · Compare with your sheet</t>
        </is>
      </c>
    </row>
    <row r="100">
      <c r="A100" s="16" t="inlineStr">
        <is>
          <t>Figure in your sheet</t>
        </is>
      </c>
      <c r="B100" s="16" t="inlineStr">
        <is>
          <t>Your value</t>
        </is>
      </c>
      <c r="C100" s="16" t="inlineStr">
        <is>
          <t>Worked out here</t>
        </is>
      </c>
      <c r="D100" s="16" t="inlineStr">
        <is>
          <t>Difference</t>
        </is>
      </c>
      <c r="E100" s="16" t="inlineStr">
        <is>
          <t>Comment</t>
        </is>
      </c>
    </row>
    <row r="101" ht="16" customHeight="1">
      <c r="A101" s="3" t="inlineStr">
        <is>
          <t>EUR amount to the receiver</t>
        </is>
      </c>
      <c r="B101" s="18" t="n">
        <v>560927</v>
      </c>
      <c r="C101" s="24">
        <f>$C$60</f>
        <v/>
      </c>
      <c r="D101" s="27">
        <f>ROUND(C101-B101,2)</f>
        <v/>
      </c>
      <c r="E101" s="17" t="inlineStr">
        <is>
          <t>sheet row 3: 661,060 × 0.857097 × 0.99</t>
        </is>
      </c>
    </row>
    <row r="103">
      <c r="A103" s="15" t="inlineStr">
        <is>
          <t>F · Please confirm</t>
        </is>
      </c>
    </row>
    <row r="104" ht="32" customHeight="1">
      <c r="A104" s="14" t="inlineStr">
        <is>
          <t>•</t>
        </is>
      </c>
      <c r="B104" s="28" t="inlineStr">
        <is>
          <t>Which Jeton company's name is on the collection wallet (the vehicle)? Jeton is currently inactive — we keep this set-up ready for when it resumes.</t>
        </is>
      </c>
    </row>
    <row r="105" ht="32" customHeight="1">
      <c r="A105" s="14" t="inlineStr">
        <is>
          <t>•</t>
        </is>
      </c>
      <c r="B105" s="28" t="inlineStr">
        <is>
          <t>Novi pays 0.9 % via Jeton (row 17): does Jeton still pay NPL 0.4 % back on those deals, or 0.3 %?</t>
        </is>
      </c>
    </row>
  </sheetData>
  <mergeCells count="2">
    <mergeCell ref="B104:E104"/>
    <mergeCell ref="B105:E10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2 Agent rate — Agent rate; the fee shown to the customer differs from the true total</t>
        </is>
      </c>
    </row>
    <row r="2">
      <c r="A2" s="13" t="inlineStr">
        <is>
          <t>Example taken from your sheet, rows</t>
        </is>
      </c>
      <c r="B2" s="14" t="inlineStr">
        <is>
          <t>5, 7, 12, 15, 19</t>
        </is>
      </c>
    </row>
    <row r="4">
      <c r="A4" s="15" t="inlineStr">
        <is>
          <t>A · The set-up for this kind of deal</t>
        </is>
      </c>
    </row>
    <row r="5">
      <c r="A5" s="16" t="inlineStr">
        <is>
          <t>Item</t>
        </is>
      </c>
      <c r="B5" s="16" t="inlineStr">
        <is>
          <t>Value</t>
        </is>
      </c>
      <c r="C5" s="16" t="inlineStr">
        <is>
          <t>Where it comes from</t>
        </is>
      </c>
      <c r="D5" s="16" t="inlineStr">
        <is>
          <t>Note</t>
        </is>
      </c>
    </row>
    <row r="6" ht="16" customHeight="1">
      <c r="A6" s="3" t="inlineStr">
        <is>
          <t>Client</t>
        </is>
      </c>
      <c r="B6" s="10" t="inlineStr">
        <is>
          <t>BF-Seven</t>
        </is>
      </c>
      <c r="C6" s="3" t="inlineStr">
        <is>
          <t>your sheet</t>
        </is>
      </c>
      <c r="D6" s="17" t="inlineStr">
        <is>
          <t>One set-up per client.</t>
        </is>
      </c>
    </row>
    <row r="7" ht="42" customHeight="1">
      <c r="A7" s="3" t="inlineStr">
        <is>
          <t>Who sends the money</t>
        </is>
      </c>
      <c r="B7" s="10" t="inlineStr">
        <is>
          <t>Seven</t>
        </is>
      </c>
      <c r="C7" s="3" t="inlineStr">
        <is>
          <t>your answer (8 Oct)</t>
        </is>
      </c>
      <c r="D7" s="17" t="inlineStr">
        <is>
          <t>The sender(s). Each must be on the list of who may pay this client's receivers.</t>
        </is>
      </c>
    </row>
    <row r="8" ht="42" customHeight="1">
      <c r="A8" s="3" t="inlineStr">
        <is>
          <t>Who gets paid</t>
        </is>
      </c>
      <c r="B8" s="10" t="inlineStr">
        <is>
          <t>BF (its 'Sporting Exchange' receiving account)</t>
        </is>
      </c>
      <c r="C8" s="3" t="inlineStr">
        <is>
          <t>your answer (8 Oct)</t>
        </is>
      </c>
      <c r="D8" s="17" t="inlineStr">
        <is>
          <t>The receiver, or the vendor. A refund goes back to the sender's own account.</t>
        </is>
      </c>
    </row>
    <row r="9" ht="54" customHeight="1">
      <c r="A9" s="3" t="inlineStr">
        <is>
          <t>Their account</t>
        </is>
      </c>
      <c r="B9" s="10" t="inlineStr">
        <is>
          <t>EUR via SWIFT</t>
        </is>
      </c>
      <c r="C9" s="3" t="inlineStr">
        <is>
          <t>your answer (8 Oct)</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crypto</t>
        </is>
      </c>
      <c r="C10" s="3" t="inlineStr">
        <is>
          <t>your sheet</t>
        </is>
      </c>
      <c r="D10" s="17" t="inlineStr">
        <is>
          <t>crypto, bank transfer, cash, or a one-time local bank deposit.</t>
        </is>
      </c>
    </row>
    <row r="11" ht="54" customHeight="1">
      <c r="A11" s="3" t="inlineStr">
        <is>
          <t>Where it comes in</t>
        </is>
      </c>
      <c r="B11" s="10" t="inlineStr">
        <is>
          <t>PT-tour or PT Global Inc · wallet · TRC-20</t>
        </is>
      </c>
      <c r="C11" s="3" t="inlineStr">
        <is>
          <t>your sheet</t>
        </is>
      </c>
      <c r="D11" s="17" t="inlineStr">
        <is>
          <t>Which partner company's wallet or bank account the sender pays into. It must be live, belong to that partner company, and be a wallet for crypto or a bank account for bank transfers.</t>
        </is>
      </c>
    </row>
    <row r="12" ht="16" customHeight="1">
      <c r="A12" s="3" t="inlineStr">
        <is>
          <t>Partner / agent</t>
        </is>
      </c>
      <c r="B12" s="10" t="inlineStr">
        <is>
          <t>Ali</t>
        </is>
      </c>
      <c r="C12" s="3" t="inlineStr">
        <is>
          <t>your sheet</t>
        </is>
      </c>
      <c r="D12" s="17" t="inlineStr"/>
    </row>
    <row r="13" ht="54" customHeight="1">
      <c r="A13" s="3" t="inlineStr">
        <is>
          <t>How the partner prices</t>
        </is>
      </c>
      <c r="B13" s="10" t="inlineStr">
        <is>
          <t>fee inside its rate</t>
        </is>
      </c>
      <c r="C13" s="3" t="inlineStr">
        <is>
          <t>your sheet</t>
        </is>
      </c>
      <c r="D13" s="17" t="inlineStr">
        <is>
          <t>'fee on top of market': the partner converts at market and states its fee separately. 'fee inside its rate': the partner's margin is built into the rate it gives.</t>
        </is>
      </c>
    </row>
    <row r="14" ht="16" customHeight="1">
      <c r="A14" s="3" t="inlineStr">
        <is>
          <t>Exchange pair</t>
        </is>
      </c>
      <c r="B14" s="10" t="inlineStr">
        <is>
          <t>USDT → EUR</t>
        </is>
      </c>
      <c r="C14" s="3" t="inlineStr">
        <is>
          <t>your sheet</t>
        </is>
      </c>
      <c r="D14" s="17" t="inlineStr">
        <is>
          <t>currency sent → currency paid out.</t>
        </is>
      </c>
    </row>
    <row r="15" ht="54" customHeight="1">
      <c r="A15" s="3" t="inlineStr">
        <is>
          <t>Fee taken how</t>
        </is>
      </c>
      <c r="B15" s="10" t="inlineStr">
        <is>
          <t>off the rate the sender gets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agent rate</t>
        </is>
      </c>
      <c r="C16" s="3" t="inlineStr">
        <is>
          <t>your sheet</t>
        </is>
      </c>
      <c r="D16" s="17" t="inlineStr">
        <is>
          <t>the market rate, or the agent's rate.</t>
        </is>
      </c>
    </row>
    <row r="17" ht="42" customHeight="1">
      <c r="A17" s="3" t="inlineStr">
        <is>
          <t>Fee is</t>
        </is>
      </c>
      <c r="B17" s="10" t="inlineStr">
        <is>
          <t>fixed</t>
        </is>
      </c>
      <c r="C17" s="3" t="inlineStr">
        <is>
          <t>your sheet</t>
        </is>
      </c>
      <c r="D17" s="17" t="inlineStr">
        <is>
          <t>fixed, or decided per deal between a lowest and a highest markup.</t>
        </is>
      </c>
    </row>
    <row r="18" ht="16" customHeight="1">
      <c r="A18" s="3" t="inlineStr">
        <is>
          <t>Total fee %</t>
        </is>
      </c>
      <c r="B18" s="12" t="n">
        <v>0.004</v>
      </c>
      <c r="C18" s="3" t="inlineStr">
        <is>
          <t>your sheet</t>
        </is>
      </c>
      <c r="D18" s="17" t="inlineStr">
        <is>
          <t>sender's part + receiver's part.</t>
        </is>
      </c>
    </row>
    <row r="19" ht="16" customHeight="1">
      <c r="A19" s="3" t="inlineStr">
        <is>
          <t>Sender pays %</t>
        </is>
      </c>
      <c r="B19" s="12" t="n">
        <v>0.004</v>
      </c>
      <c r="C19" s="3" t="inlineStr">
        <is>
          <t>your sheet</t>
        </is>
      </c>
      <c r="D19" s="17" t="inlineStr"/>
    </row>
    <row r="20" ht="16" customHeight="1">
      <c r="A20" s="3" t="inlineStr">
        <is>
          <t>Receiver pays %</t>
        </is>
      </c>
      <c r="B20" s="12" t="n">
        <v>0</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2" t="n">
        <v>0.003</v>
      </c>
      <c r="C23" s="3" t="inlineStr">
        <is>
          <t>worked out from your sheet</t>
        </is>
      </c>
      <c r="D23" s="17" t="inlineStr">
        <is>
          <t>A quote that earns less needs Finance's approval.</t>
        </is>
      </c>
    </row>
    <row r="24" ht="42" customHeight="1">
      <c r="A24" s="3" t="inlineStr">
        <is>
          <t>Fee shown to the customer %</t>
        </is>
      </c>
      <c r="B24" s="12" t="n">
        <v>0.01</v>
      </c>
      <c r="C24" s="3" t="inlineStr">
        <is>
          <t>your answer (8 Oct)</t>
        </is>
      </c>
      <c r="D24" s="17" t="inlineStr">
        <is>
          <t>Only when the customer-facing calculation shows a different fee from the true total. Needs a system change.</t>
        </is>
      </c>
    </row>
    <row r="25" ht="54" customHeight="1">
      <c r="A25" s="3" t="inlineStr">
        <is>
          <t>How NPL's share reaches NPL</t>
        </is>
      </c>
      <c r="B25" s="10" t="inlineStr">
        <is>
          <t>kept for NPL at the partner</t>
        </is>
      </c>
      <c r="C25" s="3" t="inlineStr">
        <is>
          <t>your sheet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1" t="inlineStr"/>
      <c r="C26" s="3" t="inlineStr">
        <is>
          <t>not needed here</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drop the cents</t>
        </is>
      </c>
      <c r="C28" s="3" t="inlineStr">
        <is>
          <t>your sheet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PT Sukses</t>
        </is>
      </c>
      <c r="C29" s="3" t="inlineStr">
        <is>
          <t>your answer (8 Oct)</t>
        </is>
      </c>
      <c r="D29" s="17" t="inlineStr">
        <is>
          <t>and the bank fee you expect on it</t>
        </is>
      </c>
    </row>
    <row r="30" ht="42" customHeight="1">
      <c r="A30" s="3" t="inlineStr">
        <is>
          <t>Name shown on the transfer</t>
        </is>
      </c>
      <c r="B30" s="10" t="inlineStr">
        <is>
          <t>Seven Investments N.V.</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3">
      <c r="A33" s="15" t="inlineStr">
        <is>
          <t>B · Worked calculation — the deal (change any value)</t>
        </is>
      </c>
    </row>
    <row r="34">
      <c r="A34" s="16" t="inlineStr">
        <is>
          <t>Item</t>
        </is>
      </c>
      <c r="B34" s="16" t="inlineStr"/>
      <c r="C34" s="16" t="inlineStr">
        <is>
          <t>Value</t>
        </is>
      </c>
      <c r="D34" s="16" t="inlineStr"/>
      <c r="E34" s="16" t="inlineStr">
        <is>
          <t>Meaning</t>
        </is>
      </c>
    </row>
    <row r="35" ht="16" customHeight="1">
      <c r="A35" s="3" t="inlineStr">
        <is>
          <t>Amount sent</t>
        </is>
      </c>
      <c r="C35" s="18" t="n">
        <v>661060</v>
      </c>
      <c r="E35" s="17" t="inlineStr">
        <is>
          <t>what the sender pays in, in the currency sent</t>
        </is>
      </c>
    </row>
    <row r="36" ht="16" customHeight="1">
      <c r="A36" s="3" t="inlineStr">
        <is>
          <t>Currency sent</t>
        </is>
      </c>
      <c r="C36" s="8" t="inlineStr">
        <is>
          <t>USDT</t>
        </is>
      </c>
      <c r="E36" s="17" t="inlineStr"/>
    </row>
    <row r="37" ht="16" customHeight="1">
      <c r="A37" s="3" t="inlineStr">
        <is>
          <t>Currency paid out</t>
        </is>
      </c>
      <c r="C37" s="8" t="inlineStr">
        <is>
          <t>EUR</t>
        </is>
      </c>
      <c r="E37" s="17" t="inlineStr"/>
    </row>
    <row r="38" ht="16" customHeight="1">
      <c r="A38" s="3" t="inlineStr">
        <is>
          <t>Partner (short name)</t>
        </is>
      </c>
      <c r="C38" s="8" t="inlineStr">
        <is>
          <t>ALI</t>
        </is>
      </c>
      <c r="E38" s="17" t="inlineStr">
        <is>
          <t>used in the bookkeeping entries below</t>
        </is>
      </c>
    </row>
    <row r="39" ht="16" customHeight="1">
      <c r="A39" s="3" t="inlineStr">
        <is>
          <t>Market rate</t>
        </is>
      </c>
      <c r="C39" s="19" t="n">
        <v>0.8605</v>
      </c>
      <c r="E39" s="17" t="inlineStr">
        <is>
          <t>your answer: the market rate that day was 0.86050</t>
        </is>
      </c>
    </row>
    <row r="40" ht="30" customHeight="1">
      <c r="A40" s="3" t="inlineStr">
        <is>
          <t>Agent rate (partners whose fee is inside the rate)</t>
        </is>
      </c>
      <c r="C40" s="19" t="n">
        <v>0.851934</v>
      </c>
      <c r="E40" s="17" t="inlineStr">
        <is>
          <t>your answer: Ali quoted 1.1748, then 1.1738 — Ali quotes EUR-per-USDT the other way round, so the system must store 1 ÷ 1.1738 = 0.851934 (proposal I)</t>
        </is>
      </c>
    </row>
    <row r="41" ht="30" customHeight="1">
      <c r="A41" s="3" t="inlineStr">
        <is>
          <t>Partner's fee on top of market</t>
        </is>
      </c>
      <c r="C41" s="21" t="n">
        <v>0</v>
      </c>
      <c r="E41" s="17" t="inlineStr">
        <is>
          <t>only for partners that state their fee separately; 0 otherwise</t>
        </is>
      </c>
    </row>
    <row r="42" ht="16" customHeight="1">
      <c r="A42" s="3" t="inlineStr">
        <is>
          <t>Total fee</t>
        </is>
      </c>
      <c r="C42" s="21" t="n">
        <v>0.004</v>
      </c>
      <c r="E42" s="17" t="inlineStr"/>
    </row>
    <row r="43" ht="16" customHeight="1">
      <c r="A43" s="3" t="inlineStr">
        <is>
          <t>Sender pays</t>
        </is>
      </c>
      <c r="C43" s="21" t="n">
        <v>0.004</v>
      </c>
      <c r="E43" s="17" t="inlineStr"/>
    </row>
    <row r="44" ht="16" customHeight="1">
      <c r="A44" s="3" t="inlineStr">
        <is>
          <t>Receiver pays</t>
        </is>
      </c>
      <c r="C44" s="21" t="n">
        <v>0</v>
      </c>
      <c r="E44" s="17" t="inlineStr"/>
    </row>
    <row r="45" ht="16" customHeight="1">
      <c r="A45" s="3" t="inlineStr">
        <is>
          <t>Fee applied to</t>
        </is>
      </c>
      <c r="C45" s="8" t="inlineStr">
        <is>
          <t>agent rate</t>
        </is>
      </c>
      <c r="E45" s="17" t="inlineStr">
        <is>
          <t>market rate / agent rate</t>
        </is>
      </c>
    </row>
    <row r="46" ht="30" customHeight="1">
      <c r="A46" s="3" t="inlineStr">
        <is>
          <t>How the partner prices</t>
        </is>
      </c>
      <c r="C46" s="8" t="inlineStr">
        <is>
          <t>fee inside its rate</t>
        </is>
      </c>
      <c r="E46" s="17" t="inlineStr">
        <is>
          <t>fee on top of market / fee inside its rate / NPL's own wallet</t>
        </is>
      </c>
    </row>
    <row r="47" ht="16" customHeight="1">
      <c r="A47" s="3" t="inlineStr">
        <is>
          <t>Fee taken how</t>
        </is>
      </c>
      <c r="C47" s="8" t="inlineStr">
        <is>
          <t>off the rate the sender gets</t>
        </is>
      </c>
      <c r="E47" s="17" t="inlineStr">
        <is>
          <t>off the rate the sender gets / added to what the sender pays</t>
        </is>
      </c>
    </row>
    <row r="48" ht="16" customHeight="1">
      <c r="A48" s="3" t="inlineStr">
        <is>
          <t>Rounding</t>
        </is>
      </c>
      <c r="C48" s="8" t="inlineStr">
        <is>
          <t>drop the cents</t>
        </is>
      </c>
      <c r="E48" s="17" t="inlineStr">
        <is>
          <t>drop the cents / nearest unit / round up / nearest 1,000</t>
        </is>
      </c>
    </row>
    <row r="49" ht="16" customHeight="1">
      <c r="A49" s="3" t="inlineStr">
        <is>
          <t>Rounding unit</t>
        </is>
      </c>
      <c r="C49" s="18" t="n">
        <v>1</v>
      </c>
      <c r="E49" s="17" t="inlineStr">
        <is>
          <t>1 for whole units; 1000 for the nearest thousand</t>
        </is>
      </c>
    </row>
    <row r="50" ht="16" customHeight="1">
      <c r="A50" s="3" t="inlineStr">
        <is>
          <t>Minimum NPL margin</t>
        </is>
      </c>
      <c r="C50" s="21" t="n">
        <v>0.003</v>
      </c>
      <c r="E50" s="17" t="inlineStr">
        <is>
          <t>your Project Context: Ali deals are set to leave 0.3–0.4 %</t>
        </is>
      </c>
    </row>
    <row r="51" ht="16" customHeight="1">
      <c r="A51" s="3" t="inlineStr">
        <is>
          <t>Fee shown to the customer (blank = the true fee)</t>
        </is>
      </c>
      <c r="C51" s="21" t="n">
        <v>0.01</v>
      </c>
      <c r="E51" s="17" t="inlineStr">
        <is>
          <t>needs a system change when it differs</t>
        </is>
      </c>
    </row>
    <row r="52" ht="30" customHeight="1">
      <c r="A52" s="3" t="inlineStr">
        <is>
          <t>How NPL's share reaches NPL</t>
        </is>
      </c>
      <c r="C52" s="8" t="inlineStr">
        <is>
          <t>kept for NPL at the partner</t>
        </is>
      </c>
      <c r="E52" s="17" t="inlineStr">
        <is>
          <t>kept for NPL at the partner / paid back monthly / held by the client, paid monthly / NPL's own wallet</t>
        </is>
      </c>
    </row>
    <row r="53" ht="16" customHeight="1">
      <c r="A53" s="3" t="inlineStr">
        <is>
          <t>% of the partner's fee paid back (rebate)</t>
        </is>
      </c>
      <c r="C53" s="21" t="n">
        <v>0</v>
      </c>
      <c r="E53" s="17" t="inlineStr">
        <is>
          <t>NPL's alone; 0 where there is none</t>
        </is>
      </c>
    </row>
    <row r="54" ht="30" customHeight="1">
      <c r="A54" s="3" t="inlineStr">
        <is>
          <t>Share paid to someone else %</t>
        </is>
      </c>
      <c r="C54" s="21" t="n">
        <v>0</v>
      </c>
      <c r="E54" s="17" t="inlineStr">
        <is>
          <t>of the amount × market; an introducer, or the customer who provides the sub-account</t>
        </is>
      </c>
    </row>
    <row r="56">
      <c r="A56" s="15" t="inlineStr">
        <is>
          <t>C · Worked calculation — what the system works out</t>
        </is>
      </c>
    </row>
    <row r="57">
      <c r="A57" s="16" t="inlineStr">
        <is>
          <t>Figure</t>
        </is>
      </c>
      <c r="B57" s="16" t="inlineStr">
        <is>
          <t>How it is worked out</t>
        </is>
      </c>
      <c r="C57" s="16" t="inlineStr">
        <is>
          <t>Value</t>
        </is>
      </c>
      <c r="E57" s="16" t="inlineStr">
        <is>
          <t>Note</t>
        </is>
      </c>
    </row>
    <row r="58">
      <c r="A58" s="3" t="inlineStr">
        <is>
          <t>Rate the fee is applied to</t>
        </is>
      </c>
      <c r="B58" s="17" t="inlineStr">
        <is>
          <t>the market rate, or the agent rate</t>
        </is>
      </c>
      <c r="C58" s="23">
        <f>IF($C$45="market rate",$C$39,$C$40)</f>
        <v/>
      </c>
      <c r="E58" s="17" t="inlineStr"/>
    </row>
    <row r="59">
      <c r="A59" s="3" t="inlineStr">
        <is>
          <t>Rate quoted to the sender</t>
        </is>
      </c>
      <c r="B59" s="17" t="inlineStr">
        <is>
          <t>that rate less the sender's fee — or, when the fee is added to what the sender pays, that rate ÷ (1 + fee)</t>
        </is>
      </c>
      <c r="C59" s="23">
        <f>IF($C$47="added to what the sender pays",$C$58/(1+$C$43),$C$58*(1-$C$43))</f>
        <v/>
      </c>
      <c r="E59" s="17" t="inlineStr"/>
    </row>
    <row r="60">
      <c r="A60" s="3" t="inlineStr">
        <is>
          <t>Amount the sender is promised</t>
        </is>
      </c>
      <c r="B60" s="17" t="inlineStr">
        <is>
          <t>amount sent × rate quoted to the sender</t>
        </is>
      </c>
      <c r="C60" s="24">
        <f>$C$35*$C$59</f>
        <v/>
      </c>
      <c r="E60" s="17" t="inlineStr">
        <is>
          <t>before any receiver-side fee</t>
        </is>
      </c>
    </row>
    <row r="61">
      <c r="A61" s="3" t="inlineStr">
        <is>
          <t>Receiver-side fee</t>
        </is>
      </c>
      <c r="B61" s="17" t="inlineStr">
        <is>
          <t>amount promised × receiver's fee</t>
        </is>
      </c>
      <c r="C61" s="24">
        <f>$C$60*$C$44</f>
        <v/>
      </c>
      <c r="E61" s="17" t="inlineStr">
        <is>
          <t>taken from the client's balance when the money is converted</t>
        </is>
      </c>
    </row>
    <row r="62">
      <c r="A62" s="3" t="inlineStr">
        <is>
          <t>Amount the receiver is owed</t>
        </is>
      </c>
      <c r="B62" s="17" t="inlineStr">
        <is>
          <t>amount promised − receiver-side fee</t>
        </is>
      </c>
      <c r="C62" s="24">
        <f>$C$60-$C$61</f>
        <v/>
      </c>
      <c r="E62" s="17" t="inlineStr">
        <is>
          <t>what the client's balance must deliver</t>
        </is>
      </c>
    </row>
    <row r="63">
      <c r="A63" s="3" t="inlineStr">
        <is>
          <t>What the partner delivers</t>
        </is>
      </c>
      <c r="B63" s="17" t="inlineStr">
        <is>
          <t>amount × agent rate · or amount × market less the partner's fee · or amount × market when NPL converts itself</t>
        </is>
      </c>
      <c r="C63" s="24">
        <f>IF($C$46="NPL's own wallet",$C$35*$C$39,IF($C$46="fee on top of market",$C$35*$C$39*(1-$C$41),$C$35*$C$40))</f>
        <v/>
      </c>
      <c r="E63" s="17" t="inlineStr"/>
    </row>
    <row r="64">
      <c r="A64" s="3" t="inlineStr">
        <is>
          <t>Partner / agent cost</t>
        </is>
      </c>
      <c r="B64" s="17" t="inlineStr">
        <is>
          <t>amount × market − what the partner delivers (nil when NPL converts itself)</t>
        </is>
      </c>
      <c r="C64" s="24">
        <f>$C$35*$C$39-$C$63</f>
        <v/>
      </c>
      <c r="E64" s="17" t="inlineStr"/>
    </row>
    <row r="65">
      <c r="A65" s="3" t="inlineStr">
        <is>
          <t>NPL earns on this deal</t>
        </is>
      </c>
      <c r="B65" s="17" t="inlineStr">
        <is>
          <t>what the partner delivers − what the receiver is owed</t>
        </is>
      </c>
      <c r="C65" s="24">
        <f>$C$63-$C$62</f>
        <v/>
      </c>
      <c r="E65" s="17" t="inlineStr">
        <is>
          <t>locked in when the money is converted; the partner's rebate is NOT in this figure</t>
        </is>
      </c>
    </row>
    <row r="66">
      <c r="A66" s="3" t="inlineStr">
        <is>
          <t>NPL margin %</t>
        </is>
      </c>
      <c r="B66" s="17" t="inlineStr">
        <is>
          <t>NPL earns ÷ (amount × market)</t>
        </is>
      </c>
      <c r="C66" s="25">
        <f>IF($C$35*$C$39=0,0,$C$65/($C$35*$C$39))</f>
        <v/>
      </c>
      <c r="E66" s="17" t="inlineStr"/>
    </row>
    <row r="67">
      <c r="A67" s="3" t="inlineStr">
        <is>
          <t>Below the minimum margin?</t>
        </is>
      </c>
      <c r="B67" s="17" t="inlineStr">
        <is>
          <t>if so, the quote needs Finance approval</t>
        </is>
      </c>
      <c r="C67" s="6">
        <f>IF($C$66&lt;$C$50,"YES — Finance must approve","no")</f>
        <v/>
      </c>
      <c r="E67" s="17" t="inlineStr"/>
    </row>
    <row r="68">
      <c r="A68" s="3" t="inlineStr">
        <is>
          <t>Amount actually paid out</t>
        </is>
      </c>
      <c r="B68" s="17" t="inlineStr">
        <is>
          <t>amount owed, rounded as agreed</t>
        </is>
      </c>
      <c r="C68" s="24">
        <f>IF($C$48="round up",CEILING($C$62,$C$49),IF($C$48="nearest unit",MROUND($C$62,$C$49),IF($C$48="nearest 1,000",MROUND($C$62,$C$49),FLOOR($C$62,$C$49))))</f>
        <v/>
      </c>
      <c r="E68" s="17" t="inlineStr">
        <is>
          <t>only 'drop the cents' exists today; the other options need a system change (proposal F)</t>
        </is>
      </c>
    </row>
    <row r="69">
      <c r="A69" s="3" t="inlineStr">
        <is>
          <t>Cents left in the client's balance (negative = NPL's cost)</t>
        </is>
      </c>
      <c r="B69" s="17" t="inlineStr">
        <is>
          <t>amount owed − amount paid out</t>
        </is>
      </c>
      <c r="C69" s="24">
        <f>$C$62-$C$68</f>
        <v/>
      </c>
      <c r="E69" s="17" t="inlineStr"/>
    </row>
    <row r="70">
      <c r="A70" s="3" t="inlineStr">
        <is>
          <t>Rate printed on the customer's quote</t>
        </is>
      </c>
      <c r="B70" s="17" t="inlineStr">
        <is>
          <t>rate quoted to the sender ÷ (1 − fee shown) — the 'market rate' your customer-facing calculation prints</t>
        </is>
      </c>
      <c r="C70" s="23">
        <f>IF($C$51="",$C$58,$C$59/(1-$C$51))</f>
        <v/>
      </c>
      <c r="E70" s="17" t="inlineStr">
        <is>
          <t>needs a system change when it differs from the true rate (proposal C)</t>
        </is>
      </c>
    </row>
    <row r="71">
      <c r="A71" s="3" t="inlineStr">
        <is>
          <t>Rebate owed back to NPL by the partner</t>
        </is>
      </c>
      <c r="B71" s="17" t="inlineStr">
        <is>
          <t>partner's fee × % paid back — NPL's alone, never shared, tracked on its own</t>
        </is>
      </c>
      <c r="C71" s="24">
        <f>$C$64*$C$53</f>
        <v/>
      </c>
      <c r="E71" s="17" t="inlineStr">
        <is>
          <t>0 where the partner pays no rebate</t>
        </is>
      </c>
    </row>
    <row r="72">
      <c r="A72" s="3" t="inlineStr">
        <is>
          <t>Share owed to someone else</t>
        </is>
      </c>
      <c r="B72" s="17" t="inlineStr">
        <is>
          <t>amount × market × share % (the share is of NPL's earnings, not of the rebate)</t>
        </is>
      </c>
      <c r="C72" s="24">
        <f>$C$35*$C$39*$C$54</f>
        <v/>
      </c>
      <c r="E72" s="17" t="inlineStr">
        <is>
          <t>paid out of NPL's earnings</t>
        </is>
      </c>
    </row>
    <row r="73">
      <c r="A73" s="3" t="inlineStr">
        <is>
          <t>NPL keeps</t>
        </is>
      </c>
      <c r="B73" s="17" t="inlineStr">
        <is>
          <t>NPL earns − share owed + rebate</t>
        </is>
      </c>
      <c r="C73" s="24">
        <f>$C$65-$C$72+$C$71</f>
        <v/>
      </c>
      <c r="E73" s="17" t="inlineStr"/>
    </row>
    <row r="74">
      <c r="A74" s="3" t="inlineStr">
        <is>
          <t>Check: receiver + partner cost + NPL = amount × market</t>
        </is>
      </c>
      <c r="B74" s="17" t="inlineStr">
        <is>
          <t>must be zero</t>
        </is>
      </c>
      <c r="C74" s="24">
        <f>ROUND($C$62+$C$64+$C$65-$C$35*$C$39,6)</f>
        <v/>
      </c>
      <c r="E74" s="17" t="inlineStr">
        <is>
          <t>every unit sent is accounted for</t>
        </is>
      </c>
    </row>
    <row r="76">
      <c r="A76" s="15" t="inlineStr">
        <is>
          <t>D · Bookkeeping entries the system would write</t>
        </is>
      </c>
    </row>
    <row r="77">
      <c r="A77" s="16" t="inlineStr">
        <is>
          <t>Entry</t>
        </is>
      </c>
      <c r="B77" s="16" t="inlineStr">
        <is>
          <t>In / out</t>
        </is>
      </c>
      <c r="C77" s="16" t="inlineStr">
        <is>
          <t>Amount</t>
        </is>
      </c>
      <c r="D77" s="16" t="inlineStr">
        <is>
          <t>Whose money · what kind</t>
        </is>
      </c>
      <c r="E77" s="16" t="inlineStr">
        <is>
          <t>When</t>
        </is>
      </c>
    </row>
    <row r="78" ht="16" customHeight="1">
      <c r="A78" s="6">
        <f>"Client money received at "&amp;$C$38&amp;" ("&amp;$C$36&amp;")"</f>
        <v/>
      </c>
      <c r="B78" s="6" t="inlineStr">
        <is>
          <t>in</t>
        </is>
      </c>
      <c r="C78" s="24">
        <f>$C$35</f>
        <v/>
      </c>
      <c r="D78" s="17" t="inlineStr">
        <is>
          <t>client's money · the amount itself</t>
        </is>
      </c>
      <c r="E78" s="17" t="inlineStr">
        <is>
          <t>when the money arrives</t>
        </is>
      </c>
    </row>
    <row r="79" ht="16" customHeight="1">
      <c r="A79" s="6">
        <f>"Owed to the client's receivers ("&amp;$C$36&amp;")"</f>
        <v/>
      </c>
      <c r="B79" s="6" t="inlineStr">
        <is>
          <t>out</t>
        </is>
      </c>
      <c r="C79" s="24">
        <f>$C$35</f>
        <v/>
      </c>
      <c r="D79" s="17" t="inlineStr">
        <is>
          <t>client's money · the amount itself</t>
        </is>
      </c>
      <c r="E79" s="17" t="inlineStr">
        <is>
          <t>when the money arrives</t>
        </is>
      </c>
    </row>
    <row r="80" ht="16" customHeight="1">
      <c r="A80" s="6">
        <f>"Owed to the client's receivers ("&amp;$C$36&amp;")"</f>
        <v/>
      </c>
      <c r="B80" s="6" t="inlineStr">
        <is>
          <t>in</t>
        </is>
      </c>
      <c r="C80" s="24">
        <f>$C$35</f>
        <v/>
      </c>
      <c r="D80" s="17" t="inlineStr">
        <is>
          <t>client's money · the amount itself</t>
        </is>
      </c>
      <c r="E80" s="17" t="inlineStr">
        <is>
          <t>conversion — currency sent</t>
        </is>
      </c>
    </row>
    <row r="81" ht="16" customHeight="1">
      <c r="A81" s="6">
        <f>"Client money received at "&amp;$C$38&amp;" ("&amp;$C$36&amp;")"</f>
        <v/>
      </c>
      <c r="B81" s="6" t="inlineStr">
        <is>
          <t>out</t>
        </is>
      </c>
      <c r="C81" s="24">
        <f>$C$35</f>
        <v/>
      </c>
      <c r="D81" s="17" t="inlineStr">
        <is>
          <t>client's money · the amount itself</t>
        </is>
      </c>
      <c r="E81" s="17" t="inlineStr">
        <is>
          <t>conversion — currency sent</t>
        </is>
      </c>
    </row>
    <row r="82" ht="16" customHeight="1">
      <c r="A82" s="6">
        <f>"Client money ready to pay out at "&amp;$C$38&amp;" ("&amp;$C$37&amp;")"</f>
        <v/>
      </c>
      <c r="B82" s="6" t="inlineStr">
        <is>
          <t>in</t>
        </is>
      </c>
      <c r="C82" s="24">
        <f>$C$62</f>
        <v/>
      </c>
      <c r="D82" s="17" t="inlineStr">
        <is>
          <t>client's money · the amount itself (cents included)</t>
        </is>
      </c>
      <c r="E82" s="17" t="inlineStr">
        <is>
          <t>conversion — currency paid out</t>
        </is>
      </c>
    </row>
    <row r="83" ht="30" customHeight="1">
      <c r="A83" s="6">
        <f>"NPL's earnings kept at "&amp;$C$38&amp;" ("&amp;$C$37&amp;")"</f>
        <v/>
      </c>
      <c r="B83" s="6" t="inlineStr">
        <is>
          <t>in</t>
        </is>
      </c>
      <c r="C83" s="24">
        <f>IF(OR($C$52="paid back monthly",$C$52="held by the client, paid monthly"),0,$C$65)</f>
        <v/>
      </c>
      <c r="D83" s="17" t="inlineStr">
        <is>
          <t>NPL's money · earnings</t>
        </is>
      </c>
      <c r="E83" s="17" t="inlineStr">
        <is>
          <t>conversion — NPL's share left with the partner (or in NPL's own wallet)</t>
        </is>
      </c>
    </row>
    <row r="84" ht="30" customHeight="1">
      <c r="A84" s="6">
        <f>"Owed to NPL by the client ("&amp;$C$37&amp;")"</f>
        <v/>
      </c>
      <c r="B84" s="6" t="inlineStr">
        <is>
          <t>in</t>
        </is>
      </c>
      <c r="C84" s="24">
        <f>IF($C$52="held by the client, paid monthly",$C$65,0)</f>
        <v/>
      </c>
      <c r="D84" s="17" t="inlineStr">
        <is>
          <t>NPL's money · earnings</t>
        </is>
      </c>
      <c r="E84" s="17" t="inlineStr">
        <is>
          <t>conversion — the converted money went to the client's own account; NPL's share is owed by the client</t>
        </is>
      </c>
    </row>
    <row r="85" ht="16" customHeight="1">
      <c r="A85" s="6">
        <f>"Rebate owed to NPL by "&amp;$C$38&amp;" ("&amp;$C$37&amp;")"</f>
        <v/>
      </c>
      <c r="B85" s="6" t="inlineStr">
        <is>
          <t>in</t>
        </is>
      </c>
      <c r="C85" s="24">
        <f>$C$71</f>
        <v/>
      </c>
      <c r="D85" s="17" t="inlineStr">
        <is>
          <t>NPL's money · rebate (kept apart from earnings)</t>
        </is>
      </c>
      <c r="E85" s="17" t="inlineStr">
        <is>
          <t>conversion — the partner's monthly rebate</t>
        </is>
      </c>
    </row>
    <row r="86" ht="16" customHeight="1">
      <c r="A86" s="6">
        <f>"Owed to the client's receivers ("&amp;$C$37&amp;")"</f>
        <v/>
      </c>
      <c r="B86" s="6" t="inlineStr">
        <is>
          <t>out</t>
        </is>
      </c>
      <c r="C86" s="24">
        <f>$C$62</f>
        <v/>
      </c>
      <c r="D86" s="17" t="inlineStr">
        <is>
          <t>client's money · the amount itself</t>
        </is>
      </c>
      <c r="E86" s="17" t="inlineStr">
        <is>
          <t>conversion — currency paid out</t>
        </is>
      </c>
    </row>
    <row r="87" ht="16" customHeight="1">
      <c r="A87" s="6">
        <f>"NPL's earnings ("&amp;$C$37&amp;")"</f>
        <v/>
      </c>
      <c r="B87" s="6" t="inlineStr">
        <is>
          <t>out</t>
        </is>
      </c>
      <c r="C87" s="24">
        <f>$C$65</f>
        <v/>
      </c>
      <c r="D87" s="17" t="inlineStr">
        <is>
          <t>NPL's money · earnings</t>
        </is>
      </c>
      <c r="E87" s="17" t="inlineStr">
        <is>
          <t>margin recognised</t>
        </is>
      </c>
    </row>
    <row r="88" ht="16" customHeight="1">
      <c r="A88" s="6">
        <f>"NPL's rebate income ("&amp;$C$37&amp;")"</f>
        <v/>
      </c>
      <c r="B88" s="6" t="inlineStr">
        <is>
          <t>out</t>
        </is>
      </c>
      <c r="C88" s="24">
        <f>$C$71</f>
        <v/>
      </c>
      <c r="D88" s="17" t="inlineStr">
        <is>
          <t>NPL's money · rebate</t>
        </is>
      </c>
      <c r="E88" s="17" t="inlineStr">
        <is>
          <t>rebate expected — reported separately from earnings</t>
        </is>
      </c>
    </row>
    <row r="89" ht="16" customHeight="1">
      <c r="A89" s="6">
        <f>"Client money in transit from "&amp;$C$38&amp;" ("&amp;$C$37&amp;")"</f>
        <v/>
      </c>
      <c r="B89" s="6" t="inlineStr">
        <is>
          <t>in</t>
        </is>
      </c>
      <c r="C89" s="24">
        <f>$C$68</f>
        <v/>
      </c>
      <c r="D89" s="17" t="inlineStr">
        <is>
          <t>client's money · the amount itself</t>
        </is>
      </c>
      <c r="E89" s="17" t="inlineStr">
        <is>
          <t>payout released (rounded as agreed)</t>
        </is>
      </c>
    </row>
    <row r="90" ht="16" customHeight="1">
      <c r="A90" s="6">
        <f>"Client money ready to pay out at "&amp;$C$38&amp;" ("&amp;$C$37&amp;")"</f>
        <v/>
      </c>
      <c r="B90" s="6" t="inlineStr">
        <is>
          <t>out</t>
        </is>
      </c>
      <c r="C90" s="24">
        <f>$C$68</f>
        <v/>
      </c>
      <c r="D90" s="17" t="inlineStr">
        <is>
          <t>client's money · the amount itself</t>
        </is>
      </c>
      <c r="E90" s="17" t="inlineStr">
        <is>
          <t>payout released</t>
        </is>
      </c>
    </row>
    <row r="91" ht="16" customHeight="1">
      <c r="A91" s="6">
        <f>"Owed to the client's receivers ("&amp;$C$37&amp;")"</f>
        <v/>
      </c>
      <c r="B91" s="6" t="inlineStr">
        <is>
          <t>in</t>
        </is>
      </c>
      <c r="C91" s="24">
        <f>$C$68</f>
        <v/>
      </c>
      <c r="D91" s="17" t="inlineStr">
        <is>
          <t>client's money · the amount itself</t>
        </is>
      </c>
      <c r="E91" s="17" t="inlineStr">
        <is>
          <t>receiver confirms in full</t>
        </is>
      </c>
    </row>
    <row r="92" ht="16" customHeight="1">
      <c r="A92" s="6">
        <f>"Client money in transit from "&amp;$C$38&amp;" ("&amp;$C$37&amp;")"</f>
        <v/>
      </c>
      <c r="B92" s="6" t="inlineStr">
        <is>
          <t>out</t>
        </is>
      </c>
      <c r="C92" s="24">
        <f>$C$68</f>
        <v/>
      </c>
      <c r="D92" s="17" t="inlineStr">
        <is>
          <t>client's money · the amount itself</t>
        </is>
      </c>
      <c r="E92" s="17" t="inlineStr">
        <is>
          <t>receiver confirms in full</t>
        </is>
      </c>
    </row>
    <row r="93" ht="16" customHeight="1">
      <c r="A93" s="6">
        <f>"NPL's earnings ("&amp;$C$37&amp;")"</f>
        <v/>
      </c>
      <c r="B93" s="6" t="inlineStr">
        <is>
          <t>in</t>
        </is>
      </c>
      <c r="C93" s="24">
        <f>$C$72</f>
        <v/>
      </c>
      <c r="D93" s="17" t="inlineStr">
        <is>
          <t>NPL's money · share paid to someone else</t>
        </is>
      </c>
      <c r="E93" s="17" t="inlineStr">
        <is>
          <t>share accrued (if any)</t>
        </is>
      </c>
    </row>
    <row r="94" ht="16" customHeight="1">
      <c r="A94" s="6">
        <f>"Owed to the other party ("&amp;$C$37&amp;")"</f>
        <v/>
      </c>
      <c r="B94" s="6" t="inlineStr">
        <is>
          <t>out</t>
        </is>
      </c>
      <c r="C94" s="24">
        <f>$C$72</f>
        <v/>
      </c>
      <c r="D94" s="17" t="inlineStr">
        <is>
          <t>NPL's money · share paid to someone else</t>
        </is>
      </c>
      <c r="E94" s="17" t="inlineStr">
        <is>
          <t>share accrued</t>
        </is>
      </c>
    </row>
    <row r="95" ht="30" customHeight="1">
      <c r="A95" s="6">
        <f>"Owed to the other party ("&amp;$C$37&amp;")"</f>
        <v/>
      </c>
      <c r="B95" s="6" t="inlineStr">
        <is>
          <t>in</t>
        </is>
      </c>
      <c r="C95" s="24">
        <f>IF($C$52="held by the client, paid monthly",$C$72,0)</f>
        <v/>
      </c>
      <c r="D95" s="17" t="inlineStr">
        <is>
          <t>NPL's money · share</t>
        </is>
      </c>
      <c r="E95" s="17" t="inlineStr">
        <is>
          <t>netted: the client keeps its share out of the money in its account</t>
        </is>
      </c>
    </row>
    <row r="96" ht="16" customHeight="1">
      <c r="A96" s="6">
        <f>"Owed to NPL by the client ("&amp;$C$37&amp;")"</f>
        <v/>
      </c>
      <c r="B96" s="6" t="inlineStr">
        <is>
          <t>out</t>
        </is>
      </c>
      <c r="C96" s="24">
        <f>IF($C$52="held by the client, paid monthly",$C$72,0)</f>
        <v/>
      </c>
      <c r="D96" s="17" t="inlineStr">
        <is>
          <t>NPL's money · earnings</t>
        </is>
      </c>
      <c r="E96" s="17" t="inlineStr">
        <is>
          <t>netted: what the client pays NPL monthly is the rest</t>
        </is>
      </c>
    </row>
    <row r="97" ht="30" customHeight="1">
      <c r="A97" s="26" t="inlineStr">
        <is>
          <t>Check: in = out in the currency paid out</t>
        </is>
      </c>
      <c r="C97" s="27">
        <f>ROUND(SUMIF($B$82:$B$96,"in",$C$82:$C$96)-SUMIF($B$82:$B$96,"out",$C$82:$C$96),6)</f>
        <v/>
      </c>
      <c r="E97" s="17" t="inlineStr">
        <is>
          <t>money never appears or disappears: every entry moves it from one place to another</t>
        </is>
      </c>
    </row>
    <row r="99">
      <c r="A99" s="15" t="inlineStr">
        <is>
          <t>E · Compare with your sheet</t>
        </is>
      </c>
    </row>
    <row r="100">
      <c r="A100" s="16" t="inlineStr">
        <is>
          <t>Figure in your sheet</t>
        </is>
      </c>
      <c r="B100" s="16" t="inlineStr">
        <is>
          <t>Your value</t>
        </is>
      </c>
      <c r="C100" s="16" t="inlineStr">
        <is>
          <t>Worked out here</t>
        </is>
      </c>
      <c r="D100" s="16" t="inlineStr">
        <is>
          <t>Difference</t>
        </is>
      </c>
      <c r="E100" s="16" t="inlineStr">
        <is>
          <t>Comment</t>
        </is>
      </c>
    </row>
    <row r="101" ht="44" customHeight="1">
      <c r="A101" s="3" t="inlineStr">
        <is>
          <t>Rate shown on the customer's quote</t>
        </is>
      </c>
      <c r="B101" s="19" t="n">
        <v>0.857097</v>
      </c>
      <c r="C101" s="23">
        <f>$C$70</f>
        <v/>
      </c>
      <c r="D101" s="27">
        <f>ROUND(C101-B101,2)</f>
        <v/>
      </c>
      <c r="E101" s="17" t="inlineStr">
        <is>
          <t>sheet row 5 shows 0.857097 with 'Fee: 1 %' — the recomputed rate; the system would print the same figure from the true rates</t>
        </is>
      </c>
    </row>
    <row r="102" ht="16" customHeight="1">
      <c r="A102" s="3" t="inlineStr">
        <is>
          <t>EUR amount to the receiver</t>
        </is>
      </c>
      <c r="B102" s="18" t="n">
        <v>560927</v>
      </c>
      <c r="C102" s="24">
        <f>$C$60</f>
        <v/>
      </c>
      <c r="D102" s="27">
        <f>ROUND(C102-B102,2)</f>
        <v/>
      </c>
      <c r="E102" s="17" t="inlineStr">
        <is>
          <t>sheet row 5</t>
        </is>
      </c>
    </row>
    <row r="104">
      <c r="A104" s="15" t="inlineStr">
        <is>
          <t>F · Please confirm</t>
        </is>
      </c>
    </row>
    <row r="105" ht="32" customHeight="1">
      <c r="A105" s="14" t="inlineStr">
        <is>
          <t>•</t>
        </is>
      </c>
      <c r="B105" s="28" t="inlineStr">
        <is>
          <t>You said the '1 % shown' rule is for this project only and may later become 'partner rate + markup'. When that happens the 'fee shown to the customer' slot is simply left blank — nothing else changes. Tell us when.</t>
        </is>
      </c>
    </row>
    <row r="106" ht="32" customHeight="1">
      <c r="A106" s="14" t="inlineStr">
        <is>
          <t>•</t>
        </is>
      </c>
      <c r="B106" s="28" t="inlineStr">
        <is>
          <t>With the true market at 0.86050, Ali's cost on this deal was 1.0 % and NPL's 0.4 % — total 1.4 % as your sheet says. Please confirm 0.3 % as the minimum margin on Ali deals, or give another figure.</t>
        </is>
      </c>
    </row>
  </sheetData>
  <mergeCells count="2">
    <mergeCell ref="B106:E106"/>
    <mergeCell ref="B105:E10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0"/>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3 Sender+receiver pay — Sender and receiver both pay a part of the fee</t>
        </is>
      </c>
    </row>
    <row r="2">
      <c r="A2" s="13" t="inlineStr">
        <is>
          <t>Example taken from your sheet, rows</t>
        </is>
      </c>
      <c r="B2" s="14" t="inlineStr">
        <is>
          <t>21, 22, 23, 24</t>
        </is>
      </c>
    </row>
    <row r="4">
      <c r="A4" s="15" t="inlineStr">
        <is>
          <t>A · The set-up for this kind of deal</t>
        </is>
      </c>
    </row>
    <row r="5">
      <c r="A5" s="16" t="inlineStr">
        <is>
          <t>Item</t>
        </is>
      </c>
      <c r="B5" s="16" t="inlineStr">
        <is>
          <t>Value</t>
        </is>
      </c>
      <c r="C5" s="16" t="inlineStr">
        <is>
          <t>Where it comes from</t>
        </is>
      </c>
      <c r="D5" s="16" t="inlineStr">
        <is>
          <t>Note</t>
        </is>
      </c>
    </row>
    <row r="6" ht="16" customHeight="1">
      <c r="A6" s="3" t="inlineStr">
        <is>
          <t>Client</t>
        </is>
      </c>
      <c r="B6" s="10" t="inlineStr">
        <is>
          <t>Evo USDT Collection</t>
        </is>
      </c>
      <c r="C6" s="3" t="inlineStr">
        <is>
          <t>your sheet</t>
        </is>
      </c>
      <c r="D6" s="17" t="inlineStr">
        <is>
          <t>One set-up per client.</t>
        </is>
      </c>
    </row>
    <row r="7" ht="42" customHeight="1">
      <c r="A7" s="3" t="inlineStr">
        <is>
          <t>Who sends the money</t>
        </is>
      </c>
      <c r="B7" s="10" t="inlineStr">
        <is>
          <t>BCI (a sender in the Bplay group)</t>
        </is>
      </c>
      <c r="C7" s="3" t="inlineStr">
        <is>
          <t>your answer (8 Oct)</t>
        </is>
      </c>
      <c r="D7" s="17" t="inlineStr">
        <is>
          <t>The sender(s). Each must be on the list of who may pay this client's receivers.</t>
        </is>
      </c>
    </row>
    <row r="8" ht="54" customHeight="1">
      <c r="A8" s="3" t="inlineStr">
        <is>
          <t>Who gets paid</t>
        </is>
      </c>
      <c r="B8" s="10" t="inlineStr">
        <is>
          <t>Bplay — one of two receiver groups: Bplay (entities Babylon, Bplay, Lex) and TBet (entity TBet). Each sender belongs to one group.</t>
        </is>
      </c>
      <c r="C8" s="3" t="inlineStr">
        <is>
          <t>your answer (8 Oct)</t>
        </is>
      </c>
      <c r="D8" s="17" t="inlineStr">
        <is>
          <t>The receiver, or the vendor. A refund goes back to the sender's own account.</t>
        </is>
      </c>
    </row>
    <row r="9" ht="54" customHeight="1">
      <c r="A9" s="3" t="inlineStr">
        <is>
          <t>Their account</t>
        </is>
      </c>
      <c r="B9" s="10" t="inlineStr">
        <is>
          <t>EUR via SWIFT</t>
        </is>
      </c>
      <c r="C9" s="3" t="inlineStr">
        <is>
          <t>your answer (8 Oct)</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crypto</t>
        </is>
      </c>
      <c r="C10" s="3" t="inlineStr">
        <is>
          <t>your sheet</t>
        </is>
      </c>
      <c r="D10" s="17" t="inlineStr">
        <is>
          <t>crypto, bank transfer, cash, or a one-time local bank deposit.</t>
        </is>
      </c>
    </row>
    <row r="11" ht="54" customHeight="1">
      <c r="A11" s="3" t="inlineStr">
        <is>
          <t>Where it comes in</t>
        </is>
      </c>
      <c r="B11" s="10" t="inlineStr">
        <is>
          <t>PT vehicle · wallet · TRC-20</t>
        </is>
      </c>
      <c r="C11" s="3" t="inlineStr">
        <is>
          <t>your sheet</t>
        </is>
      </c>
      <c r="D11" s="17" t="inlineStr">
        <is>
          <t>Which partner company's wallet or bank account the sender pays into. It must be live, belong to that partner company, and be a wallet for crypto or a bank account for bank transfers.</t>
        </is>
      </c>
    </row>
    <row r="12" ht="42" customHeight="1">
      <c r="A12" s="3" t="inlineStr">
        <is>
          <t>Partner / agent</t>
        </is>
      </c>
      <c r="B12" s="10" t="inlineStr">
        <is>
          <t>Ali (can pay Babylon and TBet; Jeton can pay Bplay, Lex, TBet)</t>
        </is>
      </c>
      <c r="C12" s="3" t="inlineStr">
        <is>
          <t>your answer (8 Oct)</t>
        </is>
      </c>
      <c r="D12" s="17" t="inlineStr"/>
    </row>
    <row r="13" ht="54" customHeight="1">
      <c r="A13" s="3" t="inlineStr">
        <is>
          <t>How the partner prices</t>
        </is>
      </c>
      <c r="B13" s="10" t="inlineStr">
        <is>
          <t>fee inside its rate</t>
        </is>
      </c>
      <c r="C13" s="3" t="inlineStr">
        <is>
          <t>your sheet</t>
        </is>
      </c>
      <c r="D13" s="17" t="inlineStr">
        <is>
          <t>'fee on top of market': the partner converts at market and states its fee separately. 'fee inside its rate': the partner's margin is built into the rate it gives.</t>
        </is>
      </c>
    </row>
    <row r="14" ht="16" customHeight="1">
      <c r="A14" s="3" t="inlineStr">
        <is>
          <t>Exchange pair</t>
        </is>
      </c>
      <c r="B14" s="10" t="inlineStr">
        <is>
          <t>USDT → EUR</t>
        </is>
      </c>
      <c r="C14" s="3" t="inlineStr">
        <is>
          <t>your sheet</t>
        </is>
      </c>
      <c r="D14" s="17" t="inlineStr">
        <is>
          <t>currency sent → currency paid out.</t>
        </is>
      </c>
    </row>
    <row r="15" ht="54" customHeight="1">
      <c r="A15" s="3" t="inlineStr">
        <is>
          <t>Fee taken how</t>
        </is>
      </c>
      <c r="B15" s="10" t="inlineStr">
        <is>
          <t>off the rate the sender gets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market rate</t>
        </is>
      </c>
      <c r="C16" s="3" t="inlineStr">
        <is>
          <t>your sheet</t>
        </is>
      </c>
      <c r="D16" s="17" t="inlineStr">
        <is>
          <t>the market rate, or the agent's rate.</t>
        </is>
      </c>
    </row>
    <row r="17" ht="42" customHeight="1">
      <c r="A17" s="3" t="inlineStr">
        <is>
          <t>Fee is</t>
        </is>
      </c>
      <c r="B17" s="10" t="inlineStr">
        <is>
          <t>fixed</t>
        </is>
      </c>
      <c r="C17" s="3" t="inlineStr">
        <is>
          <t>your sheet</t>
        </is>
      </c>
      <c r="D17" s="17" t="inlineStr">
        <is>
          <t>fixed, or decided per deal between a lowest and a highest markup.</t>
        </is>
      </c>
    </row>
    <row r="18" ht="16" customHeight="1">
      <c r="A18" s="3" t="inlineStr">
        <is>
          <t>Total fee %</t>
        </is>
      </c>
      <c r="B18" s="12" t="n">
        <v>0.02</v>
      </c>
      <c r="C18" s="3" t="inlineStr">
        <is>
          <t>your sheet</t>
        </is>
      </c>
      <c r="D18" s="17" t="inlineStr">
        <is>
          <t>sender's part + receiver's part.</t>
        </is>
      </c>
    </row>
    <row r="19" ht="16" customHeight="1">
      <c r="A19" s="3" t="inlineStr">
        <is>
          <t>Sender pays %</t>
        </is>
      </c>
      <c r="B19" s="12" t="n">
        <v>0.014</v>
      </c>
      <c r="C19" s="3" t="inlineStr">
        <is>
          <t>your sheet</t>
        </is>
      </c>
      <c r="D19" s="17" t="inlineStr"/>
    </row>
    <row r="20" ht="16" customHeight="1">
      <c r="A20" s="3" t="inlineStr">
        <is>
          <t>Receiver pays %</t>
        </is>
      </c>
      <c r="B20" s="12" t="n">
        <v>0.006</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2" t="n">
        <v>0.005</v>
      </c>
      <c r="C23" s="3" t="inlineStr">
        <is>
          <t>your sheet</t>
        </is>
      </c>
      <c r="D23" s="17" t="inlineStr">
        <is>
          <t>A quote that earns less needs Finance's approval.</t>
        </is>
      </c>
    </row>
    <row r="24" ht="42" customHeight="1">
      <c r="A24" s="3" t="inlineStr">
        <is>
          <t>Fee shown to the customer %</t>
        </is>
      </c>
      <c r="B24" s="11" t="inlineStr"/>
      <c r="C24" s="3" t="inlineStr">
        <is>
          <t>not needed here</t>
        </is>
      </c>
      <c r="D24" s="17" t="inlineStr">
        <is>
          <t>Only when the customer-facing calculation shows a different fee from the true total. Needs a system change.</t>
        </is>
      </c>
    </row>
    <row r="25" ht="54" customHeight="1">
      <c r="A25" s="3" t="inlineStr">
        <is>
          <t>How NPL's share reaches NPL</t>
        </is>
      </c>
      <c r="B25" s="10" t="inlineStr">
        <is>
          <t>kept for NPL at the partner</t>
        </is>
      </c>
      <c r="C25" s="3" t="inlineStr">
        <is>
          <t>your sheet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1" t="inlineStr"/>
      <c r="C26" s="3" t="inlineStr">
        <is>
          <t>not needed here</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drop the cents</t>
        </is>
      </c>
      <c r="C28" s="3" t="inlineStr">
        <is>
          <t>your sheet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PT Sukses</t>
        </is>
      </c>
      <c r="C29" s="3" t="inlineStr">
        <is>
          <t>your answer (8 Oct)</t>
        </is>
      </c>
      <c r="D29" s="17" t="inlineStr">
        <is>
          <t>and the bank fee you expect on it</t>
        </is>
      </c>
    </row>
    <row r="30" ht="42" customHeight="1">
      <c r="A30" s="3" t="inlineStr">
        <is>
          <t>Name shown on the transfer</t>
        </is>
      </c>
      <c r="B30" s="10" t="inlineStr">
        <is>
          <t>Bplay</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2" ht="54" customHeight="1">
      <c r="A32" s="3" t="inlineStr">
        <is>
          <t>Selected senders (GTSI, HG, Komodo)</t>
        </is>
      </c>
      <c r="B32" s="10" t="inlineStr">
        <is>
          <t>sender 1.0 %, Evo still 0.6 % — the receiver part is fixed for all senders</t>
        </is>
      </c>
      <c r="C32" s="3" t="inlineStr">
        <is>
          <t>your answer (8 Oct)</t>
        </is>
      </c>
      <c r="D32" s="17" t="inlineStr">
        <is>
          <t>Needs a system change: today a per-sender override keeps the 70/30 proportion.</t>
        </is>
      </c>
    </row>
    <row r="33" ht="54" customHeight="1">
      <c r="A33" s="3" t="inlineStr">
        <is>
          <t>Bank cutoff for same-day conversion</t>
        </is>
      </c>
      <c r="B33" s="10" t="inlineStr">
        <is>
          <t>14:30 GMT+8 — rate taken from Ali in the morning; locked before the cutoff converts the same day, after it the next business day</t>
        </is>
      </c>
      <c r="C33" s="3" t="inlineStr">
        <is>
          <t>your answer (8 Oct)</t>
        </is>
      </c>
      <c r="D33" s="17" t="inlineStr">
        <is>
          <t>Needs a system change: the system has quote validity but no cutoff / next-day rule.</t>
        </is>
      </c>
    </row>
    <row r="34" ht="54" customHeight="1">
      <c r="A34" s="3" t="inlineStr">
        <is>
          <t>Via Jeton instead</t>
        </is>
      </c>
      <c r="B34" s="10" t="inlineStr">
        <is>
          <t>Jeton charges 1.25 % overall and pays 0.4 % back monthly; Jeton can only collect USDT</t>
        </is>
      </c>
      <c r="C34" s="3" t="inlineStr">
        <is>
          <t>your answer (8 Oct)</t>
        </is>
      </c>
      <c r="D34" s="17" t="inlineStr"/>
    </row>
    <row r="36">
      <c r="A36" s="15" t="inlineStr">
        <is>
          <t>B · Worked calculation — the deal (change any value)</t>
        </is>
      </c>
    </row>
    <row r="37">
      <c r="A37" s="16" t="inlineStr">
        <is>
          <t>Item</t>
        </is>
      </c>
      <c r="B37" s="16" t="inlineStr"/>
      <c r="C37" s="16" t="inlineStr">
        <is>
          <t>Value</t>
        </is>
      </c>
      <c r="D37" s="16" t="inlineStr"/>
      <c r="E37" s="16" t="inlineStr">
        <is>
          <t>Meaning</t>
        </is>
      </c>
    </row>
    <row r="38" ht="16" customHeight="1">
      <c r="A38" s="3" t="inlineStr">
        <is>
          <t>Amount sent</t>
        </is>
      </c>
      <c r="C38" s="18" t="n">
        <v>29325</v>
      </c>
      <c r="E38" s="17" t="inlineStr">
        <is>
          <t>what the sender pays in, in the currency sent</t>
        </is>
      </c>
    </row>
    <row r="39" ht="16" customHeight="1">
      <c r="A39" s="3" t="inlineStr">
        <is>
          <t>Currency sent</t>
        </is>
      </c>
      <c r="C39" s="8" t="inlineStr">
        <is>
          <t>USDT</t>
        </is>
      </c>
      <c r="E39" s="17" t="inlineStr"/>
    </row>
    <row r="40" ht="16" customHeight="1">
      <c r="A40" s="3" t="inlineStr">
        <is>
          <t>Currency paid out</t>
        </is>
      </c>
      <c r="C40" s="8" t="inlineStr">
        <is>
          <t>EUR</t>
        </is>
      </c>
      <c r="E40" s="17" t="inlineStr"/>
    </row>
    <row r="41" ht="16" customHeight="1">
      <c r="A41" s="3" t="inlineStr">
        <is>
          <t>Partner (short name)</t>
        </is>
      </c>
      <c r="C41" s="8" t="inlineStr">
        <is>
          <t>ALI</t>
        </is>
      </c>
      <c r="E41" s="17" t="inlineStr">
        <is>
          <t>used in the bookkeeping entries below</t>
        </is>
      </c>
    </row>
    <row r="42" ht="16" customHeight="1">
      <c r="A42" s="3" t="inlineStr">
        <is>
          <t>Market rate</t>
        </is>
      </c>
      <c r="C42" s="19" t="n">
        <v>0.888977323</v>
      </c>
      <c r="E42" s="17" t="inlineStr">
        <is>
          <t>units received per 1 unit sent, at the time of the quote</t>
        </is>
      </c>
    </row>
    <row r="43" ht="30" customHeight="1">
      <c r="A43" s="3" t="inlineStr">
        <is>
          <t>Agent rate (partners whose fee is inside the rate)</t>
        </is>
      </c>
      <c r="C43" s="19" t="n">
        <v>0.881421</v>
      </c>
      <c r="E43" s="17" t="inlineStr">
        <is>
          <t>assumed 0.85 % below market — you confirmed the example is a simulated Ali deal (the real one went via Jeton); replace with an actual Ali rate when convenient</t>
        </is>
      </c>
    </row>
    <row r="44" ht="30" customHeight="1">
      <c r="A44" s="3" t="inlineStr">
        <is>
          <t>Partner's fee on top of market</t>
        </is>
      </c>
      <c r="C44" s="21" t="n">
        <v>0</v>
      </c>
      <c r="E44" s="17" t="inlineStr">
        <is>
          <t>only for partners that state their fee separately; 0 otherwise</t>
        </is>
      </c>
    </row>
    <row r="45" ht="16" customHeight="1">
      <c r="A45" s="3" t="inlineStr">
        <is>
          <t>Total fee</t>
        </is>
      </c>
      <c r="C45" s="21" t="n">
        <v>0.02</v>
      </c>
      <c r="E45" s="17" t="inlineStr"/>
    </row>
    <row r="46" ht="16" customHeight="1">
      <c r="A46" s="3" t="inlineStr">
        <is>
          <t>Sender pays</t>
        </is>
      </c>
      <c r="C46" s="21" t="n">
        <v>0.014</v>
      </c>
      <c r="E46" s="17" t="inlineStr"/>
    </row>
    <row r="47" ht="16" customHeight="1">
      <c r="A47" s="3" t="inlineStr">
        <is>
          <t>Receiver pays</t>
        </is>
      </c>
      <c r="C47" s="21" t="n">
        <v>0.006</v>
      </c>
      <c r="E47" s="17" t="inlineStr"/>
    </row>
    <row r="48" ht="16" customHeight="1">
      <c r="A48" s="3" t="inlineStr">
        <is>
          <t>Fee applied to</t>
        </is>
      </c>
      <c r="C48" s="8" t="inlineStr">
        <is>
          <t>market rate</t>
        </is>
      </c>
      <c r="E48" s="17" t="inlineStr">
        <is>
          <t>market rate / agent rate</t>
        </is>
      </c>
    </row>
    <row r="49" ht="30" customHeight="1">
      <c r="A49" s="3" t="inlineStr">
        <is>
          <t>How the partner prices</t>
        </is>
      </c>
      <c r="C49" s="8" t="inlineStr">
        <is>
          <t>fee inside its rate</t>
        </is>
      </c>
      <c r="E49" s="17" t="inlineStr">
        <is>
          <t>fee on top of market / fee inside its rate / NPL's own wallet</t>
        </is>
      </c>
    </row>
    <row r="50" ht="16" customHeight="1">
      <c r="A50" s="3" t="inlineStr">
        <is>
          <t>Fee taken how</t>
        </is>
      </c>
      <c r="C50" s="8" t="inlineStr">
        <is>
          <t>off the rate the sender gets</t>
        </is>
      </c>
      <c r="E50" s="17" t="inlineStr">
        <is>
          <t>off the rate the sender gets / added to what the sender pays</t>
        </is>
      </c>
    </row>
    <row r="51" ht="16" customHeight="1">
      <c r="A51" s="3" t="inlineStr">
        <is>
          <t>Rounding</t>
        </is>
      </c>
      <c r="C51" s="8" t="inlineStr">
        <is>
          <t>drop the cents</t>
        </is>
      </c>
      <c r="E51" s="17" t="inlineStr">
        <is>
          <t>drop the cents / nearest unit / round up / nearest 1,000</t>
        </is>
      </c>
    </row>
    <row r="52" ht="16" customHeight="1">
      <c r="A52" s="3" t="inlineStr">
        <is>
          <t>Rounding unit</t>
        </is>
      </c>
      <c r="C52" s="18" t="n">
        <v>1</v>
      </c>
      <c r="E52" s="17" t="inlineStr">
        <is>
          <t>1 for whole units; 1000 for the nearest thousand</t>
        </is>
      </c>
    </row>
    <row r="53" ht="16" customHeight="1">
      <c r="A53" s="3" t="inlineStr">
        <is>
          <t>Minimum NPL margin</t>
        </is>
      </c>
      <c r="C53" s="21" t="n">
        <v>0.005</v>
      </c>
      <c r="E53" s="17" t="inlineStr"/>
    </row>
    <row r="54" ht="16" customHeight="1">
      <c r="A54" s="3" t="inlineStr">
        <is>
          <t>Fee shown to the customer (blank = the true fee)</t>
        </is>
      </c>
      <c r="C54" s="22" t="inlineStr"/>
      <c r="E54" s="17" t="inlineStr">
        <is>
          <t>needs a system change when it differs</t>
        </is>
      </c>
    </row>
    <row r="55" ht="30" customHeight="1">
      <c r="A55" s="3" t="inlineStr">
        <is>
          <t>How NPL's share reaches NPL</t>
        </is>
      </c>
      <c r="C55" s="8" t="inlineStr">
        <is>
          <t>kept for NPL at the partner</t>
        </is>
      </c>
      <c r="E55" s="17" t="inlineStr">
        <is>
          <t>kept for NPL at the partner / paid back monthly / held by the client, paid monthly / NPL's own wallet</t>
        </is>
      </c>
    </row>
    <row r="56" ht="16" customHeight="1">
      <c r="A56" s="3" t="inlineStr">
        <is>
          <t>% of the partner's fee paid back (rebate)</t>
        </is>
      </c>
      <c r="C56" s="21" t="n">
        <v>0</v>
      </c>
      <c r="E56" s="17" t="inlineStr">
        <is>
          <t>NPL's alone; 0 where there is none</t>
        </is>
      </c>
    </row>
    <row r="57" ht="30" customHeight="1">
      <c r="A57" s="3" t="inlineStr">
        <is>
          <t>Share paid to someone else %</t>
        </is>
      </c>
      <c r="C57" s="21" t="n">
        <v>0</v>
      </c>
      <c r="E57" s="17" t="inlineStr">
        <is>
          <t>of the amount × market; an introducer, or the customer who provides the sub-account</t>
        </is>
      </c>
    </row>
    <row r="59">
      <c r="A59" s="15" t="inlineStr">
        <is>
          <t>C · Worked calculation — what the system works out</t>
        </is>
      </c>
    </row>
    <row r="60">
      <c r="A60" s="16" t="inlineStr">
        <is>
          <t>Figure</t>
        </is>
      </c>
      <c r="B60" s="16" t="inlineStr">
        <is>
          <t>How it is worked out</t>
        </is>
      </c>
      <c r="C60" s="16" t="inlineStr">
        <is>
          <t>Value</t>
        </is>
      </c>
      <c r="E60" s="16" t="inlineStr">
        <is>
          <t>Note</t>
        </is>
      </c>
    </row>
    <row r="61">
      <c r="A61" s="3" t="inlineStr">
        <is>
          <t>Rate the fee is applied to</t>
        </is>
      </c>
      <c r="B61" s="17" t="inlineStr">
        <is>
          <t>the market rate, or the agent rate</t>
        </is>
      </c>
      <c r="C61" s="23">
        <f>IF($C$48="market rate",$C$42,$C$43)</f>
        <v/>
      </c>
      <c r="E61" s="17" t="inlineStr"/>
    </row>
    <row r="62">
      <c r="A62" s="3" t="inlineStr">
        <is>
          <t>Rate quoted to the sender</t>
        </is>
      </c>
      <c r="B62" s="17" t="inlineStr">
        <is>
          <t>that rate less the sender's fee — or, when the fee is added to what the sender pays, that rate ÷ (1 + fee)</t>
        </is>
      </c>
      <c r="C62" s="23">
        <f>IF($C$50="added to what the sender pays",$C$61/(1+$C$46),$C$61*(1-$C$46))</f>
        <v/>
      </c>
      <c r="E62" s="17" t="inlineStr"/>
    </row>
    <row r="63">
      <c r="A63" s="3" t="inlineStr">
        <is>
          <t>Amount the sender is promised</t>
        </is>
      </c>
      <c r="B63" s="17" t="inlineStr">
        <is>
          <t>amount sent × rate quoted to the sender</t>
        </is>
      </c>
      <c r="C63" s="24">
        <f>$C$38*$C$62</f>
        <v/>
      </c>
      <c r="E63" s="17" t="inlineStr">
        <is>
          <t>before any receiver-side fee</t>
        </is>
      </c>
    </row>
    <row r="64">
      <c r="A64" s="3" t="inlineStr">
        <is>
          <t>Receiver-side fee</t>
        </is>
      </c>
      <c r="B64" s="17" t="inlineStr">
        <is>
          <t>amount promised × receiver's fee</t>
        </is>
      </c>
      <c r="C64" s="24">
        <f>$C$63*$C$47</f>
        <v/>
      </c>
      <c r="E64" s="17" t="inlineStr">
        <is>
          <t>taken from the client's balance when the money is converted</t>
        </is>
      </c>
    </row>
    <row r="65">
      <c r="A65" s="3" t="inlineStr">
        <is>
          <t>Amount the receiver is owed</t>
        </is>
      </c>
      <c r="B65" s="17" t="inlineStr">
        <is>
          <t>amount promised − receiver-side fee</t>
        </is>
      </c>
      <c r="C65" s="24">
        <f>$C$63-$C$64</f>
        <v/>
      </c>
      <c r="E65" s="17" t="inlineStr">
        <is>
          <t>what the client's balance must deliver</t>
        </is>
      </c>
    </row>
    <row r="66">
      <c r="A66" s="3" t="inlineStr">
        <is>
          <t>What the partner delivers</t>
        </is>
      </c>
      <c r="B66" s="17" t="inlineStr">
        <is>
          <t>amount × agent rate · or amount × market less the partner's fee · or amount × market when NPL converts itself</t>
        </is>
      </c>
      <c r="C66" s="24">
        <f>IF($C$49="NPL's own wallet",$C$38*$C$42,IF($C$49="fee on top of market",$C$38*$C$42*(1-$C$44),$C$38*$C$43))</f>
        <v/>
      </c>
      <c r="E66" s="17" t="inlineStr"/>
    </row>
    <row r="67">
      <c r="A67" s="3" t="inlineStr">
        <is>
          <t>Partner / agent cost</t>
        </is>
      </c>
      <c r="B67" s="17" t="inlineStr">
        <is>
          <t>amount × market − what the partner delivers (nil when NPL converts itself)</t>
        </is>
      </c>
      <c r="C67" s="24">
        <f>$C$38*$C$42-$C$66</f>
        <v/>
      </c>
      <c r="E67" s="17" t="inlineStr"/>
    </row>
    <row r="68">
      <c r="A68" s="3" t="inlineStr">
        <is>
          <t>NPL earns on this deal</t>
        </is>
      </c>
      <c r="B68" s="17" t="inlineStr">
        <is>
          <t>what the partner delivers − what the receiver is owed</t>
        </is>
      </c>
      <c r="C68" s="24">
        <f>$C$66-$C$65</f>
        <v/>
      </c>
      <c r="E68" s="17" t="inlineStr">
        <is>
          <t>locked in when the money is converted; the partner's rebate is NOT in this figure</t>
        </is>
      </c>
    </row>
    <row r="69">
      <c r="A69" s="3" t="inlineStr">
        <is>
          <t>NPL margin %</t>
        </is>
      </c>
      <c r="B69" s="17" t="inlineStr">
        <is>
          <t>NPL earns ÷ (amount × market)</t>
        </is>
      </c>
      <c r="C69" s="25">
        <f>IF($C$38*$C$42=0,0,$C$68/($C$38*$C$42))</f>
        <v/>
      </c>
      <c r="E69" s="17" t="inlineStr"/>
    </row>
    <row r="70">
      <c r="A70" s="3" t="inlineStr">
        <is>
          <t>Below the minimum margin?</t>
        </is>
      </c>
      <c r="B70" s="17" t="inlineStr">
        <is>
          <t>if so, the quote needs Finance approval</t>
        </is>
      </c>
      <c r="C70" s="6">
        <f>IF($C$69&lt;$C$53,"YES — Finance must approve","no")</f>
        <v/>
      </c>
      <c r="E70" s="17" t="inlineStr"/>
    </row>
    <row r="71">
      <c r="A71" s="3" t="inlineStr">
        <is>
          <t>Amount actually paid out</t>
        </is>
      </c>
      <c r="B71" s="17" t="inlineStr">
        <is>
          <t>amount owed, rounded as agreed</t>
        </is>
      </c>
      <c r="C71" s="24">
        <f>IF($C$51="round up",CEILING($C$65,$C$52),IF($C$51="nearest unit",MROUND($C$65,$C$52),IF($C$51="nearest 1,000",MROUND($C$65,$C$52),FLOOR($C$65,$C$52))))</f>
        <v/>
      </c>
      <c r="E71" s="17" t="inlineStr">
        <is>
          <t>only 'drop the cents' exists today; the other options need a system change (proposal F)</t>
        </is>
      </c>
    </row>
    <row r="72">
      <c r="A72" s="3" t="inlineStr">
        <is>
          <t>Cents left in the client's balance (negative = NPL's cost)</t>
        </is>
      </c>
      <c r="B72" s="17" t="inlineStr">
        <is>
          <t>amount owed − amount paid out</t>
        </is>
      </c>
      <c r="C72" s="24">
        <f>$C$65-$C$71</f>
        <v/>
      </c>
      <c r="E72" s="17" t="inlineStr"/>
    </row>
    <row r="73">
      <c r="A73" s="3" t="inlineStr">
        <is>
          <t>Rate printed on the customer's quote</t>
        </is>
      </c>
      <c r="B73" s="17" t="inlineStr">
        <is>
          <t>rate quoted to the sender ÷ (1 − fee shown) — the 'market rate' your customer-facing calculation prints</t>
        </is>
      </c>
      <c r="C73" s="23">
        <f>IF($C$54="",$C$61,$C$62/(1-$C$54))</f>
        <v/>
      </c>
      <c r="E73" s="17" t="inlineStr">
        <is>
          <t>needs a system change when it differs from the true rate (proposal C)</t>
        </is>
      </c>
    </row>
    <row r="74">
      <c r="A74" s="3" t="inlineStr">
        <is>
          <t>Rebate owed back to NPL by the partner</t>
        </is>
      </c>
      <c r="B74" s="17" t="inlineStr">
        <is>
          <t>partner's fee × % paid back — NPL's alone, never shared, tracked on its own</t>
        </is>
      </c>
      <c r="C74" s="24">
        <f>$C$67*$C$56</f>
        <v/>
      </c>
      <c r="E74" s="17" t="inlineStr">
        <is>
          <t>0 where the partner pays no rebate</t>
        </is>
      </c>
    </row>
    <row r="75">
      <c r="A75" s="3" t="inlineStr">
        <is>
          <t>Share owed to someone else</t>
        </is>
      </c>
      <c r="B75" s="17" t="inlineStr">
        <is>
          <t>amount × market × share % (the share is of NPL's earnings, not of the rebate)</t>
        </is>
      </c>
      <c r="C75" s="24">
        <f>$C$38*$C$42*$C$57</f>
        <v/>
      </c>
      <c r="E75" s="17" t="inlineStr">
        <is>
          <t>paid out of NPL's earnings</t>
        </is>
      </c>
    </row>
    <row r="76">
      <c r="A76" s="3" t="inlineStr">
        <is>
          <t>NPL keeps</t>
        </is>
      </c>
      <c r="B76" s="17" t="inlineStr">
        <is>
          <t>NPL earns − share owed + rebate</t>
        </is>
      </c>
      <c r="C76" s="24">
        <f>$C$68-$C$75+$C$74</f>
        <v/>
      </c>
      <c r="E76" s="17" t="inlineStr"/>
    </row>
    <row r="77">
      <c r="A77" s="3" t="inlineStr">
        <is>
          <t>Check: receiver + partner cost + NPL = amount × market</t>
        </is>
      </c>
      <c r="B77" s="17" t="inlineStr">
        <is>
          <t>must be zero</t>
        </is>
      </c>
      <c r="C77" s="24">
        <f>ROUND($C$65+$C$67+$C$68-$C$38*$C$42,6)</f>
        <v/>
      </c>
      <c r="E77" s="17" t="inlineStr">
        <is>
          <t>every unit sent is accounted for</t>
        </is>
      </c>
    </row>
    <row r="79">
      <c r="A79" s="15" t="inlineStr">
        <is>
          <t>D · Bookkeeping entries the system would write</t>
        </is>
      </c>
    </row>
    <row r="80">
      <c r="A80" s="16" t="inlineStr">
        <is>
          <t>Entry</t>
        </is>
      </c>
      <c r="B80" s="16" t="inlineStr">
        <is>
          <t>In / out</t>
        </is>
      </c>
      <c r="C80" s="16" t="inlineStr">
        <is>
          <t>Amount</t>
        </is>
      </c>
      <c r="D80" s="16" t="inlineStr">
        <is>
          <t>Whose money · what kind</t>
        </is>
      </c>
      <c r="E80" s="16" t="inlineStr">
        <is>
          <t>When</t>
        </is>
      </c>
    </row>
    <row r="81" ht="16" customHeight="1">
      <c r="A81" s="6">
        <f>"Client money received at "&amp;$C$41&amp;" ("&amp;$C$39&amp;")"</f>
        <v/>
      </c>
      <c r="B81" s="6" t="inlineStr">
        <is>
          <t>in</t>
        </is>
      </c>
      <c r="C81" s="24">
        <f>$C$38</f>
        <v/>
      </c>
      <c r="D81" s="17" t="inlineStr">
        <is>
          <t>client's money · the amount itself</t>
        </is>
      </c>
      <c r="E81" s="17" t="inlineStr">
        <is>
          <t>when the money arrives</t>
        </is>
      </c>
    </row>
    <row r="82" ht="16" customHeight="1">
      <c r="A82" s="6">
        <f>"Owed to the client's receivers ("&amp;$C$39&amp;")"</f>
        <v/>
      </c>
      <c r="B82" s="6" t="inlineStr">
        <is>
          <t>out</t>
        </is>
      </c>
      <c r="C82" s="24">
        <f>$C$38</f>
        <v/>
      </c>
      <c r="D82" s="17" t="inlineStr">
        <is>
          <t>client's money · the amount itself</t>
        </is>
      </c>
      <c r="E82" s="17" t="inlineStr">
        <is>
          <t>when the money arrives</t>
        </is>
      </c>
    </row>
    <row r="83" ht="16" customHeight="1">
      <c r="A83" s="6">
        <f>"Owed to the client's receivers ("&amp;$C$39&amp;")"</f>
        <v/>
      </c>
      <c r="B83" s="6" t="inlineStr">
        <is>
          <t>in</t>
        </is>
      </c>
      <c r="C83" s="24">
        <f>$C$38</f>
        <v/>
      </c>
      <c r="D83" s="17" t="inlineStr">
        <is>
          <t>client's money · the amount itself</t>
        </is>
      </c>
      <c r="E83" s="17" t="inlineStr">
        <is>
          <t>conversion — currency sent</t>
        </is>
      </c>
    </row>
    <row r="84" ht="16" customHeight="1">
      <c r="A84" s="6">
        <f>"Client money received at "&amp;$C$41&amp;" ("&amp;$C$39&amp;")"</f>
        <v/>
      </c>
      <c r="B84" s="6" t="inlineStr">
        <is>
          <t>out</t>
        </is>
      </c>
      <c r="C84" s="24">
        <f>$C$38</f>
        <v/>
      </c>
      <c r="D84" s="17" t="inlineStr">
        <is>
          <t>client's money · the amount itself</t>
        </is>
      </c>
      <c r="E84" s="17" t="inlineStr">
        <is>
          <t>conversion — currency sent</t>
        </is>
      </c>
    </row>
    <row r="85" ht="16" customHeight="1">
      <c r="A85" s="6">
        <f>"Client money ready to pay out at "&amp;$C$41&amp;" ("&amp;$C$40&amp;")"</f>
        <v/>
      </c>
      <c r="B85" s="6" t="inlineStr">
        <is>
          <t>in</t>
        </is>
      </c>
      <c r="C85" s="24">
        <f>$C$65</f>
        <v/>
      </c>
      <c r="D85" s="17" t="inlineStr">
        <is>
          <t>client's money · the amount itself (cents included)</t>
        </is>
      </c>
      <c r="E85" s="17" t="inlineStr">
        <is>
          <t>conversion — currency paid out</t>
        </is>
      </c>
    </row>
    <row r="86" ht="30" customHeight="1">
      <c r="A86" s="6">
        <f>"NPL's earnings kept at "&amp;$C$41&amp;" ("&amp;$C$40&amp;")"</f>
        <v/>
      </c>
      <c r="B86" s="6" t="inlineStr">
        <is>
          <t>in</t>
        </is>
      </c>
      <c r="C86" s="24">
        <f>IF(OR($C$55="paid back monthly",$C$55="held by the client, paid monthly"),0,$C$68)</f>
        <v/>
      </c>
      <c r="D86" s="17" t="inlineStr">
        <is>
          <t>NPL's money · earnings</t>
        </is>
      </c>
      <c r="E86" s="17" t="inlineStr">
        <is>
          <t>conversion — NPL's share left with the partner (or in NPL's own wallet)</t>
        </is>
      </c>
    </row>
    <row r="87" ht="30" customHeight="1">
      <c r="A87" s="6">
        <f>"Owed to NPL by the client ("&amp;$C$40&amp;")"</f>
        <v/>
      </c>
      <c r="B87" s="6" t="inlineStr">
        <is>
          <t>in</t>
        </is>
      </c>
      <c r="C87" s="24">
        <f>IF($C$55="held by the client, paid monthly",$C$68,0)</f>
        <v/>
      </c>
      <c r="D87" s="17" t="inlineStr">
        <is>
          <t>NPL's money · earnings</t>
        </is>
      </c>
      <c r="E87" s="17" t="inlineStr">
        <is>
          <t>conversion — the converted money went to the client's own account; NPL's share is owed by the client</t>
        </is>
      </c>
    </row>
    <row r="88" ht="16" customHeight="1">
      <c r="A88" s="6">
        <f>"Rebate owed to NPL by "&amp;$C$41&amp;" ("&amp;$C$40&amp;")"</f>
        <v/>
      </c>
      <c r="B88" s="6" t="inlineStr">
        <is>
          <t>in</t>
        </is>
      </c>
      <c r="C88" s="24">
        <f>$C$74</f>
        <v/>
      </c>
      <c r="D88" s="17" t="inlineStr">
        <is>
          <t>NPL's money · rebate (kept apart from earnings)</t>
        </is>
      </c>
      <c r="E88" s="17" t="inlineStr">
        <is>
          <t>conversion — the partner's monthly rebate</t>
        </is>
      </c>
    </row>
    <row r="89" ht="16" customHeight="1">
      <c r="A89" s="6">
        <f>"Owed to the client's receivers ("&amp;$C$40&amp;")"</f>
        <v/>
      </c>
      <c r="B89" s="6" t="inlineStr">
        <is>
          <t>out</t>
        </is>
      </c>
      <c r="C89" s="24">
        <f>$C$65</f>
        <v/>
      </c>
      <c r="D89" s="17" t="inlineStr">
        <is>
          <t>client's money · the amount itself</t>
        </is>
      </c>
      <c r="E89" s="17" t="inlineStr">
        <is>
          <t>conversion — currency paid out</t>
        </is>
      </c>
    </row>
    <row r="90" ht="16" customHeight="1">
      <c r="A90" s="6">
        <f>"NPL's earnings ("&amp;$C$40&amp;")"</f>
        <v/>
      </c>
      <c r="B90" s="6" t="inlineStr">
        <is>
          <t>out</t>
        </is>
      </c>
      <c r="C90" s="24">
        <f>$C$68</f>
        <v/>
      </c>
      <c r="D90" s="17" t="inlineStr">
        <is>
          <t>NPL's money · earnings</t>
        </is>
      </c>
      <c r="E90" s="17" t="inlineStr">
        <is>
          <t>margin recognised</t>
        </is>
      </c>
    </row>
    <row r="91" ht="16" customHeight="1">
      <c r="A91" s="6">
        <f>"NPL's rebate income ("&amp;$C$40&amp;")"</f>
        <v/>
      </c>
      <c r="B91" s="6" t="inlineStr">
        <is>
          <t>out</t>
        </is>
      </c>
      <c r="C91" s="24">
        <f>$C$74</f>
        <v/>
      </c>
      <c r="D91" s="17" t="inlineStr">
        <is>
          <t>NPL's money · rebate</t>
        </is>
      </c>
      <c r="E91" s="17" t="inlineStr">
        <is>
          <t>rebate expected — reported separately from earnings</t>
        </is>
      </c>
    </row>
    <row r="92" ht="16" customHeight="1">
      <c r="A92" s="6">
        <f>"Client money in transit from "&amp;$C$41&amp;" ("&amp;$C$40&amp;")"</f>
        <v/>
      </c>
      <c r="B92" s="6" t="inlineStr">
        <is>
          <t>in</t>
        </is>
      </c>
      <c r="C92" s="24">
        <f>$C$71</f>
        <v/>
      </c>
      <c r="D92" s="17" t="inlineStr">
        <is>
          <t>client's money · the amount itself</t>
        </is>
      </c>
      <c r="E92" s="17" t="inlineStr">
        <is>
          <t>payout released (rounded as agreed)</t>
        </is>
      </c>
    </row>
    <row r="93" ht="16" customHeight="1">
      <c r="A93" s="6">
        <f>"Client money ready to pay out at "&amp;$C$41&amp;" ("&amp;$C$40&amp;")"</f>
        <v/>
      </c>
      <c r="B93" s="6" t="inlineStr">
        <is>
          <t>out</t>
        </is>
      </c>
      <c r="C93" s="24">
        <f>$C$71</f>
        <v/>
      </c>
      <c r="D93" s="17" t="inlineStr">
        <is>
          <t>client's money · the amount itself</t>
        </is>
      </c>
      <c r="E93" s="17" t="inlineStr">
        <is>
          <t>payout released</t>
        </is>
      </c>
    </row>
    <row r="94" ht="16" customHeight="1">
      <c r="A94" s="6">
        <f>"Owed to the client's receivers ("&amp;$C$40&amp;")"</f>
        <v/>
      </c>
      <c r="B94" s="6" t="inlineStr">
        <is>
          <t>in</t>
        </is>
      </c>
      <c r="C94" s="24">
        <f>$C$71</f>
        <v/>
      </c>
      <c r="D94" s="17" t="inlineStr">
        <is>
          <t>client's money · the amount itself</t>
        </is>
      </c>
      <c r="E94" s="17" t="inlineStr">
        <is>
          <t>receiver confirms in full</t>
        </is>
      </c>
    </row>
    <row r="95" ht="16" customHeight="1">
      <c r="A95" s="6">
        <f>"Client money in transit from "&amp;$C$41&amp;" ("&amp;$C$40&amp;")"</f>
        <v/>
      </c>
      <c r="B95" s="6" t="inlineStr">
        <is>
          <t>out</t>
        </is>
      </c>
      <c r="C95" s="24">
        <f>$C$71</f>
        <v/>
      </c>
      <c r="D95" s="17" t="inlineStr">
        <is>
          <t>client's money · the amount itself</t>
        </is>
      </c>
      <c r="E95" s="17" t="inlineStr">
        <is>
          <t>receiver confirms in full</t>
        </is>
      </c>
    </row>
    <row r="96" ht="16" customHeight="1">
      <c r="A96" s="6">
        <f>"NPL's earnings ("&amp;$C$40&amp;")"</f>
        <v/>
      </c>
      <c r="B96" s="6" t="inlineStr">
        <is>
          <t>in</t>
        </is>
      </c>
      <c r="C96" s="24">
        <f>$C$75</f>
        <v/>
      </c>
      <c r="D96" s="17" t="inlineStr">
        <is>
          <t>NPL's money · share paid to someone else</t>
        </is>
      </c>
      <c r="E96" s="17" t="inlineStr">
        <is>
          <t>share accrued (if any)</t>
        </is>
      </c>
    </row>
    <row r="97" ht="16" customHeight="1">
      <c r="A97" s="6">
        <f>"Owed to the other party ("&amp;$C$40&amp;")"</f>
        <v/>
      </c>
      <c r="B97" s="6" t="inlineStr">
        <is>
          <t>out</t>
        </is>
      </c>
      <c r="C97" s="24">
        <f>$C$75</f>
        <v/>
      </c>
      <c r="D97" s="17" t="inlineStr">
        <is>
          <t>NPL's money · share paid to someone else</t>
        </is>
      </c>
      <c r="E97" s="17" t="inlineStr">
        <is>
          <t>share accrued</t>
        </is>
      </c>
    </row>
    <row r="98" ht="30" customHeight="1">
      <c r="A98" s="6">
        <f>"Owed to the other party ("&amp;$C$40&amp;")"</f>
        <v/>
      </c>
      <c r="B98" s="6" t="inlineStr">
        <is>
          <t>in</t>
        </is>
      </c>
      <c r="C98" s="24">
        <f>IF($C$55="held by the client, paid monthly",$C$75,0)</f>
        <v/>
      </c>
      <c r="D98" s="17" t="inlineStr">
        <is>
          <t>NPL's money · share</t>
        </is>
      </c>
      <c r="E98" s="17" t="inlineStr">
        <is>
          <t>netted: the client keeps its share out of the money in its account</t>
        </is>
      </c>
    </row>
    <row r="99" ht="16" customHeight="1">
      <c r="A99" s="6">
        <f>"Owed to NPL by the client ("&amp;$C$40&amp;")"</f>
        <v/>
      </c>
      <c r="B99" s="6" t="inlineStr">
        <is>
          <t>out</t>
        </is>
      </c>
      <c r="C99" s="24">
        <f>IF($C$55="held by the client, paid monthly",$C$75,0)</f>
        <v/>
      </c>
      <c r="D99" s="17" t="inlineStr">
        <is>
          <t>NPL's money · earnings</t>
        </is>
      </c>
      <c r="E99" s="17" t="inlineStr">
        <is>
          <t>netted: what the client pays NPL monthly is the rest</t>
        </is>
      </c>
    </row>
    <row r="100" ht="30" customHeight="1">
      <c r="A100" s="26" t="inlineStr">
        <is>
          <t>Check: in = out in the currency paid out</t>
        </is>
      </c>
      <c r="C100" s="27">
        <f>ROUND(SUMIF($B$85:$B$99,"in",$C$85:$C$99)-SUMIF($B$85:$B$99,"out",$C$85:$C$99),6)</f>
        <v/>
      </c>
      <c r="E100" s="17" t="inlineStr">
        <is>
          <t>money never appears or disappears: every entry moves it from one place to another</t>
        </is>
      </c>
    </row>
    <row r="102">
      <c r="A102" s="15" t="inlineStr">
        <is>
          <t>E · Compare with your sheet</t>
        </is>
      </c>
    </row>
    <row r="103">
      <c r="A103" s="16" t="inlineStr">
        <is>
          <t>Figure in your sheet</t>
        </is>
      </c>
      <c r="B103" s="16" t="inlineStr">
        <is>
          <t>Your value</t>
        </is>
      </c>
      <c r="C103" s="16" t="inlineStr">
        <is>
          <t>Worked out here</t>
        </is>
      </c>
      <c r="D103" s="16" t="inlineStr">
        <is>
          <t>Difference</t>
        </is>
      </c>
      <c r="E103" s="16" t="inlineStr">
        <is>
          <t>Comment</t>
        </is>
      </c>
    </row>
    <row r="104" ht="30" customHeight="1">
      <c r="A104" s="3" t="inlineStr">
        <is>
          <t>Rate quoted to the sender (final rate)</t>
        </is>
      </c>
      <c r="B104" s="19" t="n">
        <v>0.876531640478</v>
      </c>
      <c r="C104" s="23">
        <f>$C$62</f>
        <v/>
      </c>
      <c r="D104" s="27">
        <f>ROUND(C104-B104,2)</f>
        <v/>
      </c>
      <c r="E104" s="17" t="inlineStr">
        <is>
          <t>sheet row 21: 0.888977 × 0.986 — matches the 0.87653 on your customer-facing message</t>
        </is>
      </c>
    </row>
    <row r="105" ht="16" customHeight="1">
      <c r="A105" s="3" t="inlineStr">
        <is>
          <t>EUR to the Evo balance (gross)</t>
        </is>
      </c>
      <c r="B105" s="18" t="n">
        <v>25704</v>
      </c>
      <c r="C105" s="24">
        <f>$C$63</f>
        <v/>
      </c>
      <c r="D105" s="27">
        <f>ROUND(C105-B105,2)</f>
        <v/>
      </c>
      <c r="E105" s="17" t="inlineStr">
        <is>
          <t>sheet row 21</t>
        </is>
      </c>
    </row>
    <row r="106" ht="44" customHeight="1">
      <c r="A106" s="3" t="inlineStr">
        <is>
          <t>EUR after Evo's 0.6 % fee</t>
        </is>
      </c>
      <c r="B106" s="18" t="n">
        <v>25548</v>
      </c>
      <c r="C106" s="24">
        <f>$C$65</f>
        <v/>
      </c>
      <c r="D106" s="27">
        <f>ROUND(C106-B106,2)</f>
        <v/>
      </c>
      <c r="E106" s="17" t="inlineStr">
        <is>
          <t>sheet row 21, corrected by NPL on 21 October: (29,325 − 2 %) × 0.888977323 = 25,548 — the receiver's part on the principal (the 8 October sheet read 25,704 − 0.6 % = 25,550)</t>
        </is>
      </c>
    </row>
    <row r="108">
      <c r="A108" s="15" t="inlineStr">
        <is>
          <t>F · Please confirm</t>
        </is>
      </c>
    </row>
    <row r="109" ht="46" customHeight="1">
      <c r="A109" s="14" t="inlineStr">
        <is>
          <t>•</t>
        </is>
      </c>
      <c r="B109" s="28" t="inlineStr">
        <is>
          <t>After the 2.30 pm cutoff the sender's calculation keeps the morning's figures but Ali converts the next business day at that day's rate. Who bears the difference between the two rates — NPL (as a variance), or is the sender re-quoted?</t>
        </is>
      </c>
    </row>
    <row r="110" ht="32" customHeight="1">
      <c r="A110" s="14" t="inlineStr">
        <is>
          <t>•</t>
        </is>
      </c>
      <c r="B110" s="28" t="inlineStr">
        <is>
          <t>Some Evo senders pay what they can (collect first), others pay the exact invoice (quote first): both exist in the system. Please list which senders are which when you fill 'All fee lines'.</t>
        </is>
      </c>
    </row>
  </sheetData>
  <mergeCells count="2">
    <mergeCell ref="B110:E110"/>
    <mergeCell ref="B109:E10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4 Fee per deal — Fee decided per deal, with a lowest value and a minimum margin</t>
        </is>
      </c>
    </row>
    <row r="2">
      <c r="A2" s="13" t="inlineStr">
        <is>
          <t>Example taken from your sheet, rows</t>
        </is>
      </c>
      <c r="B2" s="14" t="inlineStr">
        <is>
          <t>29, 30, 31</t>
        </is>
      </c>
    </row>
    <row r="4">
      <c r="A4" s="15" t="inlineStr">
        <is>
          <t>A · The set-up for this kind of deal</t>
        </is>
      </c>
    </row>
    <row r="5">
      <c r="A5" s="16" t="inlineStr">
        <is>
          <t>Item</t>
        </is>
      </c>
      <c r="B5" s="16" t="inlineStr">
        <is>
          <t>Value</t>
        </is>
      </c>
      <c r="C5" s="16" t="inlineStr">
        <is>
          <t>Where it comes from</t>
        </is>
      </c>
      <c r="D5" s="16" t="inlineStr">
        <is>
          <t>Note</t>
        </is>
      </c>
    </row>
    <row r="6" ht="16" customHeight="1">
      <c r="A6" s="3" t="inlineStr">
        <is>
          <t>Client</t>
        </is>
      </c>
      <c r="B6" s="10" t="inlineStr">
        <is>
          <t>66 Group Remittance INR</t>
        </is>
      </c>
      <c r="C6" s="3" t="inlineStr">
        <is>
          <t>your sheet</t>
        </is>
      </c>
      <c r="D6" s="17" t="inlineStr">
        <is>
          <t>One set-up per client.</t>
        </is>
      </c>
    </row>
    <row r="7" ht="42" customHeight="1">
      <c r="A7" s="3" t="inlineStr">
        <is>
          <t>Who sends the money</t>
        </is>
      </c>
      <c r="B7" s="10" t="inlineStr">
        <is>
          <t>66 Group</t>
        </is>
      </c>
      <c r="C7" s="3" t="inlineStr">
        <is>
          <t>your answer (8 Oct)</t>
        </is>
      </c>
      <c r="D7" s="17" t="inlineStr">
        <is>
          <t>The sender(s). Each must be on the list of who may pay this client's receivers.</t>
        </is>
      </c>
    </row>
    <row r="8" ht="42" customHeight="1">
      <c r="A8" s="3" t="inlineStr">
        <is>
          <t>Who gets paid</t>
        </is>
      </c>
      <c r="B8" s="10" t="inlineStr">
        <is>
          <t>Autotroph Ltd</t>
        </is>
      </c>
      <c r="C8" s="3" t="inlineStr">
        <is>
          <t>your answer (8 Oct)</t>
        </is>
      </c>
      <c r="D8" s="17" t="inlineStr">
        <is>
          <t>The receiver, or the vendor. A refund goes back to the sender's own account.</t>
        </is>
      </c>
    </row>
    <row r="9" ht="54" customHeight="1">
      <c r="A9" s="3" t="inlineStr">
        <is>
          <t>Their account</t>
        </is>
      </c>
      <c r="B9" s="10" t="inlineStr">
        <is>
          <t>USD via SWIFT</t>
        </is>
      </c>
      <c r="C9" s="3" t="inlineStr">
        <is>
          <t>your answer (8 Oct)</t>
        </is>
      </c>
      <c r="D9" s="17" t="inlineStr">
        <is>
          <t>Currency, bank account or wallet, and the route: EUR by SEPA and EUR by SWIFT count as two accounts; a wallet needs its network and address; a transfer inside the partner's own platform is its own route.</t>
        </is>
      </c>
    </row>
    <row r="10" ht="54" customHeight="1">
      <c r="A10" s="3" t="inlineStr">
        <is>
          <t>How the money comes in</t>
        </is>
      </c>
      <c r="B10" s="10" t="inlineStr">
        <is>
          <t>cash (almost always); a local INR bank account is arranged on demand for one transaction</t>
        </is>
      </c>
      <c r="C10" s="3" t="inlineStr">
        <is>
          <t>your answer (8 Oct)</t>
        </is>
      </c>
      <c r="D10" s="17" t="inlineStr">
        <is>
          <t>crypto, bank transfer, cash, or a one-time local bank deposit.</t>
        </is>
      </c>
    </row>
    <row r="11" ht="54" customHeight="1">
      <c r="A11" s="3" t="inlineStr">
        <is>
          <t>Where it comes in</t>
        </is>
      </c>
      <c r="B11" s="10" t="inlineStr">
        <is>
          <t>cash token via Ali's local agent — the rate differs by city</t>
        </is>
      </c>
      <c r="C11" s="3" t="inlineStr">
        <is>
          <t>your answer (8 Oct)</t>
        </is>
      </c>
      <c r="D11" s="17" t="inlineStr">
        <is>
          <t>Which partner company's wallet or bank account the sender pays into. It must be live, belong to that partner company, and be a wallet for crypto or a bank account for bank transfers.</t>
        </is>
      </c>
    </row>
    <row r="12" ht="16" customHeight="1">
      <c r="A12" s="3" t="inlineStr">
        <is>
          <t>Partner / agent</t>
        </is>
      </c>
      <c r="B12" s="10" t="inlineStr">
        <is>
          <t>Ali</t>
        </is>
      </c>
      <c r="C12" s="3" t="inlineStr">
        <is>
          <t>your sheet</t>
        </is>
      </c>
      <c r="D12" s="17" t="inlineStr"/>
    </row>
    <row r="13" ht="54" customHeight="1">
      <c r="A13" s="3" t="inlineStr">
        <is>
          <t>How the partner prices</t>
        </is>
      </c>
      <c r="B13" s="10" t="inlineStr">
        <is>
          <t>fee inside its rate</t>
        </is>
      </c>
      <c r="C13" s="3" t="inlineStr">
        <is>
          <t>your sheet</t>
        </is>
      </c>
      <c r="D13" s="17" t="inlineStr">
        <is>
          <t>'fee on top of market': the partner converts at market and states its fee separately. 'fee inside its rate': the partner's margin is built into the rate it gives.</t>
        </is>
      </c>
    </row>
    <row r="14" ht="16" customHeight="1">
      <c r="A14" s="3" t="inlineStr">
        <is>
          <t>Exchange pair</t>
        </is>
      </c>
      <c r="B14" s="10" t="inlineStr">
        <is>
          <t>INR → USD</t>
        </is>
      </c>
      <c r="C14" s="3" t="inlineStr">
        <is>
          <t>your sheet</t>
        </is>
      </c>
      <c r="D14" s="17" t="inlineStr">
        <is>
          <t>currency sent → currency paid out.</t>
        </is>
      </c>
    </row>
    <row r="15" ht="54" customHeight="1">
      <c r="A15" s="3" t="inlineStr">
        <is>
          <t>Fee taken how</t>
        </is>
      </c>
      <c r="B15" s="10" t="inlineStr">
        <is>
          <t>added to what the sender pays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market rate</t>
        </is>
      </c>
      <c r="C16" s="3" t="inlineStr">
        <is>
          <t>your sheet</t>
        </is>
      </c>
      <c r="D16" s="17" t="inlineStr">
        <is>
          <t>the market rate, or the agent's rate.</t>
        </is>
      </c>
    </row>
    <row r="17" ht="42" customHeight="1">
      <c r="A17" s="3" t="inlineStr">
        <is>
          <t>Fee is</t>
        </is>
      </c>
      <c r="B17" s="10" t="inlineStr">
        <is>
          <t>set per deal</t>
        </is>
      </c>
      <c r="C17" s="3" t="inlineStr">
        <is>
          <t>your sheet</t>
        </is>
      </c>
      <c r="D17" s="17" t="inlineStr">
        <is>
          <t>fixed, or decided per deal between a lowest and a highest markup.</t>
        </is>
      </c>
    </row>
    <row r="18" ht="16" customHeight="1">
      <c r="A18" s="3" t="inlineStr">
        <is>
          <t>Total fee %</t>
        </is>
      </c>
      <c r="B18" s="12" t="n">
        <v>0.07000000000000001</v>
      </c>
      <c r="C18" s="3" t="inlineStr">
        <is>
          <t>your sheet</t>
        </is>
      </c>
      <c r="D18" s="17" t="inlineStr">
        <is>
          <t>sender's part + receiver's part.</t>
        </is>
      </c>
    </row>
    <row r="19" ht="16" customHeight="1">
      <c r="A19" s="3" t="inlineStr">
        <is>
          <t>Sender pays %</t>
        </is>
      </c>
      <c r="B19" s="12" t="n">
        <v>0.07000000000000001</v>
      </c>
      <c r="C19" s="3" t="inlineStr">
        <is>
          <t>your sheet</t>
        </is>
      </c>
      <c r="D19" s="17" t="inlineStr"/>
    </row>
    <row r="20" ht="16" customHeight="1">
      <c r="A20" s="3" t="inlineStr">
        <is>
          <t>Receiver pays %</t>
        </is>
      </c>
      <c r="B20" s="12" t="n">
        <v>0</v>
      </c>
      <c r="C20" s="3" t="inlineStr">
        <is>
          <t>your sheet</t>
        </is>
      </c>
      <c r="D20" s="17" t="inlineStr">
        <is>
          <t>Taken from the client's balance when the money is converted.</t>
        </is>
      </c>
    </row>
    <row r="21" ht="16" customHeight="1">
      <c r="A21" s="3" t="inlineStr">
        <is>
          <t>Lowest markup %</t>
        </is>
      </c>
      <c r="B21" s="11" t="inlineStr"/>
      <c r="C21" s="3" t="inlineStr">
        <is>
          <t>please fill in</t>
        </is>
      </c>
      <c r="D21" s="17" t="inlineStr">
        <is>
          <t>only when the fee is decided per deal — the least NPL adds</t>
        </is>
      </c>
    </row>
    <row r="22" ht="42" customHeight="1">
      <c r="A22" s="3" t="inlineStr">
        <is>
          <t>Highest markup %</t>
        </is>
      </c>
      <c r="B22" s="11" t="inlineStr"/>
      <c r="C22" s="3" t="inlineStr">
        <is>
          <t>please fill in</t>
        </is>
      </c>
      <c r="D22" s="17" t="inlineStr">
        <is>
          <t>only when the fee is decided per deal — the most NPL adds (your 'max markup')</t>
        </is>
      </c>
    </row>
    <row r="23" ht="16" customHeight="1">
      <c r="A23" s="3" t="inlineStr">
        <is>
          <t>Minimum NPL margin %</t>
        </is>
      </c>
      <c r="B23" s="12" t="n">
        <v>0.005</v>
      </c>
      <c r="C23" s="3" t="inlineStr">
        <is>
          <t>your sheet</t>
        </is>
      </c>
      <c r="D23" s="17" t="inlineStr">
        <is>
          <t>A quote that earns less needs Finance's approval.</t>
        </is>
      </c>
    </row>
    <row r="24" ht="42" customHeight="1">
      <c r="A24" s="3" t="inlineStr">
        <is>
          <t>Fee shown to the customer %</t>
        </is>
      </c>
      <c r="B24" s="11" t="inlineStr"/>
      <c r="C24" s="3" t="inlineStr">
        <is>
          <t>not needed here</t>
        </is>
      </c>
      <c r="D24" s="17" t="inlineStr">
        <is>
          <t>Only when the customer-facing calculation shows a different fee from the true total. Needs a system change.</t>
        </is>
      </c>
    </row>
    <row r="25" ht="54" customHeight="1">
      <c r="A25" s="3" t="inlineStr">
        <is>
          <t>How NPL's share reaches NPL</t>
        </is>
      </c>
      <c r="B25" s="10" t="inlineStr">
        <is>
          <t>kept for NPL at the partner</t>
        </is>
      </c>
      <c r="C25" s="3" t="inlineStr">
        <is>
          <t>your sheet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1" t="inlineStr"/>
      <c r="C26" s="3" t="inlineStr">
        <is>
          <t>not needed here</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nearest 1,000 (on the INR collected)</t>
        </is>
      </c>
      <c r="C28" s="3" t="inlineStr">
        <is>
          <t>your sheet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PT Global</t>
        </is>
      </c>
      <c r="C29" s="3" t="inlineStr">
        <is>
          <t>your answer (8 Oct)</t>
        </is>
      </c>
      <c r="D29" s="17" t="inlineStr">
        <is>
          <t>and the bank fee you expect on it</t>
        </is>
      </c>
    </row>
    <row r="30" ht="42" customHeight="1">
      <c r="A30" s="3" t="inlineStr">
        <is>
          <t>Name shown on the transfer</t>
        </is>
      </c>
      <c r="B30" s="10" t="inlineStr">
        <is>
          <t>NPL</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2" ht="54" customHeight="1">
      <c r="A32" s="3" t="inlineStr">
        <is>
          <t>Where the cash is handed over (city)</t>
        </is>
      </c>
      <c r="B32" s="11" t="inlineStr"/>
      <c r="C32" s="3" t="inlineStr">
        <is>
          <t>please fill in</t>
        </is>
      </c>
      <c r="D32" s="17" t="inlineStr">
        <is>
          <t>Your Payment methods tab: Delhi and Mumbai, or Bangkok and Singapore, carry different agents and different rates. Needs a system change.</t>
        </is>
      </c>
    </row>
    <row r="34">
      <c r="A34" s="15" t="inlineStr">
        <is>
          <t>B · Worked calculation — the deal (change any value)</t>
        </is>
      </c>
    </row>
    <row r="35">
      <c r="A35" s="16" t="inlineStr">
        <is>
          <t>Item</t>
        </is>
      </c>
      <c r="B35" s="16" t="inlineStr"/>
      <c r="C35" s="16" t="inlineStr">
        <is>
          <t>Value</t>
        </is>
      </c>
      <c r="D35" s="16" t="inlineStr"/>
      <c r="E35" s="16" t="inlineStr">
        <is>
          <t>Meaning</t>
        </is>
      </c>
    </row>
    <row r="36" ht="16" customHeight="1">
      <c r="A36" s="3" t="inlineStr">
        <is>
          <t>Amount sent</t>
        </is>
      </c>
      <c r="C36" s="18" t="n">
        <v>2329000</v>
      </c>
      <c r="E36" s="17" t="inlineStr">
        <is>
          <t>what the sender pays in, in the currency sent</t>
        </is>
      </c>
    </row>
    <row r="37" ht="16" customHeight="1">
      <c r="A37" s="3" t="inlineStr">
        <is>
          <t>Currency sent</t>
        </is>
      </c>
      <c r="C37" s="8" t="inlineStr">
        <is>
          <t>INR</t>
        </is>
      </c>
      <c r="E37" s="17" t="inlineStr"/>
    </row>
    <row r="38" ht="16" customHeight="1">
      <c r="A38" s="3" t="inlineStr">
        <is>
          <t>Currency paid out</t>
        </is>
      </c>
      <c r="C38" s="8" t="inlineStr">
        <is>
          <t>USD</t>
        </is>
      </c>
      <c r="E38" s="17" t="inlineStr"/>
    </row>
    <row r="39" ht="16" customHeight="1">
      <c r="A39" s="3" t="inlineStr">
        <is>
          <t>Partner (short name)</t>
        </is>
      </c>
      <c r="C39" s="8" t="inlineStr">
        <is>
          <t>ALI</t>
        </is>
      </c>
      <c r="E39" s="17" t="inlineStr">
        <is>
          <t>used in the bookkeeping entries below</t>
        </is>
      </c>
    </row>
    <row r="40" ht="30" customHeight="1">
      <c r="A40" s="3" t="inlineStr">
        <is>
          <t>Market rate</t>
        </is>
      </c>
      <c r="C40" s="19" t="n">
        <v>0.01100847367650852</v>
      </c>
      <c r="E40" s="17" t="inlineStr">
        <is>
          <t>your answer: XE market rate 90.83911443 INR per USD → 1 ÷ that</t>
        </is>
      </c>
    </row>
    <row r="41" ht="30" customHeight="1">
      <c r="A41" s="3" t="inlineStr">
        <is>
          <t>Agent rate (partners whose fee is inside the rate)</t>
        </is>
      </c>
      <c r="C41" s="19" t="n">
        <v>0.01045935741235964</v>
      </c>
      <c r="E41" s="17" t="inlineStr">
        <is>
          <t>assumed 5.25 % below market (your sheet: partner cost 5–7.5 %) — replace with Ali's rate for the deal</t>
        </is>
      </c>
    </row>
    <row r="42" ht="30" customHeight="1">
      <c r="A42" s="3" t="inlineStr">
        <is>
          <t>Partner's fee on top of market</t>
        </is>
      </c>
      <c r="C42" s="21" t="n">
        <v>0</v>
      </c>
      <c r="E42" s="17" t="inlineStr">
        <is>
          <t>only for partners that state their fee separately; 0 otherwise</t>
        </is>
      </c>
    </row>
    <row r="43" ht="16" customHeight="1">
      <c r="A43" s="3" t="inlineStr">
        <is>
          <t>Total fee</t>
        </is>
      </c>
      <c r="C43" s="21" t="n">
        <v>0.07000000000000001</v>
      </c>
      <c r="E43" s="17" t="inlineStr"/>
    </row>
    <row r="44" ht="16" customHeight="1">
      <c r="A44" s="3" t="inlineStr">
        <is>
          <t>Sender pays</t>
        </is>
      </c>
      <c r="C44" s="21" t="n">
        <v>0.07000000000000001</v>
      </c>
      <c r="E44" s="17" t="inlineStr"/>
    </row>
    <row r="45" ht="16" customHeight="1">
      <c r="A45" s="3" t="inlineStr">
        <is>
          <t>Receiver pays</t>
        </is>
      </c>
      <c r="C45" s="21" t="n">
        <v>0</v>
      </c>
      <c r="E45" s="17" t="inlineStr"/>
    </row>
    <row r="46" ht="16" customHeight="1">
      <c r="A46" s="3" t="inlineStr">
        <is>
          <t>Fee applied to</t>
        </is>
      </c>
      <c r="C46" s="8" t="inlineStr">
        <is>
          <t>market rate</t>
        </is>
      </c>
      <c r="E46" s="17" t="inlineStr">
        <is>
          <t>market rate / agent rate</t>
        </is>
      </c>
    </row>
    <row r="47" ht="30" customHeight="1">
      <c r="A47" s="3" t="inlineStr">
        <is>
          <t>How the partner prices</t>
        </is>
      </c>
      <c r="C47" s="8" t="inlineStr">
        <is>
          <t>fee inside its rate</t>
        </is>
      </c>
      <c r="E47" s="17" t="inlineStr">
        <is>
          <t>fee on top of market / fee inside its rate / NPL's own wallet</t>
        </is>
      </c>
    </row>
    <row r="48" ht="16" customHeight="1">
      <c r="A48" s="3" t="inlineStr">
        <is>
          <t>Fee taken how</t>
        </is>
      </c>
      <c r="C48" s="8" t="inlineStr">
        <is>
          <t>added to what the sender pays</t>
        </is>
      </c>
      <c r="E48" s="17" t="inlineStr">
        <is>
          <t>off the rate the sender gets / added to what the sender pays</t>
        </is>
      </c>
    </row>
    <row r="49" ht="16" customHeight="1">
      <c r="A49" s="3" t="inlineStr">
        <is>
          <t>Rounding</t>
        </is>
      </c>
      <c r="C49" s="8" t="inlineStr">
        <is>
          <t>drop the cents</t>
        </is>
      </c>
      <c r="E49" s="17" t="inlineStr">
        <is>
          <t>drop the cents / nearest unit / round up / nearest 1,000</t>
        </is>
      </c>
    </row>
    <row r="50" ht="16" customHeight="1">
      <c r="A50" s="3" t="inlineStr">
        <is>
          <t>Rounding unit</t>
        </is>
      </c>
      <c r="C50" s="18" t="n">
        <v>1</v>
      </c>
      <c r="E50" s="17" t="inlineStr">
        <is>
          <t>1 for whole units; 1000 for the nearest thousand</t>
        </is>
      </c>
    </row>
    <row r="51" ht="16" customHeight="1">
      <c r="A51" s="3" t="inlineStr">
        <is>
          <t>Minimum NPL margin</t>
        </is>
      </c>
      <c r="C51" s="21" t="n">
        <v>0.005</v>
      </c>
      <c r="E51" s="17" t="inlineStr"/>
    </row>
    <row r="52" ht="16" customHeight="1">
      <c r="A52" s="3" t="inlineStr">
        <is>
          <t>Fee shown to the customer (blank = the true fee)</t>
        </is>
      </c>
      <c r="C52" s="22" t="inlineStr"/>
      <c r="E52" s="17" t="inlineStr">
        <is>
          <t>needs a system change when it differs</t>
        </is>
      </c>
    </row>
    <row r="53" ht="30" customHeight="1">
      <c r="A53" s="3" t="inlineStr">
        <is>
          <t>How NPL's share reaches NPL</t>
        </is>
      </c>
      <c r="C53" s="8" t="inlineStr">
        <is>
          <t>kept for NPL at the partner</t>
        </is>
      </c>
      <c r="E53" s="17" t="inlineStr">
        <is>
          <t>kept for NPL at the partner / paid back monthly / held by the client, paid monthly / NPL's own wallet</t>
        </is>
      </c>
    </row>
    <row r="54" ht="16" customHeight="1">
      <c r="A54" s="3" t="inlineStr">
        <is>
          <t>% of the partner's fee paid back (rebate)</t>
        </is>
      </c>
      <c r="C54" s="21" t="n">
        <v>0</v>
      </c>
      <c r="E54" s="17" t="inlineStr">
        <is>
          <t>NPL's alone; 0 where there is none</t>
        </is>
      </c>
    </row>
    <row r="55" ht="30" customHeight="1">
      <c r="A55" s="3" t="inlineStr">
        <is>
          <t>Share paid to someone else %</t>
        </is>
      </c>
      <c r="C55" s="21" t="n">
        <v>0</v>
      </c>
      <c r="E55" s="17" t="inlineStr">
        <is>
          <t>of the amount × market; an introducer, or the customer who provides the sub-account</t>
        </is>
      </c>
    </row>
    <row r="57">
      <c r="A57" s="15" t="inlineStr">
        <is>
          <t>C · Worked calculation — what the system works out</t>
        </is>
      </c>
    </row>
    <row r="58">
      <c r="A58" s="16" t="inlineStr">
        <is>
          <t>Figure</t>
        </is>
      </c>
      <c r="B58" s="16" t="inlineStr">
        <is>
          <t>How it is worked out</t>
        </is>
      </c>
      <c r="C58" s="16" t="inlineStr">
        <is>
          <t>Value</t>
        </is>
      </c>
      <c r="E58" s="16" t="inlineStr">
        <is>
          <t>Note</t>
        </is>
      </c>
    </row>
    <row r="59">
      <c r="A59" s="3" t="inlineStr">
        <is>
          <t>Rate the fee is applied to</t>
        </is>
      </c>
      <c r="B59" s="17" t="inlineStr">
        <is>
          <t>the market rate, or the agent rate</t>
        </is>
      </c>
      <c r="C59" s="23">
        <f>IF($C$46="market rate",$C$40,$C$41)</f>
        <v/>
      </c>
      <c r="E59" s="17" t="inlineStr"/>
    </row>
    <row r="60">
      <c r="A60" s="3" t="inlineStr">
        <is>
          <t>Rate quoted to the sender</t>
        </is>
      </c>
      <c r="B60" s="17" t="inlineStr">
        <is>
          <t>that rate less the sender's fee — or, when the fee is added to what the sender pays, that rate ÷ (1 + fee)</t>
        </is>
      </c>
      <c r="C60" s="23">
        <f>IF($C$48="added to what the sender pays",$C$59/(1+$C$44),$C$59*(1-$C$44))</f>
        <v/>
      </c>
      <c r="E60" s="17" t="inlineStr"/>
    </row>
    <row r="61">
      <c r="A61" s="3" t="inlineStr">
        <is>
          <t>Amount the sender is promised</t>
        </is>
      </c>
      <c r="B61" s="17" t="inlineStr">
        <is>
          <t>amount sent × rate quoted to the sender</t>
        </is>
      </c>
      <c r="C61" s="24">
        <f>$C$36*$C$60</f>
        <v/>
      </c>
      <c r="E61" s="17" t="inlineStr">
        <is>
          <t>before any receiver-side fee</t>
        </is>
      </c>
    </row>
    <row r="62">
      <c r="A62" s="3" t="inlineStr">
        <is>
          <t>Receiver-side fee</t>
        </is>
      </c>
      <c r="B62" s="17" t="inlineStr">
        <is>
          <t>amount promised × receiver's fee</t>
        </is>
      </c>
      <c r="C62" s="24">
        <f>$C$61*$C$45</f>
        <v/>
      </c>
      <c r="E62" s="17" t="inlineStr">
        <is>
          <t>taken from the client's balance when the money is converted</t>
        </is>
      </c>
    </row>
    <row r="63">
      <c r="A63" s="3" t="inlineStr">
        <is>
          <t>Amount the receiver is owed</t>
        </is>
      </c>
      <c r="B63" s="17" t="inlineStr">
        <is>
          <t>amount promised − receiver-side fee</t>
        </is>
      </c>
      <c r="C63" s="24">
        <f>$C$61-$C$62</f>
        <v/>
      </c>
      <c r="E63" s="17" t="inlineStr">
        <is>
          <t>what the client's balance must deliver</t>
        </is>
      </c>
    </row>
    <row r="64">
      <c r="A64" s="3" t="inlineStr">
        <is>
          <t>What the partner delivers</t>
        </is>
      </c>
      <c r="B64" s="17" t="inlineStr">
        <is>
          <t>amount × agent rate · or amount × market less the partner's fee · or amount × market when NPL converts itself</t>
        </is>
      </c>
      <c r="C64" s="24">
        <f>IF($C$47="NPL's own wallet",$C$36*$C$40,IF($C$47="fee on top of market",$C$36*$C$40*(1-$C$42),$C$36*$C$41))</f>
        <v/>
      </c>
      <c r="E64" s="17" t="inlineStr"/>
    </row>
    <row r="65">
      <c r="A65" s="3" t="inlineStr">
        <is>
          <t>Partner / agent cost</t>
        </is>
      </c>
      <c r="B65" s="17" t="inlineStr">
        <is>
          <t>amount × market − what the partner delivers (nil when NPL converts itself)</t>
        </is>
      </c>
      <c r="C65" s="24">
        <f>$C$36*$C$40-$C$64</f>
        <v/>
      </c>
      <c r="E65" s="17" t="inlineStr"/>
    </row>
    <row r="66">
      <c r="A66" s="3" t="inlineStr">
        <is>
          <t>NPL earns on this deal</t>
        </is>
      </c>
      <c r="B66" s="17" t="inlineStr">
        <is>
          <t>what the partner delivers − what the receiver is owed</t>
        </is>
      </c>
      <c r="C66" s="24">
        <f>$C$64-$C$63</f>
        <v/>
      </c>
      <c r="E66" s="17" t="inlineStr">
        <is>
          <t>locked in when the money is converted; the partner's rebate is NOT in this figure</t>
        </is>
      </c>
    </row>
    <row r="67">
      <c r="A67" s="3" t="inlineStr">
        <is>
          <t>NPL margin %</t>
        </is>
      </c>
      <c r="B67" s="17" t="inlineStr">
        <is>
          <t>NPL earns ÷ (amount × market)</t>
        </is>
      </c>
      <c r="C67" s="25">
        <f>IF($C$36*$C$40=0,0,$C$66/($C$36*$C$40))</f>
        <v/>
      </c>
      <c r="E67" s="17" t="inlineStr"/>
    </row>
    <row r="68">
      <c r="A68" s="3" t="inlineStr">
        <is>
          <t>Below the minimum margin?</t>
        </is>
      </c>
      <c r="B68" s="17" t="inlineStr">
        <is>
          <t>if so, the quote needs Finance approval</t>
        </is>
      </c>
      <c r="C68" s="6">
        <f>IF($C$67&lt;$C$51,"YES — Finance must approve","no")</f>
        <v/>
      </c>
      <c r="E68" s="17" t="inlineStr"/>
    </row>
    <row r="69">
      <c r="A69" s="3" t="inlineStr">
        <is>
          <t>Amount actually paid out</t>
        </is>
      </c>
      <c r="B69" s="17" t="inlineStr">
        <is>
          <t>amount owed, rounded as agreed</t>
        </is>
      </c>
      <c r="C69" s="24">
        <f>IF($C$49="round up",CEILING($C$63,$C$50),IF($C$49="nearest unit",MROUND($C$63,$C$50),IF($C$49="nearest 1,000",MROUND($C$63,$C$50),FLOOR($C$63,$C$50))))</f>
        <v/>
      </c>
      <c r="E69" s="17" t="inlineStr">
        <is>
          <t>only 'drop the cents' exists today; the other options need a system change (proposal F)</t>
        </is>
      </c>
    </row>
    <row r="70">
      <c r="A70" s="3" t="inlineStr">
        <is>
          <t>Cents left in the client's balance (negative = NPL's cost)</t>
        </is>
      </c>
      <c r="B70" s="17" t="inlineStr">
        <is>
          <t>amount owed − amount paid out</t>
        </is>
      </c>
      <c r="C70" s="24">
        <f>$C$63-$C$69</f>
        <v/>
      </c>
      <c r="E70" s="17" t="inlineStr"/>
    </row>
    <row r="71">
      <c r="A71" s="3" t="inlineStr">
        <is>
          <t>Rate printed on the customer's quote</t>
        </is>
      </c>
      <c r="B71" s="17" t="inlineStr">
        <is>
          <t>rate quoted to the sender ÷ (1 − fee shown) — the 'market rate' your customer-facing calculation prints</t>
        </is>
      </c>
      <c r="C71" s="23">
        <f>IF($C$52="",$C$59,$C$60/(1-$C$52))</f>
        <v/>
      </c>
      <c r="E71" s="17" t="inlineStr">
        <is>
          <t>needs a system change when it differs from the true rate (proposal C)</t>
        </is>
      </c>
    </row>
    <row r="72">
      <c r="A72" s="3" t="inlineStr">
        <is>
          <t>Rebate owed back to NPL by the partner</t>
        </is>
      </c>
      <c r="B72" s="17" t="inlineStr">
        <is>
          <t>partner's fee × % paid back — NPL's alone, never shared, tracked on its own</t>
        </is>
      </c>
      <c r="C72" s="24">
        <f>$C$65*$C$54</f>
        <v/>
      </c>
      <c r="E72" s="17" t="inlineStr">
        <is>
          <t>0 where the partner pays no rebate</t>
        </is>
      </c>
    </row>
    <row r="73">
      <c r="A73" s="3" t="inlineStr">
        <is>
          <t>Share owed to someone else</t>
        </is>
      </c>
      <c r="B73" s="17" t="inlineStr">
        <is>
          <t>amount × market × share % (the share is of NPL's earnings, not of the rebate)</t>
        </is>
      </c>
      <c r="C73" s="24">
        <f>$C$36*$C$40*$C$55</f>
        <v/>
      </c>
      <c r="E73" s="17" t="inlineStr">
        <is>
          <t>paid out of NPL's earnings</t>
        </is>
      </c>
    </row>
    <row r="74">
      <c r="A74" s="3" t="inlineStr">
        <is>
          <t>NPL keeps</t>
        </is>
      </c>
      <c r="B74" s="17" t="inlineStr">
        <is>
          <t>NPL earns − share owed + rebate</t>
        </is>
      </c>
      <c r="C74" s="24">
        <f>$C$66-$C$73+$C$72</f>
        <v/>
      </c>
      <c r="E74" s="17" t="inlineStr"/>
    </row>
    <row r="75">
      <c r="A75" s="3" t="inlineStr">
        <is>
          <t>Check: receiver + partner cost + NPL = amount × market</t>
        </is>
      </c>
      <c r="B75" s="17" t="inlineStr">
        <is>
          <t>must be zero</t>
        </is>
      </c>
      <c r="C75" s="24">
        <f>ROUND($C$63+$C$65+$C$66-$C$36*$C$40,6)</f>
        <v/>
      </c>
      <c r="E75" s="17" t="inlineStr">
        <is>
          <t>every unit sent is accounted for</t>
        </is>
      </c>
    </row>
    <row r="77">
      <c r="A77" s="15" t="inlineStr">
        <is>
          <t>D · Bookkeeping entries the system would write</t>
        </is>
      </c>
    </row>
    <row r="78">
      <c r="A78" s="16" t="inlineStr">
        <is>
          <t>Entry</t>
        </is>
      </c>
      <c r="B78" s="16" t="inlineStr">
        <is>
          <t>In / out</t>
        </is>
      </c>
      <c r="C78" s="16" t="inlineStr">
        <is>
          <t>Amount</t>
        </is>
      </c>
      <c r="D78" s="16" t="inlineStr">
        <is>
          <t>Whose money · what kind</t>
        </is>
      </c>
      <c r="E78" s="16" t="inlineStr">
        <is>
          <t>When</t>
        </is>
      </c>
    </row>
    <row r="79" ht="16" customHeight="1">
      <c r="A79" s="6">
        <f>"Client money received at "&amp;$C$39&amp;" ("&amp;$C$37&amp;")"</f>
        <v/>
      </c>
      <c r="B79" s="6" t="inlineStr">
        <is>
          <t>in</t>
        </is>
      </c>
      <c r="C79" s="24">
        <f>$C$36</f>
        <v/>
      </c>
      <c r="D79" s="17" t="inlineStr">
        <is>
          <t>client's money · the amount itself</t>
        </is>
      </c>
      <c r="E79" s="17" t="inlineStr">
        <is>
          <t>when the money arrives</t>
        </is>
      </c>
    </row>
    <row r="80" ht="16" customHeight="1">
      <c r="A80" s="6">
        <f>"Owed to the client's receivers ("&amp;$C$37&amp;")"</f>
        <v/>
      </c>
      <c r="B80" s="6" t="inlineStr">
        <is>
          <t>out</t>
        </is>
      </c>
      <c r="C80" s="24">
        <f>$C$36</f>
        <v/>
      </c>
      <c r="D80" s="17" t="inlineStr">
        <is>
          <t>client's money · the amount itself</t>
        </is>
      </c>
      <c r="E80" s="17" t="inlineStr">
        <is>
          <t>when the money arrives</t>
        </is>
      </c>
    </row>
    <row r="81" ht="16" customHeight="1">
      <c r="A81" s="6">
        <f>"Owed to the client's receivers ("&amp;$C$37&amp;")"</f>
        <v/>
      </c>
      <c r="B81" s="6" t="inlineStr">
        <is>
          <t>in</t>
        </is>
      </c>
      <c r="C81" s="24">
        <f>$C$36</f>
        <v/>
      </c>
      <c r="D81" s="17" t="inlineStr">
        <is>
          <t>client's money · the amount itself</t>
        </is>
      </c>
      <c r="E81" s="17" t="inlineStr">
        <is>
          <t>conversion — currency sent</t>
        </is>
      </c>
    </row>
    <row r="82" ht="16" customHeight="1">
      <c r="A82" s="6">
        <f>"Client money received at "&amp;$C$39&amp;" ("&amp;$C$37&amp;")"</f>
        <v/>
      </c>
      <c r="B82" s="6" t="inlineStr">
        <is>
          <t>out</t>
        </is>
      </c>
      <c r="C82" s="24">
        <f>$C$36</f>
        <v/>
      </c>
      <c r="D82" s="17" t="inlineStr">
        <is>
          <t>client's money · the amount itself</t>
        </is>
      </c>
      <c r="E82" s="17" t="inlineStr">
        <is>
          <t>conversion — currency sent</t>
        </is>
      </c>
    </row>
    <row r="83" ht="16" customHeight="1">
      <c r="A83" s="6">
        <f>"Client money ready to pay out at "&amp;$C$39&amp;" ("&amp;$C$38&amp;")"</f>
        <v/>
      </c>
      <c r="B83" s="6" t="inlineStr">
        <is>
          <t>in</t>
        </is>
      </c>
      <c r="C83" s="24">
        <f>$C$63</f>
        <v/>
      </c>
      <c r="D83" s="17" t="inlineStr">
        <is>
          <t>client's money · the amount itself (cents included)</t>
        </is>
      </c>
      <c r="E83" s="17" t="inlineStr">
        <is>
          <t>conversion — currency paid out</t>
        </is>
      </c>
    </row>
    <row r="84" ht="30" customHeight="1">
      <c r="A84" s="6">
        <f>"NPL's earnings kept at "&amp;$C$39&amp;" ("&amp;$C$38&amp;")"</f>
        <v/>
      </c>
      <c r="B84" s="6" t="inlineStr">
        <is>
          <t>in</t>
        </is>
      </c>
      <c r="C84" s="24">
        <f>IF(OR($C$53="paid back monthly",$C$53="held by the client, paid monthly"),0,$C$66)</f>
        <v/>
      </c>
      <c r="D84" s="17" t="inlineStr">
        <is>
          <t>NPL's money · earnings</t>
        </is>
      </c>
      <c r="E84" s="17" t="inlineStr">
        <is>
          <t>conversion — NPL's share left with the partner (or in NPL's own wallet)</t>
        </is>
      </c>
    </row>
    <row r="85" ht="30" customHeight="1">
      <c r="A85" s="6">
        <f>"Owed to NPL by the client ("&amp;$C$38&amp;")"</f>
        <v/>
      </c>
      <c r="B85" s="6" t="inlineStr">
        <is>
          <t>in</t>
        </is>
      </c>
      <c r="C85" s="24">
        <f>IF($C$53="held by the client, paid monthly",$C$66,0)</f>
        <v/>
      </c>
      <c r="D85" s="17" t="inlineStr">
        <is>
          <t>NPL's money · earnings</t>
        </is>
      </c>
      <c r="E85" s="17" t="inlineStr">
        <is>
          <t>conversion — the converted money went to the client's own account; NPL's share is owed by the client</t>
        </is>
      </c>
    </row>
    <row r="86" ht="16" customHeight="1">
      <c r="A86" s="6">
        <f>"Rebate owed to NPL by "&amp;$C$39&amp;" ("&amp;$C$38&amp;")"</f>
        <v/>
      </c>
      <c r="B86" s="6" t="inlineStr">
        <is>
          <t>in</t>
        </is>
      </c>
      <c r="C86" s="24">
        <f>$C$72</f>
        <v/>
      </c>
      <c r="D86" s="17" t="inlineStr">
        <is>
          <t>NPL's money · rebate (kept apart from earnings)</t>
        </is>
      </c>
      <c r="E86" s="17" t="inlineStr">
        <is>
          <t>conversion — the partner's monthly rebate</t>
        </is>
      </c>
    </row>
    <row r="87" ht="16" customHeight="1">
      <c r="A87" s="6">
        <f>"Owed to the client's receivers ("&amp;$C$38&amp;")"</f>
        <v/>
      </c>
      <c r="B87" s="6" t="inlineStr">
        <is>
          <t>out</t>
        </is>
      </c>
      <c r="C87" s="24">
        <f>$C$63</f>
        <v/>
      </c>
      <c r="D87" s="17" t="inlineStr">
        <is>
          <t>client's money · the amount itself</t>
        </is>
      </c>
      <c r="E87" s="17" t="inlineStr">
        <is>
          <t>conversion — currency paid out</t>
        </is>
      </c>
    </row>
    <row r="88" ht="16" customHeight="1">
      <c r="A88" s="6">
        <f>"NPL's earnings ("&amp;$C$38&amp;")"</f>
        <v/>
      </c>
      <c r="B88" s="6" t="inlineStr">
        <is>
          <t>out</t>
        </is>
      </c>
      <c r="C88" s="24">
        <f>$C$66</f>
        <v/>
      </c>
      <c r="D88" s="17" t="inlineStr">
        <is>
          <t>NPL's money · earnings</t>
        </is>
      </c>
      <c r="E88" s="17" t="inlineStr">
        <is>
          <t>margin recognised</t>
        </is>
      </c>
    </row>
    <row r="89" ht="16" customHeight="1">
      <c r="A89" s="6">
        <f>"NPL's rebate income ("&amp;$C$38&amp;")"</f>
        <v/>
      </c>
      <c r="B89" s="6" t="inlineStr">
        <is>
          <t>out</t>
        </is>
      </c>
      <c r="C89" s="24">
        <f>$C$72</f>
        <v/>
      </c>
      <c r="D89" s="17" t="inlineStr">
        <is>
          <t>NPL's money · rebate</t>
        </is>
      </c>
      <c r="E89" s="17" t="inlineStr">
        <is>
          <t>rebate expected — reported separately from earnings</t>
        </is>
      </c>
    </row>
    <row r="90" ht="16" customHeight="1">
      <c r="A90" s="6">
        <f>"Client money in transit from "&amp;$C$39&amp;" ("&amp;$C$38&amp;")"</f>
        <v/>
      </c>
      <c r="B90" s="6" t="inlineStr">
        <is>
          <t>in</t>
        </is>
      </c>
      <c r="C90" s="24">
        <f>$C$69</f>
        <v/>
      </c>
      <c r="D90" s="17" t="inlineStr">
        <is>
          <t>client's money · the amount itself</t>
        </is>
      </c>
      <c r="E90" s="17" t="inlineStr">
        <is>
          <t>payout released (rounded as agreed)</t>
        </is>
      </c>
    </row>
    <row r="91" ht="16" customHeight="1">
      <c r="A91" s="6">
        <f>"Client money ready to pay out at "&amp;$C$39&amp;" ("&amp;$C$38&amp;")"</f>
        <v/>
      </c>
      <c r="B91" s="6" t="inlineStr">
        <is>
          <t>out</t>
        </is>
      </c>
      <c r="C91" s="24">
        <f>$C$69</f>
        <v/>
      </c>
      <c r="D91" s="17" t="inlineStr">
        <is>
          <t>client's money · the amount itself</t>
        </is>
      </c>
      <c r="E91" s="17" t="inlineStr">
        <is>
          <t>payout released</t>
        </is>
      </c>
    </row>
    <row r="92" ht="16" customHeight="1">
      <c r="A92" s="6">
        <f>"Owed to the client's receivers ("&amp;$C$38&amp;")"</f>
        <v/>
      </c>
      <c r="B92" s="6" t="inlineStr">
        <is>
          <t>in</t>
        </is>
      </c>
      <c r="C92" s="24">
        <f>$C$69</f>
        <v/>
      </c>
      <c r="D92" s="17" t="inlineStr">
        <is>
          <t>client's money · the amount itself</t>
        </is>
      </c>
      <c r="E92" s="17" t="inlineStr">
        <is>
          <t>receiver confirms in full</t>
        </is>
      </c>
    </row>
    <row r="93" ht="16" customHeight="1">
      <c r="A93" s="6">
        <f>"Client money in transit from "&amp;$C$39&amp;" ("&amp;$C$38&amp;")"</f>
        <v/>
      </c>
      <c r="B93" s="6" t="inlineStr">
        <is>
          <t>out</t>
        </is>
      </c>
      <c r="C93" s="24">
        <f>$C$69</f>
        <v/>
      </c>
      <c r="D93" s="17" t="inlineStr">
        <is>
          <t>client's money · the amount itself</t>
        </is>
      </c>
      <c r="E93" s="17" t="inlineStr">
        <is>
          <t>receiver confirms in full</t>
        </is>
      </c>
    </row>
    <row r="94" ht="16" customHeight="1">
      <c r="A94" s="6">
        <f>"NPL's earnings ("&amp;$C$38&amp;")"</f>
        <v/>
      </c>
      <c r="B94" s="6" t="inlineStr">
        <is>
          <t>in</t>
        </is>
      </c>
      <c r="C94" s="24">
        <f>$C$73</f>
        <v/>
      </c>
      <c r="D94" s="17" t="inlineStr">
        <is>
          <t>NPL's money · share paid to someone else</t>
        </is>
      </c>
      <c r="E94" s="17" t="inlineStr">
        <is>
          <t>share accrued (if any)</t>
        </is>
      </c>
    </row>
    <row r="95" ht="16" customHeight="1">
      <c r="A95" s="6">
        <f>"Owed to the other party ("&amp;$C$38&amp;")"</f>
        <v/>
      </c>
      <c r="B95" s="6" t="inlineStr">
        <is>
          <t>out</t>
        </is>
      </c>
      <c r="C95" s="24">
        <f>$C$73</f>
        <v/>
      </c>
      <c r="D95" s="17" t="inlineStr">
        <is>
          <t>NPL's money · share paid to someone else</t>
        </is>
      </c>
      <c r="E95" s="17" t="inlineStr">
        <is>
          <t>share accrued</t>
        </is>
      </c>
    </row>
    <row r="96" ht="30" customHeight="1">
      <c r="A96" s="6">
        <f>"Owed to the other party ("&amp;$C$38&amp;")"</f>
        <v/>
      </c>
      <c r="B96" s="6" t="inlineStr">
        <is>
          <t>in</t>
        </is>
      </c>
      <c r="C96" s="24">
        <f>IF($C$53="held by the client, paid monthly",$C$73,0)</f>
        <v/>
      </c>
      <c r="D96" s="17" t="inlineStr">
        <is>
          <t>NPL's money · share</t>
        </is>
      </c>
      <c r="E96" s="17" t="inlineStr">
        <is>
          <t>netted: the client keeps its share out of the money in its account</t>
        </is>
      </c>
    </row>
    <row r="97" ht="16" customHeight="1">
      <c r="A97" s="6">
        <f>"Owed to NPL by the client ("&amp;$C$38&amp;")"</f>
        <v/>
      </c>
      <c r="B97" s="6" t="inlineStr">
        <is>
          <t>out</t>
        </is>
      </c>
      <c r="C97" s="24">
        <f>IF($C$53="held by the client, paid monthly",$C$73,0)</f>
        <v/>
      </c>
      <c r="D97" s="17" t="inlineStr">
        <is>
          <t>NPL's money · earnings</t>
        </is>
      </c>
      <c r="E97" s="17" t="inlineStr">
        <is>
          <t>netted: what the client pays NPL monthly is the rest</t>
        </is>
      </c>
    </row>
    <row r="98" ht="30" customHeight="1">
      <c r="A98" s="26" t="inlineStr">
        <is>
          <t>Check: in = out in the currency paid out</t>
        </is>
      </c>
      <c r="C98" s="27">
        <f>ROUND(SUMIF($B$83:$B$97,"in",$C$83:$C$97)-SUMIF($B$83:$B$97,"out",$C$83:$C$97),6)</f>
        <v/>
      </c>
      <c r="E98" s="17" t="inlineStr">
        <is>
          <t>money never appears or disappears: every entry moves it from one place to another</t>
        </is>
      </c>
    </row>
    <row r="100">
      <c r="A100" s="15" t="inlineStr">
        <is>
          <t>E · Compare with your sheet</t>
        </is>
      </c>
    </row>
    <row r="101">
      <c r="A101" s="16" t="inlineStr">
        <is>
          <t>Figure in your sheet</t>
        </is>
      </c>
      <c r="B101" s="16" t="inlineStr">
        <is>
          <t>Your value</t>
        </is>
      </c>
      <c r="C101" s="16" t="inlineStr">
        <is>
          <t>Worked out here</t>
        </is>
      </c>
      <c r="D101" s="16" t="inlineStr">
        <is>
          <t>Difference</t>
        </is>
      </c>
      <c r="E101" s="16" t="inlineStr">
        <is>
          <t>Comment</t>
        </is>
      </c>
    </row>
    <row r="102" ht="44" customHeight="1">
      <c r="A102" s="3" t="inlineStr">
        <is>
          <t>USD delivered to the receiver</t>
        </is>
      </c>
      <c r="B102" s="18" t="n">
        <v>23960.18</v>
      </c>
      <c r="C102" s="24">
        <f>$C$61</f>
        <v/>
      </c>
      <c r="D102" s="27">
        <f>ROUND(C102-B102,2)</f>
        <v/>
      </c>
      <c r="E102" s="17" t="inlineStr">
        <is>
          <t>your calculation: USD 23,960.18 × 97.198 = INR 2,328,878, rounded to 2,329,000 — the workbook starts from the rounded INR, hence ≈ 1.25 USD more</t>
        </is>
      </c>
    </row>
    <row r="104">
      <c r="A104" s="15" t="inlineStr">
        <is>
          <t>F · Please confirm</t>
        </is>
      </c>
    </row>
    <row r="105" ht="32" customHeight="1">
      <c r="A105" s="14" t="inlineStr">
        <is>
          <t>•</t>
        </is>
      </c>
      <c r="B105" s="28" t="inlineStr">
        <is>
          <t>Lowest and highest markup for this product, and who may set it per transaction (your sheet says 'average 6 %', your answer says 'unclear' — please give the range you would accept without a Finance approval).</t>
        </is>
      </c>
    </row>
    <row r="106" ht="46" customHeight="1">
      <c r="A106" s="14" t="inlineStr">
        <is>
          <t>•</t>
        </is>
      </c>
      <c r="B106" s="28" t="inlineStr">
        <is>
          <t>The INR amount is rounded on the collection side (2,328,878 → 2,329,000). You answered 'round up to the nearest 1,000 for Asian currencies': confirm that is the rule for INR cash as well, or whether INR rounds to the nearest 1,000 either way.</t>
        </is>
      </c>
    </row>
  </sheetData>
  <mergeCells count="2">
    <mergeCell ref="B106:E106"/>
    <mergeCell ref="B105:E10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5 Fee by volume — Fee that drops with monthly volume</t>
        </is>
      </c>
    </row>
    <row r="2">
      <c r="A2" s="13" t="inlineStr">
        <is>
          <t>Example taken from your sheet, rows</t>
        </is>
      </c>
      <c r="B2" s="14" t="inlineStr">
        <is>
          <t>32, 33</t>
        </is>
      </c>
    </row>
    <row r="4">
      <c r="A4" s="15" t="inlineStr">
        <is>
          <t>A · The set-up for this kind of deal</t>
        </is>
      </c>
    </row>
    <row r="5">
      <c r="A5" s="16" t="inlineStr">
        <is>
          <t>Item</t>
        </is>
      </c>
      <c r="B5" s="16" t="inlineStr">
        <is>
          <t>Value</t>
        </is>
      </c>
      <c r="C5" s="16" t="inlineStr">
        <is>
          <t>Where it comes from</t>
        </is>
      </c>
      <c r="D5" s="16" t="inlineStr">
        <is>
          <t>Note</t>
        </is>
      </c>
    </row>
    <row r="6" ht="16" customHeight="1">
      <c r="A6" s="3" t="inlineStr">
        <is>
          <t>Client</t>
        </is>
      </c>
      <c r="B6" s="10" t="inlineStr">
        <is>
          <t>GDC</t>
        </is>
      </c>
      <c r="C6" s="3" t="inlineStr">
        <is>
          <t>your sheet</t>
        </is>
      </c>
      <c r="D6" s="17" t="inlineStr">
        <is>
          <t>One set-up per client.</t>
        </is>
      </c>
    </row>
    <row r="7" ht="54" customHeight="1">
      <c r="A7" s="3" t="inlineStr">
        <is>
          <t>Who sends the money</t>
        </is>
      </c>
      <c r="B7" s="10" t="inlineStr">
        <is>
          <t>Adfusion (GDC chooses which of its receiving entities gets how much: Adu Ads, Ad Fusion, TDC, Pixel Labs …)</t>
        </is>
      </c>
      <c r="C7" s="3" t="inlineStr">
        <is>
          <t>your answer (8 Oct)</t>
        </is>
      </c>
      <c r="D7" s="17" t="inlineStr">
        <is>
          <t>The sender(s). Each must be on the list of who may pay this client's receivers.</t>
        </is>
      </c>
    </row>
    <row r="8" ht="42" customHeight="1">
      <c r="A8" s="3" t="inlineStr">
        <is>
          <t>Who gets paid</t>
        </is>
      </c>
      <c r="B8" s="10" t="inlineStr">
        <is>
          <t>ADFUSION MARKETING FZ LLC</t>
        </is>
      </c>
      <c r="C8" s="3" t="inlineStr">
        <is>
          <t>your answer (8 Oct)</t>
        </is>
      </c>
      <c r="D8" s="17" t="inlineStr">
        <is>
          <t>The receiver, or the vendor. A refund goes back to the sender's own account.</t>
        </is>
      </c>
    </row>
    <row r="9" ht="54" customHeight="1">
      <c r="A9" s="3" t="inlineStr">
        <is>
          <t>Their account</t>
        </is>
      </c>
      <c r="B9" s="10" t="inlineStr">
        <is>
          <t>USD via SWIFT</t>
        </is>
      </c>
      <c r="C9" s="3" t="inlineStr">
        <is>
          <t>your answer (8 Oct)</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crypto</t>
        </is>
      </c>
      <c r="C10" s="3" t="inlineStr">
        <is>
          <t>your sheet</t>
        </is>
      </c>
      <c r="D10" s="17" t="inlineStr">
        <is>
          <t>crypto, bank transfer, cash, or a one-time local bank deposit.</t>
        </is>
      </c>
    </row>
    <row r="11" ht="54" customHeight="1">
      <c r="A11" s="3" t="inlineStr">
        <is>
          <t>Where it comes in</t>
        </is>
      </c>
      <c r="B11" s="10" t="inlineStr">
        <is>
          <t>Ali vehicle · wallet · TRC-20</t>
        </is>
      </c>
      <c r="C11" s="3" t="inlineStr">
        <is>
          <t>your sheet</t>
        </is>
      </c>
      <c r="D11" s="17" t="inlineStr">
        <is>
          <t>Which partner company's wallet or bank account the sender pays into. It must be live, belong to that partner company, and be a wallet for crypto or a bank account for bank transfers.</t>
        </is>
      </c>
    </row>
    <row r="12" ht="16" customHeight="1">
      <c r="A12" s="3" t="inlineStr">
        <is>
          <t>Partner / agent</t>
        </is>
      </c>
      <c r="B12" s="10" t="inlineStr">
        <is>
          <t>Ali</t>
        </is>
      </c>
      <c r="C12" s="3" t="inlineStr">
        <is>
          <t>your sheet</t>
        </is>
      </c>
      <c r="D12" s="17" t="inlineStr"/>
    </row>
    <row r="13" ht="54" customHeight="1">
      <c r="A13" s="3" t="inlineStr">
        <is>
          <t>How the partner prices</t>
        </is>
      </c>
      <c r="B13" s="10" t="inlineStr">
        <is>
          <t>fee inside its rate</t>
        </is>
      </c>
      <c r="C13" s="3" t="inlineStr">
        <is>
          <t>your sheet</t>
        </is>
      </c>
      <c r="D13" s="17" t="inlineStr">
        <is>
          <t>'fee on top of market': the partner converts at market and states its fee separately. 'fee inside its rate': the partner's margin is built into the rate it gives.</t>
        </is>
      </c>
    </row>
    <row r="14" ht="16" customHeight="1">
      <c r="A14" s="3" t="inlineStr">
        <is>
          <t>Exchange pair</t>
        </is>
      </c>
      <c r="B14" s="10" t="inlineStr">
        <is>
          <t>USDT → USD</t>
        </is>
      </c>
      <c r="C14" s="3" t="inlineStr">
        <is>
          <t>your sheet</t>
        </is>
      </c>
      <c r="D14" s="17" t="inlineStr">
        <is>
          <t>currency sent → currency paid out.</t>
        </is>
      </c>
    </row>
    <row r="15" ht="54" customHeight="1">
      <c r="A15" s="3" t="inlineStr">
        <is>
          <t>Fee taken how</t>
        </is>
      </c>
      <c r="B15" s="10" t="inlineStr">
        <is>
          <t>added to what the sender pays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market rate</t>
        </is>
      </c>
      <c r="C16" s="3" t="inlineStr">
        <is>
          <t>your sheet</t>
        </is>
      </c>
      <c r="D16" s="17" t="inlineStr">
        <is>
          <t>the market rate, or the agent's rate.</t>
        </is>
      </c>
    </row>
    <row r="17" ht="42" customHeight="1">
      <c r="A17" s="3" t="inlineStr">
        <is>
          <t>Fee is</t>
        </is>
      </c>
      <c r="B17" s="10" t="inlineStr">
        <is>
          <t>fixed</t>
        </is>
      </c>
      <c r="C17" s="3" t="inlineStr">
        <is>
          <t>your sheet</t>
        </is>
      </c>
      <c r="D17" s="17" t="inlineStr">
        <is>
          <t>fixed, or decided per deal between a lowest and a highest markup.</t>
        </is>
      </c>
    </row>
    <row r="18" ht="16" customHeight="1">
      <c r="A18" s="3" t="inlineStr">
        <is>
          <t>Total fee %</t>
        </is>
      </c>
      <c r="B18" s="12" t="n">
        <v>0.025</v>
      </c>
      <c r="C18" s="3" t="inlineStr">
        <is>
          <t>your sheet</t>
        </is>
      </c>
      <c r="D18" s="17" t="inlineStr">
        <is>
          <t>sender's part + receiver's part.</t>
        </is>
      </c>
    </row>
    <row r="19" ht="16" customHeight="1">
      <c r="A19" s="3" t="inlineStr">
        <is>
          <t>Sender pays %</t>
        </is>
      </c>
      <c r="B19" s="12" t="n">
        <v>0.025</v>
      </c>
      <c r="C19" s="3" t="inlineStr">
        <is>
          <t>your sheet</t>
        </is>
      </c>
      <c r="D19" s="17" t="inlineStr"/>
    </row>
    <row r="20" ht="16" customHeight="1">
      <c r="A20" s="3" t="inlineStr">
        <is>
          <t>Receiver pays %</t>
        </is>
      </c>
      <c r="B20" s="12" t="n">
        <v>0</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2" t="n">
        <v>0.018</v>
      </c>
      <c r="C23" s="3" t="inlineStr">
        <is>
          <t>your answer (8 Oct)</t>
        </is>
      </c>
      <c r="D23" s="17" t="inlineStr">
        <is>
          <t>A quote that earns less needs Finance's approval.</t>
        </is>
      </c>
    </row>
    <row r="24" ht="42" customHeight="1">
      <c r="A24" s="3" t="inlineStr">
        <is>
          <t>Fee shown to the customer %</t>
        </is>
      </c>
      <c r="B24" s="11" t="inlineStr"/>
      <c r="C24" s="3" t="inlineStr">
        <is>
          <t>not needed here</t>
        </is>
      </c>
      <c r="D24" s="17" t="inlineStr">
        <is>
          <t>Only when the customer-facing calculation shows a different fee from the true total. Needs a system change.</t>
        </is>
      </c>
    </row>
    <row r="25" ht="54" customHeight="1">
      <c r="A25" s="3" t="inlineStr">
        <is>
          <t>How NPL's share reaches NPL</t>
        </is>
      </c>
      <c r="B25" s="10" t="inlineStr">
        <is>
          <t>kept for NPL at the partner</t>
        </is>
      </c>
      <c r="C25" s="3" t="inlineStr">
        <is>
          <t>your sheet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1" t="inlineStr"/>
      <c r="C26" s="3" t="inlineStr">
        <is>
          <t>not needed here</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drop the cents</t>
        </is>
      </c>
      <c r="C28" s="3" t="inlineStr">
        <is>
          <t>your sheet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PT Global</t>
        </is>
      </c>
      <c r="C29" s="3" t="inlineStr">
        <is>
          <t>your answer (8 Oct)</t>
        </is>
      </c>
      <c r="D29" s="17" t="inlineStr">
        <is>
          <t>and the bank fee you expect on it</t>
        </is>
      </c>
    </row>
    <row r="30" ht="54" customHeight="1">
      <c r="A30" s="3" t="inlineStr">
        <is>
          <t>Name shown on the transfer</t>
        </is>
      </c>
      <c r="B30" s="10" t="inlineStr">
        <is>
          <t>New Pinnacle Ltd (NPL's own entity is used for this client's contracts)</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3">
      <c r="A33" s="15" t="inlineStr">
        <is>
          <t>B · Worked calculation — the deal (change any value)</t>
        </is>
      </c>
    </row>
    <row r="34">
      <c r="A34" s="16" t="inlineStr">
        <is>
          <t>Item</t>
        </is>
      </c>
      <c r="B34" s="16" t="inlineStr"/>
      <c r="C34" s="16" t="inlineStr">
        <is>
          <t>Value</t>
        </is>
      </c>
      <c r="D34" s="16" t="inlineStr"/>
      <c r="E34" s="16" t="inlineStr">
        <is>
          <t>Meaning</t>
        </is>
      </c>
    </row>
    <row r="35" ht="16" customHeight="1">
      <c r="A35" s="3" t="inlineStr">
        <is>
          <t>Amount sent</t>
        </is>
      </c>
      <c r="C35" s="18" t="n">
        <v>86594</v>
      </c>
      <c r="E35" s="17" t="inlineStr">
        <is>
          <t>what the sender pays in, in the currency sent</t>
        </is>
      </c>
    </row>
    <row r="36" ht="16" customHeight="1">
      <c r="A36" s="3" t="inlineStr">
        <is>
          <t>Currency sent</t>
        </is>
      </c>
      <c r="C36" s="8" t="inlineStr">
        <is>
          <t>USDT</t>
        </is>
      </c>
      <c r="E36" s="17" t="inlineStr"/>
    </row>
    <row r="37" ht="16" customHeight="1">
      <c r="A37" s="3" t="inlineStr">
        <is>
          <t>Currency paid out</t>
        </is>
      </c>
      <c r="C37" s="8" t="inlineStr">
        <is>
          <t>USD</t>
        </is>
      </c>
      <c r="E37" s="17" t="inlineStr"/>
    </row>
    <row r="38" ht="16" customHeight="1">
      <c r="A38" s="3" t="inlineStr">
        <is>
          <t>Partner (short name)</t>
        </is>
      </c>
      <c r="C38" s="8" t="inlineStr">
        <is>
          <t>ALI</t>
        </is>
      </c>
      <c r="E38" s="17" t="inlineStr">
        <is>
          <t>used in the bookkeeping entries below</t>
        </is>
      </c>
    </row>
    <row r="39" ht="16" customHeight="1">
      <c r="A39" s="3" t="inlineStr">
        <is>
          <t>Market rate</t>
        </is>
      </c>
      <c r="C39" s="19" t="n">
        <v>1</v>
      </c>
      <c r="E39" s="17" t="inlineStr">
        <is>
          <t>your Project Context: USD–USDT is taken as 1:1</t>
        </is>
      </c>
    </row>
    <row r="40" ht="30" customHeight="1">
      <c r="A40" s="3" t="inlineStr">
        <is>
          <t>Agent rate (partners whose fee is inside the rate)</t>
        </is>
      </c>
      <c r="C40" s="19" t="n">
        <v>0.996</v>
      </c>
      <c r="E40" s="17" t="inlineStr">
        <is>
          <t>units received per 1 unit sent, as the partner offers it; leave blank for partners that state their fee separately. If the partner quotes the other way round (e.g. 1.1738), enter 1 ÷ that</t>
        </is>
      </c>
    </row>
    <row r="41" ht="30" customHeight="1">
      <c r="A41" s="3" t="inlineStr">
        <is>
          <t>Partner's fee on top of market</t>
        </is>
      </c>
      <c r="C41" s="21" t="n">
        <v>0</v>
      </c>
      <c r="E41" s="17" t="inlineStr">
        <is>
          <t>only for partners that state their fee separately; 0 otherwise</t>
        </is>
      </c>
    </row>
    <row r="42" ht="16" customHeight="1">
      <c r="A42" s="3" t="inlineStr">
        <is>
          <t>Total fee</t>
        </is>
      </c>
      <c r="C42" s="21" t="n">
        <v>0.025</v>
      </c>
      <c r="E42" s="17" t="inlineStr"/>
    </row>
    <row r="43" ht="16" customHeight="1">
      <c r="A43" s="3" t="inlineStr">
        <is>
          <t>Sender pays</t>
        </is>
      </c>
      <c r="C43" s="21" t="n">
        <v>0.025</v>
      </c>
      <c r="E43" s="17" t="inlineStr"/>
    </row>
    <row r="44" ht="16" customHeight="1">
      <c r="A44" s="3" t="inlineStr">
        <is>
          <t>Receiver pays</t>
        </is>
      </c>
      <c r="C44" s="21" t="n">
        <v>0</v>
      </c>
      <c r="E44" s="17" t="inlineStr"/>
    </row>
    <row r="45" ht="16" customHeight="1">
      <c r="A45" s="3" t="inlineStr">
        <is>
          <t>Fee applied to</t>
        </is>
      </c>
      <c r="C45" s="8" t="inlineStr">
        <is>
          <t>market rate</t>
        </is>
      </c>
      <c r="E45" s="17" t="inlineStr">
        <is>
          <t>market rate / agent rate</t>
        </is>
      </c>
    </row>
    <row r="46" ht="30" customHeight="1">
      <c r="A46" s="3" t="inlineStr">
        <is>
          <t>How the partner prices</t>
        </is>
      </c>
      <c r="C46" s="8" t="inlineStr">
        <is>
          <t>fee inside its rate</t>
        </is>
      </c>
      <c r="E46" s="17" t="inlineStr">
        <is>
          <t>fee on top of market / fee inside its rate / NPL's own wallet</t>
        </is>
      </c>
    </row>
    <row r="47" ht="16" customHeight="1">
      <c r="A47" s="3" t="inlineStr">
        <is>
          <t>Fee taken how</t>
        </is>
      </c>
      <c r="C47" s="8" t="inlineStr">
        <is>
          <t>added to what the sender pays</t>
        </is>
      </c>
      <c r="E47" s="17" t="inlineStr">
        <is>
          <t>off the rate the sender gets / added to what the sender pays</t>
        </is>
      </c>
    </row>
    <row r="48" ht="16" customHeight="1">
      <c r="A48" s="3" t="inlineStr">
        <is>
          <t>Rounding</t>
        </is>
      </c>
      <c r="C48" s="8" t="inlineStr">
        <is>
          <t>drop the cents</t>
        </is>
      </c>
      <c r="E48" s="17" t="inlineStr">
        <is>
          <t>drop the cents / nearest unit / round up / nearest 1,000</t>
        </is>
      </c>
    </row>
    <row r="49" ht="16" customHeight="1">
      <c r="A49" s="3" t="inlineStr">
        <is>
          <t>Rounding unit</t>
        </is>
      </c>
      <c r="C49" s="18" t="n">
        <v>1</v>
      </c>
      <c r="E49" s="17" t="inlineStr">
        <is>
          <t>1 for whole units; 1000 for the nearest thousand</t>
        </is>
      </c>
    </row>
    <row r="50" ht="16" customHeight="1">
      <c r="A50" s="3" t="inlineStr">
        <is>
          <t>Minimum NPL margin</t>
        </is>
      </c>
      <c r="C50" s="21" t="n">
        <v>0.018</v>
      </c>
      <c r="E50" s="17" t="inlineStr">
        <is>
          <t>your answer: 2.5 % (or 2.25 %) − Ali's 0.4 % = 1.8 % minimum</t>
        </is>
      </c>
    </row>
    <row r="51" ht="16" customHeight="1">
      <c r="A51" s="3" t="inlineStr">
        <is>
          <t>Fee shown to the customer (blank = the true fee)</t>
        </is>
      </c>
      <c r="C51" s="22" t="inlineStr"/>
      <c r="E51" s="17" t="inlineStr">
        <is>
          <t>needs a system change when it differs</t>
        </is>
      </c>
    </row>
    <row r="52" ht="30" customHeight="1">
      <c r="A52" s="3" t="inlineStr">
        <is>
          <t>How NPL's share reaches NPL</t>
        </is>
      </c>
      <c r="C52" s="8" t="inlineStr">
        <is>
          <t>kept for NPL at the partner</t>
        </is>
      </c>
      <c r="E52" s="17" t="inlineStr">
        <is>
          <t>kept for NPL at the partner / paid back monthly / held by the client, paid monthly / NPL's own wallet</t>
        </is>
      </c>
    </row>
    <row r="53" ht="16" customHeight="1">
      <c r="A53" s="3" t="inlineStr">
        <is>
          <t>% of the partner's fee paid back (rebate)</t>
        </is>
      </c>
      <c r="C53" s="21" t="n">
        <v>0</v>
      </c>
      <c r="E53" s="17" t="inlineStr">
        <is>
          <t>NPL's alone; 0 where there is none</t>
        </is>
      </c>
    </row>
    <row r="54" ht="30" customHeight="1">
      <c r="A54" s="3" t="inlineStr">
        <is>
          <t>Share paid to someone else %</t>
        </is>
      </c>
      <c r="C54" s="21" t="n">
        <v>0</v>
      </c>
      <c r="E54" s="17" t="inlineStr">
        <is>
          <t>of the amount × market; an introducer, or the customer who provides the sub-account</t>
        </is>
      </c>
    </row>
    <row r="56">
      <c r="A56" s="15" t="inlineStr">
        <is>
          <t>C · Worked calculation — what the system works out</t>
        </is>
      </c>
    </row>
    <row r="57">
      <c r="A57" s="16" t="inlineStr">
        <is>
          <t>Figure</t>
        </is>
      </c>
      <c r="B57" s="16" t="inlineStr">
        <is>
          <t>How it is worked out</t>
        </is>
      </c>
      <c r="C57" s="16" t="inlineStr">
        <is>
          <t>Value</t>
        </is>
      </c>
      <c r="E57" s="16" t="inlineStr">
        <is>
          <t>Note</t>
        </is>
      </c>
    </row>
    <row r="58">
      <c r="A58" s="3" t="inlineStr">
        <is>
          <t>Rate the fee is applied to</t>
        </is>
      </c>
      <c r="B58" s="17" t="inlineStr">
        <is>
          <t>the market rate, or the agent rate</t>
        </is>
      </c>
      <c r="C58" s="23">
        <f>IF($C$45="market rate",$C$39,$C$40)</f>
        <v/>
      </c>
      <c r="E58" s="17" t="inlineStr"/>
    </row>
    <row r="59">
      <c r="A59" s="3" t="inlineStr">
        <is>
          <t>Rate quoted to the sender</t>
        </is>
      </c>
      <c r="B59" s="17" t="inlineStr">
        <is>
          <t>that rate less the sender's fee — or, when the fee is added to what the sender pays, that rate ÷ (1 + fee)</t>
        </is>
      </c>
      <c r="C59" s="23">
        <f>IF($C$47="added to what the sender pays",$C$58/(1+$C$43),$C$58*(1-$C$43))</f>
        <v/>
      </c>
      <c r="E59" s="17" t="inlineStr"/>
    </row>
    <row r="60">
      <c r="A60" s="3" t="inlineStr">
        <is>
          <t>Amount the sender is promised</t>
        </is>
      </c>
      <c r="B60" s="17" t="inlineStr">
        <is>
          <t>amount sent × rate quoted to the sender</t>
        </is>
      </c>
      <c r="C60" s="24">
        <f>$C$35*$C$59</f>
        <v/>
      </c>
      <c r="E60" s="17" t="inlineStr">
        <is>
          <t>before any receiver-side fee</t>
        </is>
      </c>
    </row>
    <row r="61">
      <c r="A61" s="3" t="inlineStr">
        <is>
          <t>Receiver-side fee</t>
        </is>
      </c>
      <c r="B61" s="17" t="inlineStr">
        <is>
          <t>amount promised × receiver's fee</t>
        </is>
      </c>
      <c r="C61" s="24">
        <f>$C$60*$C$44</f>
        <v/>
      </c>
      <c r="E61" s="17" t="inlineStr">
        <is>
          <t>taken from the client's balance when the money is converted</t>
        </is>
      </c>
    </row>
    <row r="62">
      <c r="A62" s="3" t="inlineStr">
        <is>
          <t>Amount the receiver is owed</t>
        </is>
      </c>
      <c r="B62" s="17" t="inlineStr">
        <is>
          <t>amount promised − receiver-side fee</t>
        </is>
      </c>
      <c r="C62" s="24">
        <f>$C$60-$C$61</f>
        <v/>
      </c>
      <c r="E62" s="17" t="inlineStr">
        <is>
          <t>what the client's balance must deliver</t>
        </is>
      </c>
    </row>
    <row r="63">
      <c r="A63" s="3" t="inlineStr">
        <is>
          <t>What the partner delivers</t>
        </is>
      </c>
      <c r="B63" s="17" t="inlineStr">
        <is>
          <t>amount × agent rate · or amount × market less the partner's fee · or amount × market when NPL converts itself</t>
        </is>
      </c>
      <c r="C63" s="24">
        <f>IF($C$46="NPL's own wallet",$C$35*$C$39,IF($C$46="fee on top of market",$C$35*$C$39*(1-$C$41),$C$35*$C$40))</f>
        <v/>
      </c>
      <c r="E63" s="17" t="inlineStr"/>
    </row>
    <row r="64">
      <c r="A64" s="3" t="inlineStr">
        <is>
          <t>Partner / agent cost</t>
        </is>
      </c>
      <c r="B64" s="17" t="inlineStr">
        <is>
          <t>amount × market − what the partner delivers (nil when NPL converts itself)</t>
        </is>
      </c>
      <c r="C64" s="24">
        <f>$C$35*$C$39-$C$63</f>
        <v/>
      </c>
      <c r="E64" s="17" t="inlineStr"/>
    </row>
    <row r="65">
      <c r="A65" s="3" t="inlineStr">
        <is>
          <t>NPL earns on this deal</t>
        </is>
      </c>
      <c r="B65" s="17" t="inlineStr">
        <is>
          <t>what the partner delivers − what the receiver is owed</t>
        </is>
      </c>
      <c r="C65" s="24">
        <f>$C$63-$C$62</f>
        <v/>
      </c>
      <c r="E65" s="17" t="inlineStr">
        <is>
          <t>locked in when the money is converted; the partner's rebate is NOT in this figure</t>
        </is>
      </c>
    </row>
    <row r="66">
      <c r="A66" s="3" t="inlineStr">
        <is>
          <t>NPL margin %</t>
        </is>
      </c>
      <c r="B66" s="17" t="inlineStr">
        <is>
          <t>NPL earns ÷ (amount × market)</t>
        </is>
      </c>
      <c r="C66" s="25">
        <f>IF($C$35*$C$39=0,0,$C$65/($C$35*$C$39))</f>
        <v/>
      </c>
      <c r="E66" s="17" t="inlineStr"/>
    </row>
    <row r="67">
      <c r="A67" s="3" t="inlineStr">
        <is>
          <t>Below the minimum margin?</t>
        </is>
      </c>
      <c r="B67" s="17" t="inlineStr">
        <is>
          <t>if so, the quote needs Finance approval</t>
        </is>
      </c>
      <c r="C67" s="6">
        <f>IF($C$66&lt;$C$50,"YES — Finance must approve","no")</f>
        <v/>
      </c>
      <c r="E67" s="17" t="inlineStr"/>
    </row>
    <row r="68">
      <c r="A68" s="3" t="inlineStr">
        <is>
          <t>Amount actually paid out</t>
        </is>
      </c>
      <c r="B68" s="17" t="inlineStr">
        <is>
          <t>amount owed, rounded as agreed</t>
        </is>
      </c>
      <c r="C68" s="24">
        <f>IF($C$48="round up",CEILING($C$62,$C$49),IF($C$48="nearest unit",MROUND($C$62,$C$49),IF($C$48="nearest 1,000",MROUND($C$62,$C$49),FLOOR($C$62,$C$49))))</f>
        <v/>
      </c>
      <c r="E68" s="17" t="inlineStr">
        <is>
          <t>only 'drop the cents' exists today; the other options need a system change (proposal F)</t>
        </is>
      </c>
    </row>
    <row r="69">
      <c r="A69" s="3" t="inlineStr">
        <is>
          <t>Cents left in the client's balance (negative = NPL's cost)</t>
        </is>
      </c>
      <c r="B69" s="17" t="inlineStr">
        <is>
          <t>amount owed − amount paid out</t>
        </is>
      </c>
      <c r="C69" s="24">
        <f>$C$62-$C$68</f>
        <v/>
      </c>
      <c r="E69" s="17" t="inlineStr"/>
    </row>
    <row r="70">
      <c r="A70" s="3" t="inlineStr">
        <is>
          <t>Rate printed on the customer's quote</t>
        </is>
      </c>
      <c r="B70" s="17" t="inlineStr">
        <is>
          <t>rate quoted to the sender ÷ (1 − fee shown) — the 'market rate' your customer-facing calculation prints</t>
        </is>
      </c>
      <c r="C70" s="23">
        <f>IF($C$51="",$C$58,$C$59/(1-$C$51))</f>
        <v/>
      </c>
      <c r="E70" s="17" t="inlineStr">
        <is>
          <t>needs a system change when it differs from the true rate (proposal C)</t>
        </is>
      </c>
    </row>
    <row r="71">
      <c r="A71" s="3" t="inlineStr">
        <is>
          <t>Rebate owed back to NPL by the partner</t>
        </is>
      </c>
      <c r="B71" s="17" t="inlineStr">
        <is>
          <t>partner's fee × % paid back — NPL's alone, never shared, tracked on its own</t>
        </is>
      </c>
      <c r="C71" s="24">
        <f>$C$64*$C$53</f>
        <v/>
      </c>
      <c r="E71" s="17" t="inlineStr">
        <is>
          <t>0 where the partner pays no rebate</t>
        </is>
      </c>
    </row>
    <row r="72">
      <c r="A72" s="3" t="inlineStr">
        <is>
          <t>Share owed to someone else</t>
        </is>
      </c>
      <c r="B72" s="17" t="inlineStr">
        <is>
          <t>amount × market × share % (the share is of NPL's earnings, not of the rebate)</t>
        </is>
      </c>
      <c r="C72" s="24">
        <f>$C$35*$C$39*$C$54</f>
        <v/>
      </c>
      <c r="E72" s="17" t="inlineStr">
        <is>
          <t>paid out of NPL's earnings</t>
        </is>
      </c>
    </row>
    <row r="73">
      <c r="A73" s="3" t="inlineStr">
        <is>
          <t>NPL keeps</t>
        </is>
      </c>
      <c r="B73" s="17" t="inlineStr">
        <is>
          <t>NPL earns − share owed + rebate</t>
        </is>
      </c>
      <c r="C73" s="24">
        <f>$C$65-$C$72+$C$71</f>
        <v/>
      </c>
      <c r="E73" s="17" t="inlineStr"/>
    </row>
    <row r="74">
      <c r="A74" s="3" t="inlineStr">
        <is>
          <t>Check: receiver + partner cost + NPL = amount × market</t>
        </is>
      </c>
      <c r="B74" s="17" t="inlineStr">
        <is>
          <t>must be zero</t>
        </is>
      </c>
      <c r="C74" s="24">
        <f>ROUND($C$62+$C$64+$C$65-$C$35*$C$39,6)</f>
        <v/>
      </c>
      <c r="E74" s="17" t="inlineStr">
        <is>
          <t>every unit sent is accounted for</t>
        </is>
      </c>
    </row>
    <row r="76">
      <c r="A76" s="15" t="inlineStr">
        <is>
          <t>D · Bookkeeping entries the system would write</t>
        </is>
      </c>
    </row>
    <row r="77">
      <c r="A77" s="16" t="inlineStr">
        <is>
          <t>Entry</t>
        </is>
      </c>
      <c r="B77" s="16" t="inlineStr">
        <is>
          <t>In / out</t>
        </is>
      </c>
      <c r="C77" s="16" t="inlineStr">
        <is>
          <t>Amount</t>
        </is>
      </c>
      <c r="D77" s="16" t="inlineStr">
        <is>
          <t>Whose money · what kind</t>
        </is>
      </c>
      <c r="E77" s="16" t="inlineStr">
        <is>
          <t>When</t>
        </is>
      </c>
    </row>
    <row r="78" ht="16" customHeight="1">
      <c r="A78" s="6">
        <f>"Client money received at "&amp;$C$38&amp;" ("&amp;$C$36&amp;")"</f>
        <v/>
      </c>
      <c r="B78" s="6" t="inlineStr">
        <is>
          <t>in</t>
        </is>
      </c>
      <c r="C78" s="24">
        <f>$C$35</f>
        <v/>
      </c>
      <c r="D78" s="17" t="inlineStr">
        <is>
          <t>client's money · the amount itself</t>
        </is>
      </c>
      <c r="E78" s="17" t="inlineStr">
        <is>
          <t>when the money arrives</t>
        </is>
      </c>
    </row>
    <row r="79" ht="16" customHeight="1">
      <c r="A79" s="6">
        <f>"Owed to the client's receivers ("&amp;$C$36&amp;")"</f>
        <v/>
      </c>
      <c r="B79" s="6" t="inlineStr">
        <is>
          <t>out</t>
        </is>
      </c>
      <c r="C79" s="24">
        <f>$C$35</f>
        <v/>
      </c>
      <c r="D79" s="17" t="inlineStr">
        <is>
          <t>client's money · the amount itself</t>
        </is>
      </c>
      <c r="E79" s="17" t="inlineStr">
        <is>
          <t>when the money arrives</t>
        </is>
      </c>
    </row>
    <row r="80" ht="16" customHeight="1">
      <c r="A80" s="6">
        <f>"Owed to the client's receivers ("&amp;$C$36&amp;")"</f>
        <v/>
      </c>
      <c r="B80" s="6" t="inlineStr">
        <is>
          <t>in</t>
        </is>
      </c>
      <c r="C80" s="24">
        <f>$C$35</f>
        <v/>
      </c>
      <c r="D80" s="17" t="inlineStr">
        <is>
          <t>client's money · the amount itself</t>
        </is>
      </c>
      <c r="E80" s="17" t="inlineStr">
        <is>
          <t>conversion — currency sent</t>
        </is>
      </c>
    </row>
    <row r="81" ht="16" customHeight="1">
      <c r="A81" s="6">
        <f>"Client money received at "&amp;$C$38&amp;" ("&amp;$C$36&amp;")"</f>
        <v/>
      </c>
      <c r="B81" s="6" t="inlineStr">
        <is>
          <t>out</t>
        </is>
      </c>
      <c r="C81" s="24">
        <f>$C$35</f>
        <v/>
      </c>
      <c r="D81" s="17" t="inlineStr">
        <is>
          <t>client's money · the amount itself</t>
        </is>
      </c>
      <c r="E81" s="17" t="inlineStr">
        <is>
          <t>conversion — currency sent</t>
        </is>
      </c>
    </row>
    <row r="82" ht="16" customHeight="1">
      <c r="A82" s="6">
        <f>"Client money ready to pay out at "&amp;$C$38&amp;" ("&amp;$C$37&amp;")"</f>
        <v/>
      </c>
      <c r="B82" s="6" t="inlineStr">
        <is>
          <t>in</t>
        </is>
      </c>
      <c r="C82" s="24">
        <f>$C$62</f>
        <v/>
      </c>
      <c r="D82" s="17" t="inlineStr">
        <is>
          <t>client's money · the amount itself (cents included)</t>
        </is>
      </c>
      <c r="E82" s="17" t="inlineStr">
        <is>
          <t>conversion — currency paid out</t>
        </is>
      </c>
    </row>
    <row r="83" ht="30" customHeight="1">
      <c r="A83" s="6">
        <f>"NPL's earnings kept at "&amp;$C$38&amp;" ("&amp;$C$37&amp;")"</f>
        <v/>
      </c>
      <c r="B83" s="6" t="inlineStr">
        <is>
          <t>in</t>
        </is>
      </c>
      <c r="C83" s="24">
        <f>IF(OR($C$52="paid back monthly",$C$52="held by the client, paid monthly"),0,$C$65)</f>
        <v/>
      </c>
      <c r="D83" s="17" t="inlineStr">
        <is>
          <t>NPL's money · earnings</t>
        </is>
      </c>
      <c r="E83" s="17" t="inlineStr">
        <is>
          <t>conversion — NPL's share left with the partner (or in NPL's own wallet)</t>
        </is>
      </c>
    </row>
    <row r="84" ht="30" customHeight="1">
      <c r="A84" s="6">
        <f>"Owed to NPL by the client ("&amp;$C$37&amp;")"</f>
        <v/>
      </c>
      <c r="B84" s="6" t="inlineStr">
        <is>
          <t>in</t>
        </is>
      </c>
      <c r="C84" s="24">
        <f>IF($C$52="held by the client, paid monthly",$C$65,0)</f>
        <v/>
      </c>
      <c r="D84" s="17" t="inlineStr">
        <is>
          <t>NPL's money · earnings</t>
        </is>
      </c>
      <c r="E84" s="17" t="inlineStr">
        <is>
          <t>conversion — the converted money went to the client's own account; NPL's share is owed by the client</t>
        </is>
      </c>
    </row>
    <row r="85" ht="16" customHeight="1">
      <c r="A85" s="6">
        <f>"Rebate owed to NPL by "&amp;$C$38&amp;" ("&amp;$C$37&amp;")"</f>
        <v/>
      </c>
      <c r="B85" s="6" t="inlineStr">
        <is>
          <t>in</t>
        </is>
      </c>
      <c r="C85" s="24">
        <f>$C$71</f>
        <v/>
      </c>
      <c r="D85" s="17" t="inlineStr">
        <is>
          <t>NPL's money · rebate (kept apart from earnings)</t>
        </is>
      </c>
      <c r="E85" s="17" t="inlineStr">
        <is>
          <t>conversion — the partner's monthly rebate</t>
        </is>
      </c>
    </row>
    <row r="86" ht="16" customHeight="1">
      <c r="A86" s="6">
        <f>"Owed to the client's receivers ("&amp;$C$37&amp;")"</f>
        <v/>
      </c>
      <c r="B86" s="6" t="inlineStr">
        <is>
          <t>out</t>
        </is>
      </c>
      <c r="C86" s="24">
        <f>$C$62</f>
        <v/>
      </c>
      <c r="D86" s="17" t="inlineStr">
        <is>
          <t>client's money · the amount itself</t>
        </is>
      </c>
      <c r="E86" s="17" t="inlineStr">
        <is>
          <t>conversion — currency paid out</t>
        </is>
      </c>
    </row>
    <row r="87" ht="16" customHeight="1">
      <c r="A87" s="6">
        <f>"NPL's earnings ("&amp;$C$37&amp;")"</f>
        <v/>
      </c>
      <c r="B87" s="6" t="inlineStr">
        <is>
          <t>out</t>
        </is>
      </c>
      <c r="C87" s="24">
        <f>$C$65</f>
        <v/>
      </c>
      <c r="D87" s="17" t="inlineStr">
        <is>
          <t>NPL's money · earnings</t>
        </is>
      </c>
      <c r="E87" s="17" t="inlineStr">
        <is>
          <t>margin recognised</t>
        </is>
      </c>
    </row>
    <row r="88" ht="16" customHeight="1">
      <c r="A88" s="6">
        <f>"NPL's rebate income ("&amp;$C$37&amp;")"</f>
        <v/>
      </c>
      <c r="B88" s="6" t="inlineStr">
        <is>
          <t>out</t>
        </is>
      </c>
      <c r="C88" s="24">
        <f>$C$71</f>
        <v/>
      </c>
      <c r="D88" s="17" t="inlineStr">
        <is>
          <t>NPL's money · rebate</t>
        </is>
      </c>
      <c r="E88" s="17" t="inlineStr">
        <is>
          <t>rebate expected — reported separately from earnings</t>
        </is>
      </c>
    </row>
    <row r="89" ht="16" customHeight="1">
      <c r="A89" s="6">
        <f>"Client money in transit from "&amp;$C$38&amp;" ("&amp;$C$37&amp;")"</f>
        <v/>
      </c>
      <c r="B89" s="6" t="inlineStr">
        <is>
          <t>in</t>
        </is>
      </c>
      <c r="C89" s="24">
        <f>$C$68</f>
        <v/>
      </c>
      <c r="D89" s="17" t="inlineStr">
        <is>
          <t>client's money · the amount itself</t>
        </is>
      </c>
      <c r="E89" s="17" t="inlineStr">
        <is>
          <t>payout released (rounded as agreed)</t>
        </is>
      </c>
    </row>
    <row r="90" ht="16" customHeight="1">
      <c r="A90" s="6">
        <f>"Client money ready to pay out at "&amp;$C$38&amp;" ("&amp;$C$37&amp;")"</f>
        <v/>
      </c>
      <c r="B90" s="6" t="inlineStr">
        <is>
          <t>out</t>
        </is>
      </c>
      <c r="C90" s="24">
        <f>$C$68</f>
        <v/>
      </c>
      <c r="D90" s="17" t="inlineStr">
        <is>
          <t>client's money · the amount itself</t>
        </is>
      </c>
      <c r="E90" s="17" t="inlineStr">
        <is>
          <t>payout released</t>
        </is>
      </c>
    </row>
    <row r="91" ht="16" customHeight="1">
      <c r="A91" s="6">
        <f>"Owed to the client's receivers ("&amp;$C$37&amp;")"</f>
        <v/>
      </c>
      <c r="B91" s="6" t="inlineStr">
        <is>
          <t>in</t>
        </is>
      </c>
      <c r="C91" s="24">
        <f>$C$68</f>
        <v/>
      </c>
      <c r="D91" s="17" t="inlineStr">
        <is>
          <t>client's money · the amount itself</t>
        </is>
      </c>
      <c r="E91" s="17" t="inlineStr">
        <is>
          <t>receiver confirms in full</t>
        </is>
      </c>
    </row>
    <row r="92" ht="16" customHeight="1">
      <c r="A92" s="6">
        <f>"Client money in transit from "&amp;$C$38&amp;" ("&amp;$C$37&amp;")"</f>
        <v/>
      </c>
      <c r="B92" s="6" t="inlineStr">
        <is>
          <t>out</t>
        </is>
      </c>
      <c r="C92" s="24">
        <f>$C$68</f>
        <v/>
      </c>
      <c r="D92" s="17" t="inlineStr">
        <is>
          <t>client's money · the amount itself</t>
        </is>
      </c>
      <c r="E92" s="17" t="inlineStr">
        <is>
          <t>receiver confirms in full</t>
        </is>
      </c>
    </row>
    <row r="93" ht="16" customHeight="1">
      <c r="A93" s="6">
        <f>"NPL's earnings ("&amp;$C$37&amp;")"</f>
        <v/>
      </c>
      <c r="B93" s="6" t="inlineStr">
        <is>
          <t>in</t>
        </is>
      </c>
      <c r="C93" s="24">
        <f>$C$72</f>
        <v/>
      </c>
      <c r="D93" s="17" t="inlineStr">
        <is>
          <t>NPL's money · share paid to someone else</t>
        </is>
      </c>
      <c r="E93" s="17" t="inlineStr">
        <is>
          <t>share accrued (if any)</t>
        </is>
      </c>
    </row>
    <row r="94" ht="16" customHeight="1">
      <c r="A94" s="6">
        <f>"Owed to the other party ("&amp;$C$37&amp;")"</f>
        <v/>
      </c>
      <c r="B94" s="6" t="inlineStr">
        <is>
          <t>out</t>
        </is>
      </c>
      <c r="C94" s="24">
        <f>$C$72</f>
        <v/>
      </c>
      <c r="D94" s="17" t="inlineStr">
        <is>
          <t>NPL's money · share paid to someone else</t>
        </is>
      </c>
      <c r="E94" s="17" t="inlineStr">
        <is>
          <t>share accrued</t>
        </is>
      </c>
    </row>
    <row r="95" ht="30" customHeight="1">
      <c r="A95" s="6">
        <f>"Owed to the other party ("&amp;$C$37&amp;")"</f>
        <v/>
      </c>
      <c r="B95" s="6" t="inlineStr">
        <is>
          <t>in</t>
        </is>
      </c>
      <c r="C95" s="24">
        <f>IF($C$52="held by the client, paid monthly",$C$72,0)</f>
        <v/>
      </c>
      <c r="D95" s="17" t="inlineStr">
        <is>
          <t>NPL's money · share</t>
        </is>
      </c>
      <c r="E95" s="17" t="inlineStr">
        <is>
          <t>netted: the client keeps its share out of the money in its account</t>
        </is>
      </c>
    </row>
    <row r="96" ht="16" customHeight="1">
      <c r="A96" s="6">
        <f>"Owed to NPL by the client ("&amp;$C$37&amp;")"</f>
        <v/>
      </c>
      <c r="B96" s="6" t="inlineStr">
        <is>
          <t>out</t>
        </is>
      </c>
      <c r="C96" s="24">
        <f>IF($C$52="held by the client, paid monthly",$C$72,0)</f>
        <v/>
      </c>
      <c r="D96" s="17" t="inlineStr">
        <is>
          <t>NPL's money · earnings</t>
        </is>
      </c>
      <c r="E96" s="17" t="inlineStr">
        <is>
          <t>netted: what the client pays NPL monthly is the rest</t>
        </is>
      </c>
    </row>
    <row r="97" ht="30" customHeight="1">
      <c r="A97" s="26" t="inlineStr">
        <is>
          <t>Check: in = out in the currency paid out</t>
        </is>
      </c>
      <c r="C97" s="27">
        <f>ROUND(SUMIF($B$82:$B$96,"in",$C$82:$C$96)-SUMIF($B$82:$B$96,"out",$C$82:$C$96),6)</f>
        <v/>
      </c>
      <c r="E97" s="17" t="inlineStr">
        <is>
          <t>money never appears or disappears: every entry moves it from one place to another</t>
        </is>
      </c>
    </row>
    <row r="99">
      <c r="A99" s="15" t="inlineStr">
        <is>
          <t>E · Compare with your sheet</t>
        </is>
      </c>
    </row>
    <row r="100">
      <c r="A100" s="16" t="inlineStr">
        <is>
          <t>Figure in your sheet</t>
        </is>
      </c>
      <c r="B100" s="16" t="inlineStr">
        <is>
          <t>Your value</t>
        </is>
      </c>
      <c r="C100" s="16" t="inlineStr">
        <is>
          <t>Worked out here</t>
        </is>
      </c>
      <c r="D100" s="16" t="inlineStr">
        <is>
          <t>Difference</t>
        </is>
      </c>
      <c r="E100" s="16" t="inlineStr">
        <is>
          <t>Comment</t>
        </is>
      </c>
    </row>
    <row r="101" ht="16" customHeight="1">
      <c r="A101" s="3" t="inlineStr">
        <is>
          <t>USD delivered</t>
        </is>
      </c>
      <c r="B101" s="18" t="n">
        <v>84482</v>
      </c>
      <c r="C101" s="24">
        <f>$C$60</f>
        <v/>
      </c>
      <c r="D101" s="27">
        <f>ROUND(C101-B101,2)</f>
        <v/>
      </c>
      <c r="E101" s="17" t="inlineStr">
        <is>
          <t>your calculation: USD 84,482 + 2.5 % = USDT 86,594</t>
        </is>
      </c>
    </row>
    <row r="103">
      <c r="A103" s="15" t="inlineStr">
        <is>
          <t>Fee by monthly volume (needs a system change — proposal B)</t>
        </is>
      </c>
    </row>
    <row r="104">
      <c r="A104" s="16" t="inlineStr">
        <is>
          <t>Minimum volume in the calendar month (USD)</t>
        </is>
      </c>
      <c r="B104" s="16" t="inlineStr">
        <is>
          <t>Fee %</t>
        </is>
      </c>
      <c r="C104" s="16" t="inlineStr"/>
      <c r="D104" s="16" t="inlineStr"/>
      <c r="E104" s="16" t="inlineStr">
        <is>
          <t>Rule</t>
        </is>
      </c>
    </row>
    <row r="105">
      <c r="A105" s="18" t="n">
        <v>0</v>
      </c>
      <c r="B105" s="21" t="n">
        <v>0.025</v>
      </c>
      <c r="E105" s="29" t="inlineStr">
        <is>
          <t>sheet row 32</t>
        </is>
      </c>
    </row>
    <row r="106">
      <c r="A106" s="18" t="n">
        <v>500000</v>
      </c>
      <c r="B106" s="21" t="n">
        <v>0.0225</v>
      </c>
      <c r="E106" s="29" t="inlineStr">
        <is>
          <t>sheet row 33</t>
        </is>
      </c>
    </row>
    <row r="107" ht="30" customHeight="1">
      <c r="A107" s="3" t="inlineStr">
        <is>
          <t>Sent by this customer so far this calendar month (USD)</t>
        </is>
      </c>
      <c r="B107" s="18" t="n">
        <v>163124</v>
      </c>
      <c r="E107" s="17" t="inlineStr">
        <is>
          <t>your answer: 163,124 last month; the count is per calendar month, not the last 30 days</t>
        </is>
      </c>
    </row>
    <row r="108" ht="30" customHeight="1">
      <c r="A108" s="4" t="inlineStr">
        <is>
          <t>Fee the system would apply</t>
        </is>
      </c>
      <c r="B108" s="30">
        <f>IF($B$107="",B105,INDEX(B105:B106,MATCH($B$107,A105:A106,1)))</f>
        <v/>
      </c>
      <c r="E108" s="17" t="inlineStr">
        <is>
          <t>highest minimum ≤ volume; copy this into 'Total fee' and 'Sender pays' above to re-run the calculation at the tiered fee</t>
        </is>
      </c>
    </row>
    <row r="110">
      <c r="A110" s="15" t="inlineStr">
        <is>
          <t>F · Please confirm</t>
        </is>
      </c>
    </row>
    <row r="111" ht="32" customHeight="1">
      <c r="A111" s="14" t="inlineStr">
        <is>
          <t>•</t>
        </is>
      </c>
      <c r="B111" s="28" t="inlineStr">
        <is>
          <t>Does the lower tier apply to the transaction that takes the month's total past USD 500,000, or only from the next one?</t>
        </is>
      </c>
    </row>
    <row r="112" ht="32" customHeight="1">
      <c r="A112" s="14" t="inlineStr">
        <is>
          <t>•</t>
        </is>
      </c>
      <c r="B112" s="28" t="inlineStr">
        <is>
          <t>Is the USD 500,000 counted for GDC as a whole (all its receiving entities together)? We have assumed yes.</t>
        </is>
      </c>
    </row>
  </sheetData>
  <mergeCells count="2">
    <mergeCell ref="B111:E111"/>
    <mergeCell ref="B112:E1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6 Shared with client — NPL's markup shared with the customer who provides the sub-account</t>
        </is>
      </c>
    </row>
    <row r="2">
      <c r="A2" s="13" t="inlineStr">
        <is>
          <t>Example taken from your sheet, rows</t>
        </is>
      </c>
      <c r="B2" s="14" t="inlineStr">
        <is>
          <t>16, 14</t>
        </is>
      </c>
    </row>
    <row r="4">
      <c r="A4" s="15" t="inlineStr">
        <is>
          <t>A · The set-up for this kind of deal</t>
        </is>
      </c>
    </row>
    <row r="5">
      <c r="A5" s="16" t="inlineStr">
        <is>
          <t>Item</t>
        </is>
      </c>
      <c r="B5" s="16" t="inlineStr">
        <is>
          <t>Value</t>
        </is>
      </c>
      <c r="C5" s="16" t="inlineStr">
        <is>
          <t>Where it comes from</t>
        </is>
      </c>
      <c r="D5" s="16" t="inlineStr">
        <is>
          <t>Note</t>
        </is>
      </c>
    </row>
    <row r="6" ht="16" customHeight="1">
      <c r="A6" s="3" t="inlineStr">
        <is>
          <t>Client</t>
        </is>
      </c>
      <c r="B6" s="10" t="inlineStr">
        <is>
          <t>BF-Raeen — Sub Account</t>
        </is>
      </c>
      <c r="C6" s="3" t="inlineStr">
        <is>
          <t>your sheet</t>
        </is>
      </c>
      <c r="D6" s="17" t="inlineStr">
        <is>
          <t>One set-up per client.</t>
        </is>
      </c>
    </row>
    <row r="7" ht="42" customHeight="1">
      <c r="A7" s="3" t="inlineStr">
        <is>
          <t>Who sends the money</t>
        </is>
      </c>
      <c r="B7" s="10" t="inlineStr">
        <is>
          <t>BSNV-Sub (a Raeen downline)</t>
        </is>
      </c>
      <c r="C7" s="3" t="inlineStr">
        <is>
          <t>your answer (8 Oct)</t>
        </is>
      </c>
      <c r="D7" s="17" t="inlineStr">
        <is>
          <t>The sender(s). Each must be on the list of who may pay this client's receivers.</t>
        </is>
      </c>
    </row>
    <row r="8" ht="54" customHeight="1">
      <c r="A8" s="3" t="inlineStr">
        <is>
          <t>Who gets paid</t>
        </is>
      </c>
      <c r="B8" s="10" t="inlineStr">
        <is>
          <t>BF — the EUR goes into Raeen's own Aquanow account and Raeen allocates it to the sub-account (via Ali it would go to BF's bank under Raeen's name)</t>
        </is>
      </c>
      <c r="C8" s="3" t="inlineStr">
        <is>
          <t>your answer (8 Oct)</t>
        </is>
      </c>
      <c r="D8" s="17" t="inlineStr">
        <is>
          <t>The receiver, or the vendor. A refund goes back to the sender's own account.</t>
        </is>
      </c>
    </row>
    <row r="9" ht="54" customHeight="1">
      <c r="A9" s="3" t="inlineStr">
        <is>
          <t>Their account</t>
        </is>
      </c>
      <c r="B9" s="10" t="inlineStr">
        <is>
          <t>EUR · transfer inside the Aquanow platform (instant)</t>
        </is>
      </c>
      <c r="C9" s="3" t="inlineStr">
        <is>
          <t>your answer (8 Oct)</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crypto</t>
        </is>
      </c>
      <c r="C10" s="3" t="inlineStr">
        <is>
          <t>your sheet</t>
        </is>
      </c>
      <c r="D10" s="17" t="inlineStr">
        <is>
          <t>crypto, bank transfer, cash, or a one-time local bank deposit.</t>
        </is>
      </c>
    </row>
    <row r="11" ht="54" customHeight="1">
      <c r="A11" s="3" t="inlineStr">
        <is>
          <t>Where it comes in</t>
        </is>
      </c>
      <c r="B11" s="10" t="inlineStr">
        <is>
          <t>Aquanow vehicle · wallet · TRC-20 (ERC-20 also available)</t>
        </is>
      </c>
      <c r="C11" s="3" t="inlineStr">
        <is>
          <t>your answer (8 Oct)</t>
        </is>
      </c>
      <c r="D11" s="17" t="inlineStr">
        <is>
          <t>Which partner company's wallet or bank account the sender pays into. It must be live, belong to that partner company, and be a wallet for crypto or a bank account for bank transfers.</t>
        </is>
      </c>
    </row>
    <row r="12" ht="16" customHeight="1">
      <c r="A12" s="3" t="inlineStr">
        <is>
          <t>Partner / agent</t>
        </is>
      </c>
      <c r="B12" s="10" t="inlineStr">
        <is>
          <t>Aquanow (or Ali)</t>
        </is>
      </c>
      <c r="C12" s="3" t="inlineStr">
        <is>
          <t>your answer (8 Oct)</t>
        </is>
      </c>
      <c r="D12" s="17" t="inlineStr"/>
    </row>
    <row r="13" ht="54" customHeight="1">
      <c r="A13" s="3" t="inlineStr">
        <is>
          <t>How the partner prices</t>
        </is>
      </c>
      <c r="B13" s="10" t="inlineStr">
        <is>
          <t>fee on top of market</t>
        </is>
      </c>
      <c r="C13" s="3" t="inlineStr">
        <is>
          <t>your sheet</t>
        </is>
      </c>
      <c r="D13" s="17" t="inlineStr">
        <is>
          <t>'fee on top of market': the partner converts at market and states its fee separately. 'fee inside its rate': the partner's margin is built into the rate it gives.</t>
        </is>
      </c>
    </row>
    <row r="14" ht="16" customHeight="1">
      <c r="A14" s="3" t="inlineStr">
        <is>
          <t>Exchange pair</t>
        </is>
      </c>
      <c r="B14" s="10" t="inlineStr">
        <is>
          <t>USDT → EUR</t>
        </is>
      </c>
      <c r="C14" s="3" t="inlineStr">
        <is>
          <t>your sheet</t>
        </is>
      </c>
      <c r="D14" s="17" t="inlineStr">
        <is>
          <t>currency sent → currency paid out.</t>
        </is>
      </c>
    </row>
    <row r="15" ht="54" customHeight="1">
      <c r="A15" s="3" t="inlineStr">
        <is>
          <t>Fee taken how</t>
        </is>
      </c>
      <c r="B15" s="10" t="inlineStr">
        <is>
          <t>off the rate the sender gets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market rate</t>
        </is>
      </c>
      <c r="C16" s="3" t="inlineStr">
        <is>
          <t>your sheet</t>
        </is>
      </c>
      <c r="D16" s="17" t="inlineStr">
        <is>
          <t>the market rate, or the agent's rate.</t>
        </is>
      </c>
    </row>
    <row r="17" ht="42" customHeight="1">
      <c r="A17" s="3" t="inlineStr">
        <is>
          <t>Fee is</t>
        </is>
      </c>
      <c r="B17" s="10" t="inlineStr">
        <is>
          <t>fixed</t>
        </is>
      </c>
      <c r="C17" s="3" t="inlineStr">
        <is>
          <t>your sheet</t>
        </is>
      </c>
      <c r="D17" s="17" t="inlineStr">
        <is>
          <t>fixed, or decided per deal between a lowest and a highest markup.</t>
        </is>
      </c>
    </row>
    <row r="18" ht="16" customHeight="1">
      <c r="A18" s="3" t="inlineStr">
        <is>
          <t>Total fee %</t>
        </is>
      </c>
      <c r="B18" s="12" t="n">
        <v>0.04</v>
      </c>
      <c r="C18" s="3" t="inlineStr">
        <is>
          <t>your sheet</t>
        </is>
      </c>
      <c r="D18" s="17" t="inlineStr">
        <is>
          <t>sender's part + receiver's part.</t>
        </is>
      </c>
    </row>
    <row r="19" ht="16" customHeight="1">
      <c r="A19" s="3" t="inlineStr">
        <is>
          <t>Sender pays %</t>
        </is>
      </c>
      <c r="B19" s="12" t="n">
        <v>0.04</v>
      </c>
      <c r="C19" s="3" t="inlineStr">
        <is>
          <t>your sheet</t>
        </is>
      </c>
      <c r="D19" s="17" t="inlineStr"/>
    </row>
    <row r="20" ht="16" customHeight="1">
      <c r="A20" s="3" t="inlineStr">
        <is>
          <t>Receiver pays %</t>
        </is>
      </c>
      <c r="B20" s="12" t="n">
        <v>0</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1" t="inlineStr"/>
      <c r="C23" s="3" t="inlineStr">
        <is>
          <t>please fill in</t>
        </is>
      </c>
      <c r="D23" s="17" t="inlineStr">
        <is>
          <t>A quote that earns less needs Finance's approval.</t>
        </is>
      </c>
    </row>
    <row r="24" ht="42" customHeight="1">
      <c r="A24" s="3" t="inlineStr">
        <is>
          <t>Fee shown to the customer %</t>
        </is>
      </c>
      <c r="B24" s="12" t="n">
        <v>0.04</v>
      </c>
      <c r="C24" s="3" t="inlineStr">
        <is>
          <t>your answer (8 Oct)</t>
        </is>
      </c>
      <c r="D24" s="17" t="inlineStr">
        <is>
          <t>Only when the customer-facing calculation shows a different fee from the true total. Needs a system change.</t>
        </is>
      </c>
    </row>
    <row r="25" ht="54" customHeight="1">
      <c r="A25" s="3" t="inlineStr">
        <is>
          <t>How NPL's share reaches NPL</t>
        </is>
      </c>
      <c r="B25" s="10" t="inlineStr">
        <is>
          <t>held by the client, paid monthly</t>
        </is>
      </c>
      <c r="C25" s="3" t="inlineStr">
        <is>
          <t>your answer (8 Oct)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2" t="n">
        <v>0.375</v>
      </c>
      <c r="C26" s="3" t="inlineStr">
        <is>
          <t>your answer (8 Oct)</t>
        </is>
      </c>
      <c r="D26" s="17" t="inlineStr">
        <is>
          <t>NPL's alone: never shared with anyone and counted apart from NPL's earnings on the deal (proposal H).</t>
        </is>
      </c>
    </row>
    <row r="27" ht="54" customHeight="1">
      <c r="A27" s="3" t="inlineStr">
        <is>
          <t>Markup shared with someone else</t>
        </is>
      </c>
      <c r="B27" s="10" t="inlineStr">
        <is>
          <t>Raeen · half of (4 % − partner's fee) = 1.6 % via Aquanow, 1.5 % via Ali · Raeen keeps it from the EUR in its account and pays NPL's half monthly</t>
        </is>
      </c>
      <c r="C27" s="3" t="inlineStr">
        <is>
          <t>your answer (8 Oct)</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drop the cents</t>
        </is>
      </c>
      <c r="C28" s="3" t="inlineStr">
        <is>
          <t>your sheet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Aquanow (internal transfer)</t>
        </is>
      </c>
      <c r="C29" s="3" t="inlineStr">
        <is>
          <t>your answer (8 Oct)</t>
        </is>
      </c>
      <c r="D29" s="17" t="inlineStr">
        <is>
          <t>and the bank fee you expect on it</t>
        </is>
      </c>
    </row>
    <row r="30" ht="42" customHeight="1">
      <c r="A30" s="3" t="inlineStr">
        <is>
          <t>Name shown on the transfer</t>
        </is>
      </c>
      <c r="B30" s="10" t="inlineStr">
        <is>
          <t>Raeen</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3">
      <c r="A33" s="15" t="inlineStr">
        <is>
          <t>B · Worked calculation — the deal (change any value)</t>
        </is>
      </c>
    </row>
    <row r="34">
      <c r="A34" s="16" t="inlineStr">
        <is>
          <t>Item</t>
        </is>
      </c>
      <c r="B34" s="16" t="inlineStr"/>
      <c r="C34" s="16" t="inlineStr">
        <is>
          <t>Value</t>
        </is>
      </c>
      <c r="D34" s="16" t="inlineStr"/>
      <c r="E34" s="16" t="inlineStr">
        <is>
          <t>Meaning</t>
        </is>
      </c>
    </row>
    <row r="35" ht="16" customHeight="1">
      <c r="A35" s="3" t="inlineStr">
        <is>
          <t>Amount sent</t>
        </is>
      </c>
      <c r="C35" s="18" t="n">
        <v>50000</v>
      </c>
      <c r="E35" s="17" t="inlineStr">
        <is>
          <t>what the sender pays in, in the currency sent</t>
        </is>
      </c>
    </row>
    <row r="36" ht="16" customHeight="1">
      <c r="A36" s="3" t="inlineStr">
        <is>
          <t>Currency sent</t>
        </is>
      </c>
      <c r="C36" s="8" t="inlineStr">
        <is>
          <t>USDT</t>
        </is>
      </c>
      <c r="E36" s="17" t="inlineStr"/>
    </row>
    <row r="37" ht="16" customHeight="1">
      <c r="A37" s="3" t="inlineStr">
        <is>
          <t>Currency paid out</t>
        </is>
      </c>
      <c r="C37" s="8" t="inlineStr">
        <is>
          <t>EUR</t>
        </is>
      </c>
      <c r="E37" s="17" t="inlineStr"/>
    </row>
    <row r="38" ht="16" customHeight="1">
      <c r="A38" s="3" t="inlineStr">
        <is>
          <t>Partner (short name)</t>
        </is>
      </c>
      <c r="C38" s="8" t="inlineStr">
        <is>
          <t>AQUANOW</t>
        </is>
      </c>
      <c r="E38" s="17" t="inlineStr">
        <is>
          <t>used in the bookkeeping entries below</t>
        </is>
      </c>
    </row>
    <row r="39" ht="30" customHeight="1">
      <c r="A39" s="3" t="inlineStr">
        <is>
          <t>Market rate</t>
        </is>
      </c>
      <c r="C39" s="19" t="n">
        <v>0.8650036</v>
      </c>
      <c r="E39" s="17" t="inlineStr">
        <is>
          <t>the rate printed on the customer's calculation — like Ali's, it is recomputed so that '4 %' shows; the true market rate is needed to reproduce Aquanow's 0.856086 (please add it)</t>
        </is>
      </c>
    </row>
    <row r="40" ht="30" customHeight="1">
      <c r="A40" s="3" t="inlineStr">
        <is>
          <t>Agent rate (partners whose fee is inside the rate)</t>
        </is>
      </c>
      <c r="C40" s="20" t="inlineStr"/>
      <c r="E40" s="17" t="inlineStr">
        <is>
          <t>units received per 1 unit sent, as the partner offers it; leave blank for partners that state their fee separately. If the partner quotes the other way round (e.g. 1.1738), enter 1 ÷ that</t>
        </is>
      </c>
    </row>
    <row r="41" ht="30" customHeight="1">
      <c r="A41" s="3" t="inlineStr">
        <is>
          <t>Partner's fee on top of market</t>
        </is>
      </c>
      <c r="C41" s="21" t="n">
        <v>0.008</v>
      </c>
      <c r="E41" s="17" t="inlineStr">
        <is>
          <t>only for partners that state their fee separately; 0 otherwise</t>
        </is>
      </c>
    </row>
    <row r="42" ht="16" customHeight="1">
      <c r="A42" s="3" t="inlineStr">
        <is>
          <t>Total fee</t>
        </is>
      </c>
      <c r="C42" s="21" t="n">
        <v>0.04</v>
      </c>
      <c r="E42" s="17" t="inlineStr"/>
    </row>
    <row r="43" ht="16" customHeight="1">
      <c r="A43" s="3" t="inlineStr">
        <is>
          <t>Sender pays</t>
        </is>
      </c>
      <c r="C43" s="21" t="n">
        <v>0.04</v>
      </c>
      <c r="E43" s="17" t="inlineStr"/>
    </row>
    <row r="44" ht="16" customHeight="1">
      <c r="A44" s="3" t="inlineStr">
        <is>
          <t>Receiver pays</t>
        </is>
      </c>
      <c r="C44" s="21" t="n">
        <v>0</v>
      </c>
      <c r="E44" s="17" t="inlineStr"/>
    </row>
    <row r="45" ht="16" customHeight="1">
      <c r="A45" s="3" t="inlineStr">
        <is>
          <t>Fee applied to</t>
        </is>
      </c>
      <c r="C45" s="8" t="inlineStr">
        <is>
          <t>market rate</t>
        </is>
      </c>
      <c r="E45" s="17" t="inlineStr">
        <is>
          <t>market rate / agent rate</t>
        </is>
      </c>
    </row>
    <row r="46" ht="30" customHeight="1">
      <c r="A46" s="3" t="inlineStr">
        <is>
          <t>How the partner prices</t>
        </is>
      </c>
      <c r="C46" s="8" t="inlineStr">
        <is>
          <t>fee on top of market</t>
        </is>
      </c>
      <c r="E46" s="17" t="inlineStr">
        <is>
          <t>fee on top of market / fee inside its rate / NPL's own wallet</t>
        </is>
      </c>
    </row>
    <row r="47" ht="16" customHeight="1">
      <c r="A47" s="3" t="inlineStr">
        <is>
          <t>Fee taken how</t>
        </is>
      </c>
      <c r="C47" s="8" t="inlineStr">
        <is>
          <t>off the rate the sender gets</t>
        </is>
      </c>
      <c r="E47" s="17" t="inlineStr">
        <is>
          <t>off the rate the sender gets / added to what the sender pays</t>
        </is>
      </c>
    </row>
    <row r="48" ht="16" customHeight="1">
      <c r="A48" s="3" t="inlineStr">
        <is>
          <t>Rounding</t>
        </is>
      </c>
      <c r="C48" s="8" t="inlineStr">
        <is>
          <t>drop the cents</t>
        </is>
      </c>
      <c r="E48" s="17" t="inlineStr">
        <is>
          <t>drop the cents / nearest unit / round up / nearest 1,000</t>
        </is>
      </c>
    </row>
    <row r="49" ht="16" customHeight="1">
      <c r="A49" s="3" t="inlineStr">
        <is>
          <t>Rounding unit</t>
        </is>
      </c>
      <c r="C49" s="18" t="n">
        <v>1</v>
      </c>
      <c r="E49" s="17" t="inlineStr">
        <is>
          <t>1 for whole units; 1000 for the nearest thousand</t>
        </is>
      </c>
    </row>
    <row r="50" ht="30" customHeight="1">
      <c r="A50" s="3" t="inlineStr">
        <is>
          <t>Minimum NPL margin</t>
        </is>
      </c>
      <c r="C50" s="21" t="n">
        <v>0</v>
      </c>
      <c r="E50" s="17" t="inlineStr">
        <is>
          <t>your answer: unclear — left at 0 so the check passes; give a figure if there is one</t>
        </is>
      </c>
    </row>
    <row r="51" ht="16" customHeight="1">
      <c r="A51" s="3" t="inlineStr">
        <is>
          <t>Fee shown to the customer (blank = the true fee)</t>
        </is>
      </c>
      <c r="C51" s="21" t="n">
        <v>0.04</v>
      </c>
      <c r="E51" s="17" t="inlineStr">
        <is>
          <t>needs a system change when it differs</t>
        </is>
      </c>
    </row>
    <row r="52" ht="30" customHeight="1">
      <c r="A52" s="3" t="inlineStr">
        <is>
          <t>How NPL's share reaches NPL</t>
        </is>
      </c>
      <c r="C52" s="8" t="inlineStr">
        <is>
          <t>held by the client, paid monthly</t>
        </is>
      </c>
      <c r="E52" s="17" t="inlineStr">
        <is>
          <t>kept for NPL at the partner / paid back monthly / held by the client, paid monthly / NPL's own wallet</t>
        </is>
      </c>
    </row>
    <row r="53" ht="30" customHeight="1">
      <c r="A53" s="3" t="inlineStr">
        <is>
          <t>% of the partner's fee paid back (rebate)</t>
        </is>
      </c>
      <c r="C53" s="21" t="n">
        <v>0.375</v>
      </c>
      <c r="E53" s="17" t="inlineStr">
        <is>
          <t>your answer: Aquanow charges 0.8 % and pays 0.3 % back monthly — NPL's alone</t>
        </is>
      </c>
    </row>
    <row r="54" ht="16" customHeight="1">
      <c r="A54" s="3" t="inlineStr">
        <is>
          <t>Share paid to someone else %</t>
        </is>
      </c>
      <c r="C54" s="25">
        <f>($C$42-$C$41)/2</f>
        <v/>
      </c>
      <c r="E54" s="17" t="inlineStr">
        <is>
          <t>half of (fee − partner's fee): 1.6 % via Aquanow</t>
        </is>
      </c>
    </row>
    <row r="56">
      <c r="A56" s="15" t="inlineStr">
        <is>
          <t>C · Worked calculation — what the system works out</t>
        </is>
      </c>
    </row>
    <row r="57">
      <c r="A57" s="16" t="inlineStr">
        <is>
          <t>Figure</t>
        </is>
      </c>
      <c r="B57" s="16" t="inlineStr">
        <is>
          <t>How it is worked out</t>
        </is>
      </c>
      <c r="C57" s="16" t="inlineStr">
        <is>
          <t>Value</t>
        </is>
      </c>
      <c r="E57" s="16" t="inlineStr">
        <is>
          <t>Note</t>
        </is>
      </c>
    </row>
    <row r="58">
      <c r="A58" s="3" t="inlineStr">
        <is>
          <t>Rate the fee is applied to</t>
        </is>
      </c>
      <c r="B58" s="17" t="inlineStr">
        <is>
          <t>the market rate, or the agent rate</t>
        </is>
      </c>
      <c r="C58" s="23">
        <f>IF($C$45="market rate",$C$39,$C$40)</f>
        <v/>
      </c>
      <c r="E58" s="17" t="inlineStr"/>
    </row>
    <row r="59">
      <c r="A59" s="3" t="inlineStr">
        <is>
          <t>Rate quoted to the sender</t>
        </is>
      </c>
      <c r="B59" s="17" t="inlineStr">
        <is>
          <t>that rate less the sender's fee — or, when the fee is added to what the sender pays, that rate ÷ (1 + fee)</t>
        </is>
      </c>
      <c r="C59" s="23">
        <f>IF($C$47="added to what the sender pays",$C$58/(1+$C$43),$C$58*(1-$C$43))</f>
        <v/>
      </c>
      <c r="E59" s="17" t="inlineStr"/>
    </row>
    <row r="60">
      <c r="A60" s="3" t="inlineStr">
        <is>
          <t>Amount the sender is promised</t>
        </is>
      </c>
      <c r="B60" s="17" t="inlineStr">
        <is>
          <t>amount sent × rate quoted to the sender</t>
        </is>
      </c>
      <c r="C60" s="24">
        <f>$C$35*$C$59</f>
        <v/>
      </c>
      <c r="E60" s="17" t="inlineStr">
        <is>
          <t>before any receiver-side fee</t>
        </is>
      </c>
    </row>
    <row r="61">
      <c r="A61" s="3" t="inlineStr">
        <is>
          <t>Receiver-side fee</t>
        </is>
      </c>
      <c r="B61" s="17" t="inlineStr">
        <is>
          <t>amount promised × receiver's fee</t>
        </is>
      </c>
      <c r="C61" s="24">
        <f>$C$60*$C$44</f>
        <v/>
      </c>
      <c r="E61" s="17" t="inlineStr">
        <is>
          <t>taken from the client's balance when the money is converted</t>
        </is>
      </c>
    </row>
    <row r="62">
      <c r="A62" s="3" t="inlineStr">
        <is>
          <t>Amount the receiver is owed</t>
        </is>
      </c>
      <c r="B62" s="17" t="inlineStr">
        <is>
          <t>amount promised − receiver-side fee</t>
        </is>
      </c>
      <c r="C62" s="24">
        <f>$C$60-$C$61</f>
        <v/>
      </c>
      <c r="E62" s="17" t="inlineStr">
        <is>
          <t>what the client's balance must deliver</t>
        </is>
      </c>
    </row>
    <row r="63">
      <c r="A63" s="3" t="inlineStr">
        <is>
          <t>What the partner delivers</t>
        </is>
      </c>
      <c r="B63" s="17" t="inlineStr">
        <is>
          <t>amount × agent rate · or amount × market less the partner's fee · or amount × market when NPL converts itself</t>
        </is>
      </c>
      <c r="C63" s="24">
        <f>IF($C$46="NPL's own wallet",$C$35*$C$39,IF($C$46="fee on top of market",$C$35*$C$39*(1-$C$41),$C$35*$C$40))</f>
        <v/>
      </c>
      <c r="E63" s="17" t="inlineStr"/>
    </row>
    <row r="64">
      <c r="A64" s="3" t="inlineStr">
        <is>
          <t>Partner / agent cost</t>
        </is>
      </c>
      <c r="B64" s="17" t="inlineStr">
        <is>
          <t>amount × market − what the partner delivers (nil when NPL converts itself)</t>
        </is>
      </c>
      <c r="C64" s="24">
        <f>$C$35*$C$39-$C$63</f>
        <v/>
      </c>
      <c r="E64" s="17" t="inlineStr"/>
    </row>
    <row r="65">
      <c r="A65" s="3" t="inlineStr">
        <is>
          <t>NPL earns on this deal</t>
        </is>
      </c>
      <c r="B65" s="17" t="inlineStr">
        <is>
          <t>what the partner delivers − what the receiver is owed</t>
        </is>
      </c>
      <c r="C65" s="24">
        <f>$C$63-$C$62</f>
        <v/>
      </c>
      <c r="E65" s="17" t="inlineStr">
        <is>
          <t>locked in when the money is converted; the partner's rebate is NOT in this figure</t>
        </is>
      </c>
    </row>
    <row r="66">
      <c r="A66" s="3" t="inlineStr">
        <is>
          <t>NPL margin %</t>
        </is>
      </c>
      <c r="B66" s="17" t="inlineStr">
        <is>
          <t>NPL earns ÷ (amount × market)</t>
        </is>
      </c>
      <c r="C66" s="25">
        <f>IF($C$35*$C$39=0,0,$C$65/($C$35*$C$39))</f>
        <v/>
      </c>
      <c r="E66" s="17" t="inlineStr"/>
    </row>
    <row r="67">
      <c r="A67" s="3" t="inlineStr">
        <is>
          <t>Below the minimum margin?</t>
        </is>
      </c>
      <c r="B67" s="17" t="inlineStr">
        <is>
          <t>if so, the quote needs Finance approval</t>
        </is>
      </c>
      <c r="C67" s="6">
        <f>IF($C$66&lt;$C$50,"YES — Finance must approve","no")</f>
        <v/>
      </c>
      <c r="E67" s="17" t="inlineStr"/>
    </row>
    <row r="68">
      <c r="A68" s="3" t="inlineStr">
        <is>
          <t>Amount actually paid out</t>
        </is>
      </c>
      <c r="B68" s="17" t="inlineStr">
        <is>
          <t>amount owed, rounded as agreed</t>
        </is>
      </c>
      <c r="C68" s="24">
        <f>IF($C$48="round up",CEILING($C$62,$C$49),IF($C$48="nearest unit",MROUND($C$62,$C$49),IF($C$48="nearest 1,000",MROUND($C$62,$C$49),FLOOR($C$62,$C$49))))</f>
        <v/>
      </c>
      <c r="E68" s="17" t="inlineStr">
        <is>
          <t>only 'drop the cents' exists today; the other options need a system change (proposal F)</t>
        </is>
      </c>
    </row>
    <row r="69">
      <c r="A69" s="3" t="inlineStr">
        <is>
          <t>Cents left in the client's balance (negative = NPL's cost)</t>
        </is>
      </c>
      <c r="B69" s="17" t="inlineStr">
        <is>
          <t>amount owed − amount paid out</t>
        </is>
      </c>
      <c r="C69" s="24">
        <f>$C$62-$C$68</f>
        <v/>
      </c>
      <c r="E69" s="17" t="inlineStr"/>
    </row>
    <row r="70">
      <c r="A70" s="3" t="inlineStr">
        <is>
          <t>Rate printed on the customer's quote</t>
        </is>
      </c>
      <c r="B70" s="17" t="inlineStr">
        <is>
          <t>rate quoted to the sender ÷ (1 − fee shown) — the 'market rate' your customer-facing calculation prints</t>
        </is>
      </c>
      <c r="C70" s="23">
        <f>IF($C$51="",$C$58,$C$59/(1-$C$51))</f>
        <v/>
      </c>
      <c r="E70" s="17" t="inlineStr">
        <is>
          <t>needs a system change when it differs from the true rate (proposal C)</t>
        </is>
      </c>
    </row>
    <row r="71">
      <c r="A71" s="3" t="inlineStr">
        <is>
          <t>Rebate owed back to NPL by the partner</t>
        </is>
      </c>
      <c r="B71" s="17" t="inlineStr">
        <is>
          <t>partner's fee × % paid back — NPL's alone, never shared, tracked on its own</t>
        </is>
      </c>
      <c r="C71" s="24">
        <f>$C$64*$C$53</f>
        <v/>
      </c>
      <c r="E71" s="17" t="inlineStr">
        <is>
          <t>0 where the partner pays no rebate</t>
        </is>
      </c>
    </row>
    <row r="72">
      <c r="A72" s="3" t="inlineStr">
        <is>
          <t>Share owed to someone else</t>
        </is>
      </c>
      <c r="B72" s="17" t="inlineStr">
        <is>
          <t>amount × market × share % (the share is of NPL's earnings, not of the rebate)</t>
        </is>
      </c>
      <c r="C72" s="24">
        <f>$C$35*$C$39*$C$54</f>
        <v/>
      </c>
      <c r="E72" s="17" t="inlineStr">
        <is>
          <t>paid out of NPL's earnings</t>
        </is>
      </c>
    </row>
    <row r="73">
      <c r="A73" s="3" t="inlineStr">
        <is>
          <t>NPL keeps</t>
        </is>
      </c>
      <c r="B73" s="17" t="inlineStr">
        <is>
          <t>NPL earns − share owed + rebate</t>
        </is>
      </c>
      <c r="C73" s="24">
        <f>$C$65-$C$72+$C$71</f>
        <v/>
      </c>
      <c r="E73" s="17" t="inlineStr"/>
    </row>
    <row r="74">
      <c r="A74" s="3" t="inlineStr">
        <is>
          <t>Check: receiver + partner cost + NPL = amount × market</t>
        </is>
      </c>
      <c r="B74" s="17" t="inlineStr">
        <is>
          <t>must be zero</t>
        </is>
      </c>
      <c r="C74" s="24">
        <f>ROUND($C$62+$C$64+$C$65-$C$35*$C$39,6)</f>
        <v/>
      </c>
      <c r="E74" s="17" t="inlineStr">
        <is>
          <t>every unit sent is accounted for</t>
        </is>
      </c>
    </row>
    <row r="76">
      <c r="A76" s="15" t="inlineStr">
        <is>
          <t>D · Bookkeeping entries the system would write</t>
        </is>
      </c>
    </row>
    <row r="77">
      <c r="A77" s="16" t="inlineStr">
        <is>
          <t>Entry</t>
        </is>
      </c>
      <c r="B77" s="16" t="inlineStr">
        <is>
          <t>In / out</t>
        </is>
      </c>
      <c r="C77" s="16" t="inlineStr">
        <is>
          <t>Amount</t>
        </is>
      </c>
      <c r="D77" s="16" t="inlineStr">
        <is>
          <t>Whose money · what kind</t>
        </is>
      </c>
      <c r="E77" s="16" t="inlineStr">
        <is>
          <t>When</t>
        </is>
      </c>
    </row>
    <row r="78" ht="16" customHeight="1">
      <c r="A78" s="6">
        <f>"Client money received at "&amp;$C$38&amp;" ("&amp;$C$36&amp;")"</f>
        <v/>
      </c>
      <c r="B78" s="6" t="inlineStr">
        <is>
          <t>in</t>
        </is>
      </c>
      <c r="C78" s="24">
        <f>$C$35</f>
        <v/>
      </c>
      <c r="D78" s="17" t="inlineStr">
        <is>
          <t>client's money · the amount itself</t>
        </is>
      </c>
      <c r="E78" s="17" t="inlineStr">
        <is>
          <t>when the money arrives</t>
        </is>
      </c>
    </row>
    <row r="79" ht="16" customHeight="1">
      <c r="A79" s="6">
        <f>"Owed to the client's receivers ("&amp;$C$36&amp;")"</f>
        <v/>
      </c>
      <c r="B79" s="6" t="inlineStr">
        <is>
          <t>out</t>
        </is>
      </c>
      <c r="C79" s="24">
        <f>$C$35</f>
        <v/>
      </c>
      <c r="D79" s="17" t="inlineStr">
        <is>
          <t>client's money · the amount itself</t>
        </is>
      </c>
      <c r="E79" s="17" t="inlineStr">
        <is>
          <t>when the money arrives</t>
        </is>
      </c>
    </row>
    <row r="80" ht="16" customHeight="1">
      <c r="A80" s="6">
        <f>"Owed to the client's receivers ("&amp;$C$36&amp;")"</f>
        <v/>
      </c>
      <c r="B80" s="6" t="inlineStr">
        <is>
          <t>in</t>
        </is>
      </c>
      <c r="C80" s="24">
        <f>$C$35</f>
        <v/>
      </c>
      <c r="D80" s="17" t="inlineStr">
        <is>
          <t>client's money · the amount itself</t>
        </is>
      </c>
      <c r="E80" s="17" t="inlineStr">
        <is>
          <t>conversion — currency sent</t>
        </is>
      </c>
    </row>
    <row r="81" ht="16" customHeight="1">
      <c r="A81" s="6">
        <f>"Client money received at "&amp;$C$38&amp;" ("&amp;$C$36&amp;")"</f>
        <v/>
      </c>
      <c r="B81" s="6" t="inlineStr">
        <is>
          <t>out</t>
        </is>
      </c>
      <c r="C81" s="24">
        <f>$C$35</f>
        <v/>
      </c>
      <c r="D81" s="17" t="inlineStr">
        <is>
          <t>client's money · the amount itself</t>
        </is>
      </c>
      <c r="E81" s="17" t="inlineStr">
        <is>
          <t>conversion — currency sent</t>
        </is>
      </c>
    </row>
    <row r="82" ht="16" customHeight="1">
      <c r="A82" s="6">
        <f>"Client money ready to pay out at "&amp;$C$38&amp;" ("&amp;$C$37&amp;")"</f>
        <v/>
      </c>
      <c r="B82" s="6" t="inlineStr">
        <is>
          <t>in</t>
        </is>
      </c>
      <c r="C82" s="24">
        <f>$C$62</f>
        <v/>
      </c>
      <c r="D82" s="17" t="inlineStr">
        <is>
          <t>client's money · the amount itself (cents included)</t>
        </is>
      </c>
      <c r="E82" s="17" t="inlineStr">
        <is>
          <t>conversion — currency paid out</t>
        </is>
      </c>
    </row>
    <row r="83" ht="30" customHeight="1">
      <c r="A83" s="6">
        <f>"NPL's earnings kept at "&amp;$C$38&amp;" ("&amp;$C$37&amp;")"</f>
        <v/>
      </c>
      <c r="B83" s="6" t="inlineStr">
        <is>
          <t>in</t>
        </is>
      </c>
      <c r="C83" s="24">
        <f>IF(OR($C$52="paid back monthly",$C$52="held by the client, paid monthly"),0,$C$65)</f>
        <v/>
      </c>
      <c r="D83" s="17" t="inlineStr">
        <is>
          <t>NPL's money · earnings</t>
        </is>
      </c>
      <c r="E83" s="17" t="inlineStr">
        <is>
          <t>conversion — NPL's share left with the partner (or in NPL's own wallet)</t>
        </is>
      </c>
    </row>
    <row r="84" ht="30" customHeight="1">
      <c r="A84" s="6">
        <f>"Owed to NPL by the client ("&amp;$C$37&amp;")"</f>
        <v/>
      </c>
      <c r="B84" s="6" t="inlineStr">
        <is>
          <t>in</t>
        </is>
      </c>
      <c r="C84" s="24">
        <f>IF($C$52="held by the client, paid monthly",$C$65,0)</f>
        <v/>
      </c>
      <c r="D84" s="17" t="inlineStr">
        <is>
          <t>NPL's money · earnings</t>
        </is>
      </c>
      <c r="E84" s="17" t="inlineStr">
        <is>
          <t>conversion — the converted money went to the client's own account; NPL's share is owed by the client</t>
        </is>
      </c>
    </row>
    <row r="85" ht="16" customHeight="1">
      <c r="A85" s="6">
        <f>"Rebate owed to NPL by "&amp;$C$38&amp;" ("&amp;$C$37&amp;")"</f>
        <v/>
      </c>
      <c r="B85" s="6" t="inlineStr">
        <is>
          <t>in</t>
        </is>
      </c>
      <c r="C85" s="24">
        <f>$C$71</f>
        <v/>
      </c>
      <c r="D85" s="17" t="inlineStr">
        <is>
          <t>NPL's money · rebate (kept apart from earnings)</t>
        </is>
      </c>
      <c r="E85" s="17" t="inlineStr">
        <is>
          <t>conversion — the partner's monthly rebate</t>
        </is>
      </c>
    </row>
    <row r="86" ht="16" customHeight="1">
      <c r="A86" s="6">
        <f>"Owed to the client's receivers ("&amp;$C$37&amp;")"</f>
        <v/>
      </c>
      <c r="B86" s="6" t="inlineStr">
        <is>
          <t>out</t>
        </is>
      </c>
      <c r="C86" s="24">
        <f>$C$62</f>
        <v/>
      </c>
      <c r="D86" s="17" t="inlineStr">
        <is>
          <t>client's money · the amount itself</t>
        </is>
      </c>
      <c r="E86" s="17" t="inlineStr">
        <is>
          <t>conversion — currency paid out</t>
        </is>
      </c>
    </row>
    <row r="87" ht="16" customHeight="1">
      <c r="A87" s="6">
        <f>"NPL's earnings ("&amp;$C$37&amp;")"</f>
        <v/>
      </c>
      <c r="B87" s="6" t="inlineStr">
        <is>
          <t>out</t>
        </is>
      </c>
      <c r="C87" s="24">
        <f>$C$65</f>
        <v/>
      </c>
      <c r="D87" s="17" t="inlineStr">
        <is>
          <t>NPL's money · earnings</t>
        </is>
      </c>
      <c r="E87" s="17" t="inlineStr">
        <is>
          <t>margin recognised</t>
        </is>
      </c>
    </row>
    <row r="88" ht="16" customHeight="1">
      <c r="A88" s="6">
        <f>"NPL's rebate income ("&amp;$C$37&amp;")"</f>
        <v/>
      </c>
      <c r="B88" s="6" t="inlineStr">
        <is>
          <t>out</t>
        </is>
      </c>
      <c r="C88" s="24">
        <f>$C$71</f>
        <v/>
      </c>
      <c r="D88" s="17" t="inlineStr">
        <is>
          <t>NPL's money · rebate</t>
        </is>
      </c>
      <c r="E88" s="17" t="inlineStr">
        <is>
          <t>rebate expected — reported separately from earnings</t>
        </is>
      </c>
    </row>
    <row r="89" ht="16" customHeight="1">
      <c r="A89" s="6">
        <f>"Client money in transit from "&amp;$C$38&amp;" ("&amp;$C$37&amp;")"</f>
        <v/>
      </c>
      <c r="B89" s="6" t="inlineStr">
        <is>
          <t>in</t>
        </is>
      </c>
      <c r="C89" s="24">
        <f>$C$68</f>
        <v/>
      </c>
      <c r="D89" s="17" t="inlineStr">
        <is>
          <t>client's money · the amount itself</t>
        </is>
      </c>
      <c r="E89" s="17" t="inlineStr">
        <is>
          <t>payout released (rounded as agreed)</t>
        </is>
      </c>
    </row>
    <row r="90" ht="16" customHeight="1">
      <c r="A90" s="6">
        <f>"Client money ready to pay out at "&amp;$C$38&amp;" ("&amp;$C$37&amp;")"</f>
        <v/>
      </c>
      <c r="B90" s="6" t="inlineStr">
        <is>
          <t>out</t>
        </is>
      </c>
      <c r="C90" s="24">
        <f>$C$68</f>
        <v/>
      </c>
      <c r="D90" s="17" t="inlineStr">
        <is>
          <t>client's money · the amount itself</t>
        </is>
      </c>
      <c r="E90" s="17" t="inlineStr">
        <is>
          <t>payout released</t>
        </is>
      </c>
    </row>
    <row r="91" ht="16" customHeight="1">
      <c r="A91" s="6">
        <f>"Owed to the client's receivers ("&amp;$C$37&amp;")"</f>
        <v/>
      </c>
      <c r="B91" s="6" t="inlineStr">
        <is>
          <t>in</t>
        </is>
      </c>
      <c r="C91" s="24">
        <f>$C$68</f>
        <v/>
      </c>
      <c r="D91" s="17" t="inlineStr">
        <is>
          <t>client's money · the amount itself</t>
        </is>
      </c>
      <c r="E91" s="17" t="inlineStr">
        <is>
          <t>receiver confirms in full</t>
        </is>
      </c>
    </row>
    <row r="92" ht="16" customHeight="1">
      <c r="A92" s="6">
        <f>"Client money in transit from "&amp;$C$38&amp;" ("&amp;$C$37&amp;")"</f>
        <v/>
      </c>
      <c r="B92" s="6" t="inlineStr">
        <is>
          <t>out</t>
        </is>
      </c>
      <c r="C92" s="24">
        <f>$C$68</f>
        <v/>
      </c>
      <c r="D92" s="17" t="inlineStr">
        <is>
          <t>client's money · the amount itself</t>
        </is>
      </c>
      <c r="E92" s="17" t="inlineStr">
        <is>
          <t>receiver confirms in full</t>
        </is>
      </c>
    </row>
    <row r="93" ht="16" customHeight="1">
      <c r="A93" s="6">
        <f>"NPL's earnings ("&amp;$C$37&amp;")"</f>
        <v/>
      </c>
      <c r="B93" s="6" t="inlineStr">
        <is>
          <t>in</t>
        </is>
      </c>
      <c r="C93" s="24">
        <f>$C$72</f>
        <v/>
      </c>
      <c r="D93" s="17" t="inlineStr">
        <is>
          <t>NPL's money · share paid to someone else</t>
        </is>
      </c>
      <c r="E93" s="17" t="inlineStr">
        <is>
          <t>share accrued (if any)</t>
        </is>
      </c>
    </row>
    <row r="94" ht="16" customHeight="1">
      <c r="A94" s="6">
        <f>"Owed to the other party ("&amp;$C$37&amp;")"</f>
        <v/>
      </c>
      <c r="B94" s="6" t="inlineStr">
        <is>
          <t>out</t>
        </is>
      </c>
      <c r="C94" s="24">
        <f>$C$72</f>
        <v/>
      </c>
      <c r="D94" s="17" t="inlineStr">
        <is>
          <t>NPL's money · share paid to someone else</t>
        </is>
      </c>
      <c r="E94" s="17" t="inlineStr">
        <is>
          <t>share accrued</t>
        </is>
      </c>
    </row>
    <row r="95" ht="30" customHeight="1">
      <c r="A95" s="6">
        <f>"Owed to the other party ("&amp;$C$37&amp;")"</f>
        <v/>
      </c>
      <c r="B95" s="6" t="inlineStr">
        <is>
          <t>in</t>
        </is>
      </c>
      <c r="C95" s="24">
        <f>IF($C$52="held by the client, paid monthly",$C$72,0)</f>
        <v/>
      </c>
      <c r="D95" s="17" t="inlineStr">
        <is>
          <t>NPL's money · share</t>
        </is>
      </c>
      <c r="E95" s="17" t="inlineStr">
        <is>
          <t>netted: the client keeps its share out of the money in its account</t>
        </is>
      </c>
    </row>
    <row r="96" ht="16" customHeight="1">
      <c r="A96" s="6">
        <f>"Owed to NPL by the client ("&amp;$C$37&amp;")"</f>
        <v/>
      </c>
      <c r="B96" s="6" t="inlineStr">
        <is>
          <t>out</t>
        </is>
      </c>
      <c r="C96" s="24">
        <f>IF($C$52="held by the client, paid monthly",$C$72,0)</f>
        <v/>
      </c>
      <c r="D96" s="17" t="inlineStr">
        <is>
          <t>NPL's money · earnings</t>
        </is>
      </c>
      <c r="E96" s="17" t="inlineStr">
        <is>
          <t>netted: what the client pays NPL monthly is the rest</t>
        </is>
      </c>
    </row>
    <row r="97" ht="30" customHeight="1">
      <c r="A97" s="26" t="inlineStr">
        <is>
          <t>Check: in = out in the currency paid out</t>
        </is>
      </c>
      <c r="C97" s="27">
        <f>ROUND(SUMIF($B$82:$B$96,"in",$C$82:$C$96)-SUMIF($B$82:$B$96,"out",$C$82:$C$96),6)</f>
        <v/>
      </c>
      <c r="E97" s="17" t="inlineStr">
        <is>
          <t>money never appears or disappears: every entry moves it from one place to another</t>
        </is>
      </c>
    </row>
    <row r="99">
      <c r="A99" s="15" t="inlineStr">
        <is>
          <t>E · Compare with your sheet</t>
        </is>
      </c>
    </row>
    <row r="100">
      <c r="A100" s="16" t="inlineStr">
        <is>
          <t>Figure in your sheet</t>
        </is>
      </c>
      <c r="B100" s="16" t="inlineStr">
        <is>
          <t>Your value</t>
        </is>
      </c>
      <c r="C100" s="16" t="inlineStr">
        <is>
          <t>Worked out here</t>
        </is>
      </c>
      <c r="D100" s="16" t="inlineStr">
        <is>
          <t>Difference</t>
        </is>
      </c>
      <c r="E100" s="16" t="inlineStr">
        <is>
          <t>Comment</t>
        </is>
      </c>
    </row>
    <row r="101" ht="44" customHeight="1">
      <c r="A101" s="3" t="inlineStr">
        <is>
          <t>EUR to the receiver</t>
        </is>
      </c>
      <c r="B101" s="18" t="n">
        <v>41520.17</v>
      </c>
      <c r="C101" s="24">
        <f>$C$60</f>
        <v/>
      </c>
      <c r="D101" s="27">
        <f>ROUND(C101-B101,2)</f>
        <v/>
      </c>
      <c r="E101" s="17" t="inlineStr">
        <is>
          <t>sheet row 16 and your Project Context: 50,000 × 0.8650036 × 0.96 — your computation deducts 3 % first and converts the rest at 0.856086: same EUR</t>
        </is>
      </c>
    </row>
    <row r="103">
      <c r="A103" s="15" t="inlineStr">
        <is>
          <t>How the 4 % is split (your rule of 8 October) — needs a system change (proposal G)</t>
        </is>
      </c>
    </row>
    <row r="104">
      <c r="A104" s="16" t="inlineStr">
        <is>
          <t>Figure</t>
        </is>
      </c>
      <c r="B104" s="16" t="inlineStr">
        <is>
          <t>How it is worked out</t>
        </is>
      </c>
      <c r="C104" s="16" t="inlineStr">
        <is>
          <t>Value</t>
        </is>
      </c>
      <c r="E104" s="16" t="inlineStr">
        <is>
          <t>Note</t>
        </is>
      </c>
    </row>
    <row r="105">
      <c r="A105" s="6" t="inlineStr">
        <is>
          <t>Markup to share %</t>
        </is>
      </c>
      <c r="B105" s="29" t="inlineStr">
        <is>
          <t>total fee − partner's fee</t>
        </is>
      </c>
      <c r="C105" s="25">
        <f>$C$42-$C$41</f>
        <v/>
      </c>
      <c r="E105" s="17" t="inlineStr">
        <is>
          <t>4 % − 0.8 % = 3.2 % via Aquanow; 4 % − 1 % = 3 % via Ali</t>
        </is>
      </c>
    </row>
    <row r="106">
      <c r="A106" s="6" t="inlineStr">
        <is>
          <t>Markup to share (EUR)</t>
        </is>
      </c>
      <c r="B106" s="29" t="inlineStr">
        <is>
          <t>amount × market × markup to share</t>
        </is>
      </c>
      <c r="C106" s="24">
        <f>$C$35*$C$39*$C$105</f>
        <v/>
      </c>
      <c r="E106" s="29" t="inlineStr">
        <is>
          <t>equals 'NPL earns on this deal' above</t>
        </is>
      </c>
    </row>
    <row r="108">
      <c r="A108" s="16" t="inlineStr">
        <is>
          <t>Party</t>
        </is>
      </c>
      <c r="C108" s="16" t="inlineStr">
        <is>
          <t>Share of the markup</t>
        </is>
      </c>
      <c r="D108" s="16" t="inlineStr">
        <is>
          <t>EUR</t>
        </is>
      </c>
      <c r="E108" s="16" t="inlineStr">
        <is>
          <t>Who holds the money</t>
        </is>
      </c>
    </row>
    <row r="109">
      <c r="A109" s="8" t="inlineStr">
        <is>
          <t>Raeen (provides the sub-account)</t>
        </is>
      </c>
      <c r="C109" s="21" t="n">
        <v>0.5</v>
      </c>
      <c r="D109" s="24">
        <f>$C$106*C109</f>
        <v/>
      </c>
      <c r="E109" s="17" t="inlineStr">
        <is>
          <t>Raeen — the EUR lands in Raeen's Aquanow account; Raeen keeps this</t>
        </is>
      </c>
    </row>
    <row r="110">
      <c r="A110" s="5" t="inlineStr">
        <is>
          <t>Another party (if any)</t>
        </is>
      </c>
      <c r="C110" s="22" t="n">
        <v>0</v>
      </c>
      <c r="D110" s="24">
        <f>$C$106*C110</f>
        <v/>
      </c>
      <c r="E110" s="17" t="inlineStr">
        <is>
          <t>future deals may have more than one party, each with its own share</t>
        </is>
      </c>
    </row>
    <row r="111">
      <c r="A111" s="4" t="inlineStr">
        <is>
          <t>NPL</t>
        </is>
      </c>
      <c r="C111" s="30">
        <f>1-SUM(C109:C110)</f>
        <v/>
      </c>
      <c r="D111" s="27">
        <f>$C$106*C111</f>
        <v/>
      </c>
      <c r="E111" s="17" t="inlineStr">
        <is>
          <t>Raeen pays this to NPL monthly — a receivable from the client</t>
        </is>
      </c>
    </row>
    <row r="112" ht="30" customHeight="1">
      <c r="A112" s="3" t="inlineStr">
        <is>
          <t>Aquanow's rebate to NPL (0.3 % of the amount × market)</t>
        </is>
      </c>
      <c r="B112" s="29" t="inlineStr">
        <is>
          <t>partner's fee × 37.5 %</t>
        </is>
      </c>
      <c r="D112" s="24">
        <f>$C$71</f>
        <v/>
      </c>
      <c r="E112" s="17" t="inlineStr">
        <is>
          <t>NPL's alone — not shared, not visible to Raeen, reported apart from the markup</t>
        </is>
      </c>
    </row>
    <row r="113">
      <c r="A113" s="4" t="inlineStr">
        <is>
          <t>NPL's total on this deal (EUR)</t>
        </is>
      </c>
      <c r="D113" s="27">
        <f>$D$111+$D$112</f>
        <v/>
      </c>
      <c r="E113" s="17" t="inlineStr">
        <is>
          <t>1.6 % + 0.3 % = 1.9 % of amount × market via Aquanow</t>
        </is>
      </c>
    </row>
    <row r="114">
      <c r="A114" s="31" t="inlineStr">
        <is>
          <t>Check: parties + NPL = markup to share</t>
        </is>
      </c>
      <c r="D114" s="27">
        <f>ROUND(SUM(D109:D111)-$C$106,2)</f>
        <v/>
      </c>
    </row>
    <row r="116">
      <c r="A116" s="15" t="inlineStr">
        <is>
          <t>F · Please confirm</t>
        </is>
      </c>
    </row>
    <row r="117" ht="46" customHeight="1">
      <c r="A117" s="14" t="inlineStr">
        <is>
          <t>•</t>
        </is>
      </c>
      <c r="B117" s="28" t="inlineStr">
        <is>
          <t>Your rule: the markup to share is the 4 % less the partner's fee — 3 % via Ali (1.5 / 1.5), 3.2 % via Aquanow (1.6 / 1.6) — and Aquanow's 0.3 % rebate is NPL's alone, not visible to Raeen. The workbook now does exactly that. Your Project Context example still deducts 3 % on Aquanow; with the rule it should deduct 3.2 %. Please confirm 3.2 %.</t>
        </is>
      </c>
    </row>
    <row r="118" ht="32" customHeight="1">
      <c r="A118" s="14" t="inlineStr">
        <is>
          <t>•</t>
        </is>
      </c>
      <c r="B118" s="28" t="inlineStr">
        <is>
          <t>Row 14 (Raeen direct from downlines): 1 % to the sender, Aquanow 0.8 %, the 0.2 % left shared 75/25 — same rule, a different split. Confirm 0.15 % to Raeen and 0.05 % to NPL (plus the 0.3 % rebate to NPL).</t>
        </is>
      </c>
    </row>
  </sheetData>
  <mergeCells count="2">
    <mergeCell ref="B118:E118"/>
    <mergeCell ref="B117:E1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7 NPL own wallet — Game reseller (NPL-GR): NPL converts in its own wallet, no partner</t>
        </is>
      </c>
    </row>
    <row r="2">
      <c r="A2" s="13" t="inlineStr">
        <is>
          <t>Example taken from your sheet, rows</t>
        </is>
      </c>
      <c r="B2" s="14" t="inlineStr">
        <is>
          <t>38, 39, 40, 41, 42</t>
        </is>
      </c>
    </row>
    <row r="4">
      <c r="A4" s="15" t="inlineStr">
        <is>
          <t>A · The set-up for this kind of deal</t>
        </is>
      </c>
    </row>
    <row r="5">
      <c r="A5" s="16" t="inlineStr">
        <is>
          <t>Item</t>
        </is>
      </c>
      <c r="B5" s="16" t="inlineStr">
        <is>
          <t>Value</t>
        </is>
      </c>
      <c r="C5" s="16" t="inlineStr">
        <is>
          <t>Where it comes from</t>
        </is>
      </c>
      <c r="D5" s="16" t="inlineStr">
        <is>
          <t>Note</t>
        </is>
      </c>
    </row>
    <row r="6" ht="54" customHeight="1">
      <c r="A6" s="3" t="inlineStr">
        <is>
          <t>Client</t>
        </is>
      </c>
      <c r="B6" s="10" t="inlineStr">
        <is>
          <t>Game Reseller — NPL-GR (NPL as its own client; the vendors are paid later from NPL's wallet)</t>
        </is>
      </c>
      <c r="C6" s="3" t="inlineStr">
        <is>
          <t>your answer (8 Oct)</t>
        </is>
      </c>
      <c r="D6" s="17" t="inlineStr">
        <is>
          <t>One set-up per client.</t>
        </is>
      </c>
    </row>
    <row r="7" ht="42" customHeight="1">
      <c r="A7" s="3" t="inlineStr">
        <is>
          <t>Who sends the money</t>
        </is>
      </c>
      <c r="B7" s="10" t="inlineStr">
        <is>
          <t>Bala (the reseller's customer)</t>
        </is>
      </c>
      <c r="C7" s="3" t="inlineStr">
        <is>
          <t>your answer (8 Oct)</t>
        </is>
      </c>
      <c r="D7" s="17" t="inlineStr">
        <is>
          <t>The sender(s). Each must be on the list of who may pay this client's receivers.</t>
        </is>
      </c>
    </row>
    <row r="8" ht="54" customHeight="1">
      <c r="A8" s="3" t="inlineStr">
        <is>
          <t>Who gets paid</t>
        </is>
      </c>
      <c r="B8" s="10" t="inlineStr">
        <is>
          <t>NPL-GR — the allow list is Bala → NPL-GR; vendors (EZ-EVO and others) are paid in USDT from NPL's wallet on later days</t>
        </is>
      </c>
      <c r="C8" s="3" t="inlineStr">
        <is>
          <t>your answer (8 Oct)</t>
        </is>
      </c>
      <c r="D8" s="17" t="inlineStr">
        <is>
          <t>The receiver, or the vendor. A refund goes back to the sender's own account.</t>
        </is>
      </c>
    </row>
    <row r="9" ht="54" customHeight="1">
      <c r="A9" s="3" t="inlineStr">
        <is>
          <t>Their account</t>
        </is>
      </c>
      <c r="B9" s="10" t="inlineStr">
        <is>
          <t>USDT wallet (NPL's own, then the vendors')</t>
        </is>
      </c>
      <c r="C9" s="3" t="inlineStr">
        <is>
          <t>your answer (8 Oct)</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crypto</t>
        </is>
      </c>
      <c r="C10" s="3" t="inlineStr">
        <is>
          <t>your sheet</t>
        </is>
      </c>
      <c r="D10" s="17" t="inlineStr">
        <is>
          <t>crypto, bank transfer, cash, or a one-time local bank deposit.</t>
        </is>
      </c>
    </row>
    <row r="11" ht="54" customHeight="1">
      <c r="A11" s="3" t="inlineStr">
        <is>
          <t>Where it comes in</t>
        </is>
      </c>
      <c r="B11" s="10" t="inlineStr">
        <is>
          <t>NPL's own wallet · LT Sub (Aquanow) · TRC-20 — occasionally Ali's wallet holds the USDT as NPL's own balance</t>
        </is>
      </c>
      <c r="C11" s="3" t="inlineStr">
        <is>
          <t>your answer (8 Oct)</t>
        </is>
      </c>
      <c r="D11" s="17" t="inlineStr">
        <is>
          <t>Which partner company's wallet or bank account the sender pays into. It must be live, belong to that partner company, and be a wallet for crypto or a bank account for bank transfers.</t>
        </is>
      </c>
    </row>
    <row r="12" ht="42" customHeight="1">
      <c r="A12" s="3" t="inlineStr">
        <is>
          <t>Partner / agent</t>
        </is>
      </c>
      <c r="B12" s="10" t="inlineStr">
        <is>
          <t>none — NPL converts itself (NPL-GR as 'own desk')</t>
        </is>
      </c>
      <c r="C12" s="3" t="inlineStr">
        <is>
          <t>your answer (8 Oct)</t>
        </is>
      </c>
      <c r="D12" s="17" t="inlineStr"/>
    </row>
    <row r="13" ht="54" customHeight="1">
      <c r="A13" s="3" t="inlineStr">
        <is>
          <t>How the partner prices</t>
        </is>
      </c>
      <c r="B13" s="10" t="inlineStr">
        <is>
          <t>NPL's own wallet (needs a system change)</t>
        </is>
      </c>
      <c r="C13" s="3" t="inlineStr">
        <is>
          <t>your sheet</t>
        </is>
      </c>
      <c r="D13" s="17" t="inlineStr">
        <is>
          <t>'fee on top of market': the partner converts at market and states its fee separately. 'fee inside its rate': the partner's margin is built into the rate it gives.</t>
        </is>
      </c>
    </row>
    <row r="14" ht="42" customHeight="1">
      <c r="A14" s="3" t="inlineStr">
        <is>
          <t>Exchange pair</t>
        </is>
      </c>
      <c r="B14" s="10" t="inlineStr">
        <is>
          <t>USDT → EUR (the customer owes EUR, pays USDT)</t>
        </is>
      </c>
      <c r="C14" s="3" t="inlineStr">
        <is>
          <t>your sheet</t>
        </is>
      </c>
      <c r="D14" s="17" t="inlineStr">
        <is>
          <t>currency sent → currency paid out.</t>
        </is>
      </c>
    </row>
    <row r="15" ht="54" customHeight="1">
      <c r="A15" s="3" t="inlineStr">
        <is>
          <t>Fee taken how</t>
        </is>
      </c>
      <c r="B15" s="10" t="inlineStr">
        <is>
          <t>added to what the sender pays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market rate</t>
        </is>
      </c>
      <c r="C16" s="3" t="inlineStr">
        <is>
          <t>your sheet</t>
        </is>
      </c>
      <c r="D16" s="17" t="inlineStr">
        <is>
          <t>the market rate, or the agent's rate.</t>
        </is>
      </c>
    </row>
    <row r="17" ht="42" customHeight="1">
      <c r="A17" s="3" t="inlineStr">
        <is>
          <t>Fee is</t>
        </is>
      </c>
      <c r="B17" s="10" t="inlineStr">
        <is>
          <t>fixed</t>
        </is>
      </c>
      <c r="C17" s="3" t="inlineStr">
        <is>
          <t>your sheet</t>
        </is>
      </c>
      <c r="D17" s="17" t="inlineStr">
        <is>
          <t>fixed, or decided per deal between a lowest and a highest markup.</t>
        </is>
      </c>
    </row>
    <row r="18" ht="16" customHeight="1">
      <c r="A18" s="3" t="inlineStr">
        <is>
          <t>Total fee %</t>
        </is>
      </c>
      <c r="B18" s="12" t="n">
        <v>0.02</v>
      </c>
      <c r="C18" s="3" t="inlineStr">
        <is>
          <t>your sheet</t>
        </is>
      </c>
      <c r="D18" s="17" t="inlineStr">
        <is>
          <t>sender's part + receiver's part.</t>
        </is>
      </c>
    </row>
    <row r="19" ht="16" customHeight="1">
      <c r="A19" s="3" t="inlineStr">
        <is>
          <t>Sender pays %</t>
        </is>
      </c>
      <c r="B19" s="12" t="n">
        <v>0.02</v>
      </c>
      <c r="C19" s="3" t="inlineStr">
        <is>
          <t>your sheet</t>
        </is>
      </c>
      <c r="D19" s="17" t="inlineStr"/>
    </row>
    <row r="20" ht="16" customHeight="1">
      <c r="A20" s="3" t="inlineStr">
        <is>
          <t>Receiver pays %</t>
        </is>
      </c>
      <c r="B20" s="12" t="n">
        <v>0</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2" t="n">
        <v>0.005</v>
      </c>
      <c r="C23" s="3" t="inlineStr">
        <is>
          <t>your answer (8 Oct)</t>
        </is>
      </c>
      <c r="D23" s="17" t="inlineStr">
        <is>
          <t>A quote that earns less needs Finance's approval.</t>
        </is>
      </c>
    </row>
    <row r="24" ht="42" customHeight="1">
      <c r="A24" s="3" t="inlineStr">
        <is>
          <t>Fee shown to the customer %</t>
        </is>
      </c>
      <c r="B24" s="11" t="inlineStr"/>
      <c r="C24" s="3" t="inlineStr">
        <is>
          <t>not needed here</t>
        </is>
      </c>
      <c r="D24" s="17" t="inlineStr">
        <is>
          <t>Only when the customer-facing calculation shows a different fee from the true total. Needs a system change.</t>
        </is>
      </c>
    </row>
    <row r="25" ht="54" customHeight="1">
      <c r="A25" s="3" t="inlineStr">
        <is>
          <t>How NPL's share reaches NPL</t>
        </is>
      </c>
      <c r="B25" s="10" t="inlineStr">
        <is>
          <t>NPL's own wallet</t>
        </is>
      </c>
      <c r="C25" s="3" t="inlineStr">
        <is>
          <t>your sheet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1" t="inlineStr"/>
      <c r="C26" s="3" t="inlineStr">
        <is>
          <t>not needed here</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round up (on the USDT collected)</t>
        </is>
      </c>
      <c r="C28" s="3" t="inlineStr">
        <is>
          <t>your answer (8 Oct)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USDT from NPL's wallet</t>
        </is>
      </c>
      <c r="C29" s="3" t="inlineStr">
        <is>
          <t>your answer (8 Oct)</t>
        </is>
      </c>
      <c r="D29" s="17" t="inlineStr">
        <is>
          <t>and the bank fee you expect on it</t>
        </is>
      </c>
    </row>
    <row r="30" ht="42" customHeight="1">
      <c r="A30" s="3" t="inlineStr">
        <is>
          <t>Name shown on the transfer</t>
        </is>
      </c>
      <c r="B30" s="10" t="inlineStr">
        <is>
          <t>not applicable (USDT)</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3">
      <c r="A33" s="15" t="inlineStr">
        <is>
          <t>B · Worked calculation — the deal (change any value)</t>
        </is>
      </c>
    </row>
    <row r="34">
      <c r="A34" s="16" t="inlineStr">
        <is>
          <t>Item</t>
        </is>
      </c>
      <c r="B34" s="16" t="inlineStr"/>
      <c r="C34" s="16" t="inlineStr">
        <is>
          <t>Value</t>
        </is>
      </c>
      <c r="D34" s="16" t="inlineStr"/>
      <c r="E34" s="16" t="inlineStr">
        <is>
          <t>Meaning</t>
        </is>
      </c>
    </row>
    <row r="35" ht="16" customHeight="1">
      <c r="A35" s="3" t="inlineStr">
        <is>
          <t>Amount sent</t>
        </is>
      </c>
      <c r="C35" s="18" t="n">
        <v>2600</v>
      </c>
      <c r="E35" s="17" t="inlineStr">
        <is>
          <t>what the sender pays in, in the currency sent</t>
        </is>
      </c>
    </row>
    <row r="36" ht="16" customHeight="1">
      <c r="A36" s="3" t="inlineStr">
        <is>
          <t>Currency sent</t>
        </is>
      </c>
      <c r="C36" s="8" t="inlineStr">
        <is>
          <t>USDT</t>
        </is>
      </c>
      <c r="E36" s="17" t="inlineStr"/>
    </row>
    <row r="37" ht="16" customHeight="1">
      <c r="A37" s="3" t="inlineStr">
        <is>
          <t>Currency paid out</t>
        </is>
      </c>
      <c r="C37" s="8" t="inlineStr">
        <is>
          <t>EUR</t>
        </is>
      </c>
      <c r="E37" s="17" t="inlineStr"/>
    </row>
    <row r="38" ht="16" customHeight="1">
      <c r="A38" s="3" t="inlineStr">
        <is>
          <t>Partner (short name)</t>
        </is>
      </c>
      <c r="C38" s="8" t="inlineStr">
        <is>
          <t>NPL</t>
        </is>
      </c>
      <c r="E38" s="17" t="inlineStr">
        <is>
          <t>used in the bookkeeping entries below</t>
        </is>
      </c>
    </row>
    <row r="39" ht="16" customHeight="1">
      <c r="A39" s="3" t="inlineStr">
        <is>
          <t>Market rate</t>
        </is>
      </c>
      <c r="C39" s="19" t="n">
        <v>0.8716</v>
      </c>
      <c r="E39" s="17" t="inlineStr">
        <is>
          <t>your calculation: EUR→USDT 1.14731528 = 1 ÷ 0.8716</t>
        </is>
      </c>
    </row>
    <row r="40" ht="30" customHeight="1">
      <c r="A40" s="3" t="inlineStr">
        <is>
          <t>Agent rate (partners whose fee is inside the rate)</t>
        </is>
      </c>
      <c r="C40" s="20" t="inlineStr"/>
      <c r="E40" s="17" t="inlineStr">
        <is>
          <t>units received per 1 unit sent, as the partner offers it; leave blank for partners that state their fee separately. If the partner quotes the other way round (e.g. 1.1738), enter 1 ÷ that</t>
        </is>
      </c>
    </row>
    <row r="41" ht="30" customHeight="1">
      <c r="A41" s="3" t="inlineStr">
        <is>
          <t>Partner's fee on top of market</t>
        </is>
      </c>
      <c r="C41" s="21" t="n">
        <v>0</v>
      </c>
      <c r="E41" s="17" t="inlineStr">
        <is>
          <t>only for partners that state their fee separately; 0 otherwise</t>
        </is>
      </c>
    </row>
    <row r="42" ht="16" customHeight="1">
      <c r="A42" s="3" t="inlineStr">
        <is>
          <t>Total fee</t>
        </is>
      </c>
      <c r="C42" s="21" t="n">
        <v>0.02</v>
      </c>
      <c r="E42" s="17" t="inlineStr"/>
    </row>
    <row r="43" ht="16" customHeight="1">
      <c r="A43" s="3" t="inlineStr">
        <is>
          <t>Sender pays</t>
        </is>
      </c>
      <c r="C43" s="21" t="n">
        <v>0.02</v>
      </c>
      <c r="E43" s="17" t="inlineStr"/>
    </row>
    <row r="44" ht="16" customHeight="1">
      <c r="A44" s="3" t="inlineStr">
        <is>
          <t>Receiver pays</t>
        </is>
      </c>
      <c r="C44" s="21" t="n">
        <v>0</v>
      </c>
      <c r="E44" s="17" t="inlineStr"/>
    </row>
    <row r="45" ht="16" customHeight="1">
      <c r="A45" s="3" t="inlineStr">
        <is>
          <t>Fee applied to</t>
        </is>
      </c>
      <c r="C45" s="8" t="inlineStr">
        <is>
          <t>market rate</t>
        </is>
      </c>
      <c r="E45" s="17" t="inlineStr">
        <is>
          <t>market rate / agent rate</t>
        </is>
      </c>
    </row>
    <row r="46" ht="30" customHeight="1">
      <c r="A46" s="3" t="inlineStr">
        <is>
          <t>How the partner prices</t>
        </is>
      </c>
      <c r="C46" s="8" t="inlineStr">
        <is>
          <t>NPL's own wallet</t>
        </is>
      </c>
      <c r="E46" s="17" t="inlineStr">
        <is>
          <t>fee on top of market / fee inside its rate / NPL's own wallet</t>
        </is>
      </c>
    </row>
    <row r="47" ht="16" customHeight="1">
      <c r="A47" s="3" t="inlineStr">
        <is>
          <t>Fee taken how</t>
        </is>
      </c>
      <c r="C47" s="8" t="inlineStr">
        <is>
          <t>added to what the sender pays</t>
        </is>
      </c>
      <c r="E47" s="17" t="inlineStr">
        <is>
          <t>off the rate the sender gets / added to what the sender pays</t>
        </is>
      </c>
    </row>
    <row r="48" ht="16" customHeight="1">
      <c r="A48" s="3" t="inlineStr">
        <is>
          <t>Rounding</t>
        </is>
      </c>
      <c r="C48" s="8" t="inlineStr">
        <is>
          <t>drop the cents</t>
        </is>
      </c>
      <c r="E48" s="17" t="inlineStr">
        <is>
          <t>drop the cents / nearest unit / round up / nearest 1,000</t>
        </is>
      </c>
    </row>
    <row r="49" ht="16" customHeight="1">
      <c r="A49" s="3" t="inlineStr">
        <is>
          <t>Rounding unit</t>
        </is>
      </c>
      <c r="C49" s="18" t="n">
        <v>1</v>
      </c>
      <c r="E49" s="17" t="inlineStr">
        <is>
          <t>1 for whole units; 1000 for the nearest thousand</t>
        </is>
      </c>
    </row>
    <row r="50" ht="16" customHeight="1">
      <c r="A50" s="3" t="inlineStr">
        <is>
          <t>Minimum NPL margin</t>
        </is>
      </c>
      <c r="C50" s="21" t="n">
        <v>0.005</v>
      </c>
      <c r="E50" s="17" t="inlineStr">
        <is>
          <t>your answer: 0.5 %</t>
        </is>
      </c>
    </row>
    <row r="51" ht="16" customHeight="1">
      <c r="A51" s="3" t="inlineStr">
        <is>
          <t>Fee shown to the customer (blank = the true fee)</t>
        </is>
      </c>
      <c r="C51" s="22" t="inlineStr"/>
      <c r="E51" s="17" t="inlineStr">
        <is>
          <t>needs a system change when it differs</t>
        </is>
      </c>
    </row>
    <row r="52" ht="30" customHeight="1">
      <c r="A52" s="3" t="inlineStr">
        <is>
          <t>How NPL's share reaches NPL</t>
        </is>
      </c>
      <c r="C52" s="8" t="inlineStr">
        <is>
          <t>NPL's own wallet</t>
        </is>
      </c>
      <c r="E52" s="17" t="inlineStr">
        <is>
          <t>kept for NPL at the partner / paid back monthly / held by the client, paid monthly / NPL's own wallet</t>
        </is>
      </c>
    </row>
    <row r="53" ht="16" customHeight="1">
      <c r="A53" s="3" t="inlineStr">
        <is>
          <t>% of the partner's fee paid back (rebate)</t>
        </is>
      </c>
      <c r="C53" s="21" t="n">
        <v>0</v>
      </c>
      <c r="E53" s="17" t="inlineStr">
        <is>
          <t>NPL's alone; 0 where there is none</t>
        </is>
      </c>
    </row>
    <row r="54" ht="30" customHeight="1">
      <c r="A54" s="3" t="inlineStr">
        <is>
          <t>Share paid to someone else %</t>
        </is>
      </c>
      <c r="C54" s="21" t="n">
        <v>0</v>
      </c>
      <c r="E54" s="17" t="inlineStr">
        <is>
          <t>of the amount × market; an introducer, or the customer who provides the sub-account</t>
        </is>
      </c>
    </row>
    <row r="56">
      <c r="A56" s="15" t="inlineStr">
        <is>
          <t>C · Worked calculation — what the system works out</t>
        </is>
      </c>
    </row>
    <row r="57">
      <c r="A57" s="16" t="inlineStr">
        <is>
          <t>Figure</t>
        </is>
      </c>
      <c r="B57" s="16" t="inlineStr">
        <is>
          <t>How it is worked out</t>
        </is>
      </c>
      <c r="C57" s="16" t="inlineStr">
        <is>
          <t>Value</t>
        </is>
      </c>
      <c r="E57" s="16" t="inlineStr">
        <is>
          <t>Note</t>
        </is>
      </c>
    </row>
    <row r="58">
      <c r="A58" s="3" t="inlineStr">
        <is>
          <t>Rate the fee is applied to</t>
        </is>
      </c>
      <c r="B58" s="17" t="inlineStr">
        <is>
          <t>the market rate, or the agent rate</t>
        </is>
      </c>
      <c r="C58" s="23">
        <f>IF($C$45="market rate",$C$39,$C$40)</f>
        <v/>
      </c>
      <c r="E58" s="17" t="inlineStr"/>
    </row>
    <row r="59">
      <c r="A59" s="3" t="inlineStr">
        <is>
          <t>Rate quoted to the sender</t>
        </is>
      </c>
      <c r="B59" s="17" t="inlineStr">
        <is>
          <t>that rate less the sender's fee — or, when the fee is added to what the sender pays, that rate ÷ (1 + fee)</t>
        </is>
      </c>
      <c r="C59" s="23">
        <f>IF($C$47="added to what the sender pays",$C$58/(1+$C$43),$C$58*(1-$C$43))</f>
        <v/>
      </c>
      <c r="E59" s="17" t="inlineStr"/>
    </row>
    <row r="60">
      <c r="A60" s="3" t="inlineStr">
        <is>
          <t>Amount the sender is promised</t>
        </is>
      </c>
      <c r="B60" s="17" t="inlineStr">
        <is>
          <t>amount sent × rate quoted to the sender</t>
        </is>
      </c>
      <c r="C60" s="24">
        <f>$C$35*$C$59</f>
        <v/>
      </c>
      <c r="E60" s="17" t="inlineStr">
        <is>
          <t>before any receiver-side fee</t>
        </is>
      </c>
    </row>
    <row r="61">
      <c r="A61" s="3" t="inlineStr">
        <is>
          <t>Receiver-side fee</t>
        </is>
      </c>
      <c r="B61" s="17" t="inlineStr">
        <is>
          <t>amount promised × receiver's fee</t>
        </is>
      </c>
      <c r="C61" s="24">
        <f>$C$60*$C$44</f>
        <v/>
      </c>
      <c r="E61" s="17" t="inlineStr">
        <is>
          <t>taken from the client's balance when the money is converted</t>
        </is>
      </c>
    </row>
    <row r="62">
      <c r="A62" s="3" t="inlineStr">
        <is>
          <t>Amount the receiver is owed</t>
        </is>
      </c>
      <c r="B62" s="17" t="inlineStr">
        <is>
          <t>amount promised − receiver-side fee</t>
        </is>
      </c>
      <c r="C62" s="24">
        <f>$C$60-$C$61</f>
        <v/>
      </c>
      <c r="E62" s="17" t="inlineStr">
        <is>
          <t>what the client's balance must deliver</t>
        </is>
      </c>
    </row>
    <row r="63">
      <c r="A63" s="3" t="inlineStr">
        <is>
          <t>What the partner delivers</t>
        </is>
      </c>
      <c r="B63" s="17" t="inlineStr">
        <is>
          <t>amount × agent rate · or amount × market less the partner's fee · or amount × market when NPL converts itself</t>
        </is>
      </c>
      <c r="C63" s="24">
        <f>IF($C$46="NPL's own wallet",$C$35*$C$39,IF($C$46="fee on top of market",$C$35*$C$39*(1-$C$41),$C$35*$C$40))</f>
        <v/>
      </c>
      <c r="E63" s="17" t="inlineStr"/>
    </row>
    <row r="64">
      <c r="A64" s="3" t="inlineStr">
        <is>
          <t>Partner / agent cost</t>
        </is>
      </c>
      <c r="B64" s="17" t="inlineStr">
        <is>
          <t>amount × market − what the partner delivers (nil when NPL converts itself)</t>
        </is>
      </c>
      <c r="C64" s="24">
        <f>$C$35*$C$39-$C$63</f>
        <v/>
      </c>
      <c r="E64" s="17" t="inlineStr"/>
    </row>
    <row r="65">
      <c r="A65" s="3" t="inlineStr">
        <is>
          <t>NPL earns on this deal</t>
        </is>
      </c>
      <c r="B65" s="17" t="inlineStr">
        <is>
          <t>what the partner delivers − what the receiver is owed</t>
        </is>
      </c>
      <c r="C65" s="24">
        <f>$C$63-$C$62</f>
        <v/>
      </c>
      <c r="E65" s="17" t="inlineStr">
        <is>
          <t>locked in when the money is converted; the partner's rebate is NOT in this figure</t>
        </is>
      </c>
    </row>
    <row r="66">
      <c r="A66" s="3" t="inlineStr">
        <is>
          <t>NPL margin %</t>
        </is>
      </c>
      <c r="B66" s="17" t="inlineStr">
        <is>
          <t>NPL earns ÷ (amount × market)</t>
        </is>
      </c>
      <c r="C66" s="25">
        <f>IF($C$35*$C$39=0,0,$C$65/($C$35*$C$39))</f>
        <v/>
      </c>
      <c r="E66" s="17" t="inlineStr"/>
    </row>
    <row r="67">
      <c r="A67" s="3" t="inlineStr">
        <is>
          <t>Below the minimum margin?</t>
        </is>
      </c>
      <c r="B67" s="17" t="inlineStr">
        <is>
          <t>if so, the quote needs Finance approval</t>
        </is>
      </c>
      <c r="C67" s="6">
        <f>IF($C$66&lt;$C$50,"YES — Finance must approve","no")</f>
        <v/>
      </c>
      <c r="E67" s="17" t="inlineStr"/>
    </row>
    <row r="68">
      <c r="A68" s="3" t="inlineStr">
        <is>
          <t>Amount actually paid out</t>
        </is>
      </c>
      <c r="B68" s="17" t="inlineStr">
        <is>
          <t>amount owed, rounded as agreed</t>
        </is>
      </c>
      <c r="C68" s="24">
        <f>IF($C$48="round up",CEILING($C$62,$C$49),IF($C$48="nearest unit",MROUND($C$62,$C$49),IF($C$48="nearest 1,000",MROUND($C$62,$C$49),FLOOR($C$62,$C$49))))</f>
        <v/>
      </c>
      <c r="E68" s="17" t="inlineStr">
        <is>
          <t>only 'drop the cents' exists today; the other options need a system change (proposal F)</t>
        </is>
      </c>
    </row>
    <row r="69">
      <c r="A69" s="3" t="inlineStr">
        <is>
          <t>Cents left in the client's balance (negative = NPL's cost)</t>
        </is>
      </c>
      <c r="B69" s="17" t="inlineStr">
        <is>
          <t>amount owed − amount paid out</t>
        </is>
      </c>
      <c r="C69" s="24">
        <f>$C$62-$C$68</f>
        <v/>
      </c>
      <c r="E69" s="17" t="inlineStr"/>
    </row>
    <row r="70">
      <c r="A70" s="3" t="inlineStr">
        <is>
          <t>Rate printed on the customer's quote</t>
        </is>
      </c>
      <c r="B70" s="17" t="inlineStr">
        <is>
          <t>rate quoted to the sender ÷ (1 − fee shown) — the 'market rate' your customer-facing calculation prints</t>
        </is>
      </c>
      <c r="C70" s="23">
        <f>IF($C$51="",$C$58,$C$59/(1-$C$51))</f>
        <v/>
      </c>
      <c r="E70" s="17" t="inlineStr">
        <is>
          <t>needs a system change when it differs from the true rate (proposal C)</t>
        </is>
      </c>
    </row>
    <row r="71">
      <c r="A71" s="3" t="inlineStr">
        <is>
          <t>Rebate owed back to NPL by the partner</t>
        </is>
      </c>
      <c r="B71" s="17" t="inlineStr">
        <is>
          <t>partner's fee × % paid back — NPL's alone, never shared, tracked on its own</t>
        </is>
      </c>
      <c r="C71" s="24">
        <f>$C$64*$C$53</f>
        <v/>
      </c>
      <c r="E71" s="17" t="inlineStr">
        <is>
          <t>0 where the partner pays no rebate</t>
        </is>
      </c>
    </row>
    <row r="72">
      <c r="A72" s="3" t="inlineStr">
        <is>
          <t>Share owed to someone else</t>
        </is>
      </c>
      <c r="B72" s="17" t="inlineStr">
        <is>
          <t>amount × market × share % (the share is of NPL's earnings, not of the rebate)</t>
        </is>
      </c>
      <c r="C72" s="24">
        <f>$C$35*$C$39*$C$54</f>
        <v/>
      </c>
      <c r="E72" s="17" t="inlineStr">
        <is>
          <t>paid out of NPL's earnings</t>
        </is>
      </c>
    </row>
    <row r="73">
      <c r="A73" s="3" t="inlineStr">
        <is>
          <t>NPL keeps</t>
        </is>
      </c>
      <c r="B73" s="17" t="inlineStr">
        <is>
          <t>NPL earns − share owed + rebate</t>
        </is>
      </c>
      <c r="C73" s="24">
        <f>$C$65-$C$72+$C$71</f>
        <v/>
      </c>
      <c r="E73" s="17" t="inlineStr"/>
    </row>
    <row r="74">
      <c r="A74" s="3" t="inlineStr">
        <is>
          <t>Check: receiver + partner cost + NPL = amount × market</t>
        </is>
      </c>
      <c r="B74" s="17" t="inlineStr">
        <is>
          <t>must be zero</t>
        </is>
      </c>
      <c r="C74" s="24">
        <f>ROUND($C$62+$C$64+$C$65-$C$35*$C$39,6)</f>
        <v/>
      </c>
      <c r="E74" s="17" t="inlineStr">
        <is>
          <t>every unit sent is accounted for</t>
        </is>
      </c>
    </row>
    <row r="76">
      <c r="A76" s="15" t="inlineStr">
        <is>
          <t>D · Bookkeeping entries the system would write</t>
        </is>
      </c>
    </row>
    <row r="77">
      <c r="A77" s="16" t="inlineStr">
        <is>
          <t>Entry</t>
        </is>
      </c>
      <c r="B77" s="16" t="inlineStr">
        <is>
          <t>In / out</t>
        </is>
      </c>
      <c r="C77" s="16" t="inlineStr">
        <is>
          <t>Amount</t>
        </is>
      </c>
      <c r="D77" s="16" t="inlineStr">
        <is>
          <t>Whose money · what kind</t>
        </is>
      </c>
      <c r="E77" s="16" t="inlineStr">
        <is>
          <t>When</t>
        </is>
      </c>
    </row>
    <row r="78" ht="16" customHeight="1">
      <c r="A78" s="6">
        <f>"Client money received at "&amp;$C$38&amp;" ("&amp;$C$36&amp;")"</f>
        <v/>
      </c>
      <c r="B78" s="6" t="inlineStr">
        <is>
          <t>in</t>
        </is>
      </c>
      <c r="C78" s="24">
        <f>$C$35</f>
        <v/>
      </c>
      <c r="D78" s="17" t="inlineStr">
        <is>
          <t>client's money · the amount itself</t>
        </is>
      </c>
      <c r="E78" s="17" t="inlineStr">
        <is>
          <t>when the money arrives</t>
        </is>
      </c>
    </row>
    <row r="79" ht="16" customHeight="1">
      <c r="A79" s="6">
        <f>"Owed to the client's receivers ("&amp;$C$36&amp;")"</f>
        <v/>
      </c>
      <c r="B79" s="6" t="inlineStr">
        <is>
          <t>out</t>
        </is>
      </c>
      <c r="C79" s="24">
        <f>$C$35</f>
        <v/>
      </c>
      <c r="D79" s="17" t="inlineStr">
        <is>
          <t>client's money · the amount itself</t>
        </is>
      </c>
      <c r="E79" s="17" t="inlineStr">
        <is>
          <t>when the money arrives</t>
        </is>
      </c>
    </row>
    <row r="80" ht="16" customHeight="1">
      <c r="A80" s="6">
        <f>"Owed to the client's receivers ("&amp;$C$36&amp;")"</f>
        <v/>
      </c>
      <c r="B80" s="6" t="inlineStr">
        <is>
          <t>in</t>
        </is>
      </c>
      <c r="C80" s="24">
        <f>$C$35</f>
        <v/>
      </c>
      <c r="D80" s="17" t="inlineStr">
        <is>
          <t>client's money · the amount itself</t>
        </is>
      </c>
      <c r="E80" s="17" t="inlineStr">
        <is>
          <t>conversion — currency sent</t>
        </is>
      </c>
    </row>
    <row r="81" ht="16" customHeight="1">
      <c r="A81" s="6">
        <f>"Client money received at "&amp;$C$38&amp;" ("&amp;$C$36&amp;")"</f>
        <v/>
      </c>
      <c r="B81" s="6" t="inlineStr">
        <is>
          <t>out</t>
        </is>
      </c>
      <c r="C81" s="24">
        <f>$C$35</f>
        <v/>
      </c>
      <c r="D81" s="17" t="inlineStr">
        <is>
          <t>client's money · the amount itself</t>
        </is>
      </c>
      <c r="E81" s="17" t="inlineStr">
        <is>
          <t>conversion — currency sent</t>
        </is>
      </c>
    </row>
    <row r="82" ht="16" customHeight="1">
      <c r="A82" s="6">
        <f>"Client money ready to pay out at "&amp;$C$38&amp;" ("&amp;$C$37&amp;")"</f>
        <v/>
      </c>
      <c r="B82" s="6" t="inlineStr">
        <is>
          <t>in</t>
        </is>
      </c>
      <c r="C82" s="24">
        <f>$C$62</f>
        <v/>
      </c>
      <c r="D82" s="17" t="inlineStr">
        <is>
          <t>client's money · the amount itself (cents included)</t>
        </is>
      </c>
      <c r="E82" s="17" t="inlineStr">
        <is>
          <t>conversion — currency paid out</t>
        </is>
      </c>
    </row>
    <row r="83" ht="30" customHeight="1">
      <c r="A83" s="6">
        <f>"NPL's earnings kept at "&amp;$C$38&amp;" ("&amp;$C$37&amp;")"</f>
        <v/>
      </c>
      <c r="B83" s="6" t="inlineStr">
        <is>
          <t>in</t>
        </is>
      </c>
      <c r="C83" s="24">
        <f>IF(OR($C$52="paid back monthly",$C$52="held by the client, paid monthly"),0,$C$65)</f>
        <v/>
      </c>
      <c r="D83" s="17" t="inlineStr">
        <is>
          <t>NPL's money · earnings</t>
        </is>
      </c>
      <c r="E83" s="17" t="inlineStr">
        <is>
          <t>conversion — NPL's share left with the partner (or in NPL's own wallet)</t>
        </is>
      </c>
    </row>
    <row r="84" ht="30" customHeight="1">
      <c r="A84" s="6">
        <f>"Owed to NPL by the client ("&amp;$C$37&amp;")"</f>
        <v/>
      </c>
      <c r="B84" s="6" t="inlineStr">
        <is>
          <t>in</t>
        </is>
      </c>
      <c r="C84" s="24">
        <f>IF($C$52="held by the client, paid monthly",$C$65,0)</f>
        <v/>
      </c>
      <c r="D84" s="17" t="inlineStr">
        <is>
          <t>NPL's money · earnings</t>
        </is>
      </c>
      <c r="E84" s="17" t="inlineStr">
        <is>
          <t>conversion — the converted money went to the client's own account; NPL's share is owed by the client</t>
        </is>
      </c>
    </row>
    <row r="85" ht="16" customHeight="1">
      <c r="A85" s="6">
        <f>"Rebate owed to NPL by "&amp;$C$38&amp;" ("&amp;$C$37&amp;")"</f>
        <v/>
      </c>
      <c r="B85" s="6" t="inlineStr">
        <is>
          <t>in</t>
        </is>
      </c>
      <c r="C85" s="24">
        <f>$C$71</f>
        <v/>
      </c>
      <c r="D85" s="17" t="inlineStr">
        <is>
          <t>NPL's money · rebate (kept apart from earnings)</t>
        </is>
      </c>
      <c r="E85" s="17" t="inlineStr">
        <is>
          <t>conversion — the partner's monthly rebate</t>
        </is>
      </c>
    </row>
    <row r="86" ht="16" customHeight="1">
      <c r="A86" s="6">
        <f>"Owed to the client's receivers ("&amp;$C$37&amp;")"</f>
        <v/>
      </c>
      <c r="B86" s="6" t="inlineStr">
        <is>
          <t>out</t>
        </is>
      </c>
      <c r="C86" s="24">
        <f>$C$62</f>
        <v/>
      </c>
      <c r="D86" s="17" t="inlineStr">
        <is>
          <t>client's money · the amount itself</t>
        </is>
      </c>
      <c r="E86" s="17" t="inlineStr">
        <is>
          <t>conversion — currency paid out</t>
        </is>
      </c>
    </row>
    <row r="87" ht="16" customHeight="1">
      <c r="A87" s="6">
        <f>"NPL's earnings ("&amp;$C$37&amp;")"</f>
        <v/>
      </c>
      <c r="B87" s="6" t="inlineStr">
        <is>
          <t>out</t>
        </is>
      </c>
      <c r="C87" s="24">
        <f>$C$65</f>
        <v/>
      </c>
      <c r="D87" s="17" t="inlineStr">
        <is>
          <t>NPL's money · earnings</t>
        </is>
      </c>
      <c r="E87" s="17" t="inlineStr">
        <is>
          <t>margin recognised</t>
        </is>
      </c>
    </row>
    <row r="88" ht="16" customHeight="1">
      <c r="A88" s="6">
        <f>"NPL's rebate income ("&amp;$C$37&amp;")"</f>
        <v/>
      </c>
      <c r="B88" s="6" t="inlineStr">
        <is>
          <t>out</t>
        </is>
      </c>
      <c r="C88" s="24">
        <f>$C$71</f>
        <v/>
      </c>
      <c r="D88" s="17" t="inlineStr">
        <is>
          <t>NPL's money · rebate</t>
        </is>
      </c>
      <c r="E88" s="17" t="inlineStr">
        <is>
          <t>rebate expected — reported separately from earnings</t>
        </is>
      </c>
    </row>
    <row r="89" ht="16" customHeight="1">
      <c r="A89" s="6">
        <f>"Client money in transit from "&amp;$C$38&amp;" ("&amp;$C$37&amp;")"</f>
        <v/>
      </c>
      <c r="B89" s="6" t="inlineStr">
        <is>
          <t>in</t>
        </is>
      </c>
      <c r="C89" s="24">
        <f>$C$68</f>
        <v/>
      </c>
      <c r="D89" s="17" t="inlineStr">
        <is>
          <t>client's money · the amount itself</t>
        </is>
      </c>
      <c r="E89" s="17" t="inlineStr">
        <is>
          <t>payout released (rounded as agreed)</t>
        </is>
      </c>
    </row>
    <row r="90" ht="16" customHeight="1">
      <c r="A90" s="6">
        <f>"Client money ready to pay out at "&amp;$C$38&amp;" ("&amp;$C$37&amp;")"</f>
        <v/>
      </c>
      <c r="B90" s="6" t="inlineStr">
        <is>
          <t>out</t>
        </is>
      </c>
      <c r="C90" s="24">
        <f>$C$68</f>
        <v/>
      </c>
      <c r="D90" s="17" t="inlineStr">
        <is>
          <t>client's money · the amount itself</t>
        </is>
      </c>
      <c r="E90" s="17" t="inlineStr">
        <is>
          <t>payout released</t>
        </is>
      </c>
    </row>
    <row r="91" ht="16" customHeight="1">
      <c r="A91" s="6">
        <f>"Owed to the client's receivers ("&amp;$C$37&amp;")"</f>
        <v/>
      </c>
      <c r="B91" s="6" t="inlineStr">
        <is>
          <t>in</t>
        </is>
      </c>
      <c r="C91" s="24">
        <f>$C$68</f>
        <v/>
      </c>
      <c r="D91" s="17" t="inlineStr">
        <is>
          <t>client's money · the amount itself</t>
        </is>
      </c>
      <c r="E91" s="17" t="inlineStr">
        <is>
          <t>receiver confirms in full</t>
        </is>
      </c>
    </row>
    <row r="92" ht="16" customHeight="1">
      <c r="A92" s="6">
        <f>"Client money in transit from "&amp;$C$38&amp;" ("&amp;$C$37&amp;")"</f>
        <v/>
      </c>
      <c r="B92" s="6" t="inlineStr">
        <is>
          <t>out</t>
        </is>
      </c>
      <c r="C92" s="24">
        <f>$C$68</f>
        <v/>
      </c>
      <c r="D92" s="17" t="inlineStr">
        <is>
          <t>client's money · the amount itself</t>
        </is>
      </c>
      <c r="E92" s="17" t="inlineStr">
        <is>
          <t>receiver confirms in full</t>
        </is>
      </c>
    </row>
    <row r="93" ht="16" customHeight="1">
      <c r="A93" s="6">
        <f>"NPL's earnings ("&amp;$C$37&amp;")"</f>
        <v/>
      </c>
      <c r="B93" s="6" t="inlineStr">
        <is>
          <t>in</t>
        </is>
      </c>
      <c r="C93" s="24">
        <f>$C$72</f>
        <v/>
      </c>
      <c r="D93" s="17" t="inlineStr">
        <is>
          <t>NPL's money · share paid to someone else</t>
        </is>
      </c>
      <c r="E93" s="17" t="inlineStr">
        <is>
          <t>share accrued (if any)</t>
        </is>
      </c>
    </row>
    <row r="94" ht="16" customHeight="1">
      <c r="A94" s="6">
        <f>"Owed to the other party ("&amp;$C$37&amp;")"</f>
        <v/>
      </c>
      <c r="B94" s="6" t="inlineStr">
        <is>
          <t>out</t>
        </is>
      </c>
      <c r="C94" s="24">
        <f>$C$72</f>
        <v/>
      </c>
      <c r="D94" s="17" t="inlineStr">
        <is>
          <t>NPL's money · share paid to someone else</t>
        </is>
      </c>
      <c r="E94" s="17" t="inlineStr">
        <is>
          <t>share accrued</t>
        </is>
      </c>
    </row>
    <row r="95" ht="30" customHeight="1">
      <c r="A95" s="6">
        <f>"Owed to the other party ("&amp;$C$37&amp;")"</f>
        <v/>
      </c>
      <c r="B95" s="6" t="inlineStr">
        <is>
          <t>in</t>
        </is>
      </c>
      <c r="C95" s="24">
        <f>IF($C$52="held by the client, paid monthly",$C$72,0)</f>
        <v/>
      </c>
      <c r="D95" s="17" t="inlineStr">
        <is>
          <t>NPL's money · share</t>
        </is>
      </c>
      <c r="E95" s="17" t="inlineStr">
        <is>
          <t>netted: the client keeps its share out of the money in its account</t>
        </is>
      </c>
    </row>
    <row r="96" ht="16" customHeight="1">
      <c r="A96" s="6">
        <f>"Owed to NPL by the client ("&amp;$C$37&amp;")"</f>
        <v/>
      </c>
      <c r="B96" s="6" t="inlineStr">
        <is>
          <t>out</t>
        </is>
      </c>
      <c r="C96" s="24">
        <f>IF($C$52="held by the client, paid monthly",$C$72,0)</f>
        <v/>
      </c>
      <c r="D96" s="17" t="inlineStr">
        <is>
          <t>NPL's money · earnings</t>
        </is>
      </c>
      <c r="E96" s="17" t="inlineStr">
        <is>
          <t>netted: what the client pays NPL monthly is the rest</t>
        </is>
      </c>
    </row>
    <row r="97" ht="30" customHeight="1">
      <c r="A97" s="26" t="inlineStr">
        <is>
          <t>Check: in = out in the currency paid out</t>
        </is>
      </c>
      <c r="C97" s="27">
        <f>ROUND(SUMIF($B$82:$B$96,"in",$C$82:$C$96)-SUMIF($B$82:$B$96,"out",$C$82:$C$96),6)</f>
        <v/>
      </c>
      <c r="E97" s="17" t="inlineStr">
        <is>
          <t>money never appears or disappears: every entry moves it from one place to another</t>
        </is>
      </c>
    </row>
    <row r="99">
      <c r="A99" s="15" t="inlineStr">
        <is>
          <t>E · Compare with your sheet</t>
        </is>
      </c>
    </row>
    <row r="100">
      <c r="A100" s="16" t="inlineStr">
        <is>
          <t>Figure in your sheet</t>
        </is>
      </c>
      <c r="B100" s="16" t="inlineStr">
        <is>
          <t>Your value</t>
        </is>
      </c>
      <c r="C100" s="16" t="inlineStr">
        <is>
          <t>Worked out here</t>
        </is>
      </c>
      <c r="D100" s="16" t="inlineStr">
        <is>
          <t>Difference</t>
        </is>
      </c>
      <c r="E100" s="16" t="inlineStr">
        <is>
          <t>Comment</t>
        </is>
      </c>
    </row>
    <row r="101" ht="30" customHeight="1">
      <c r="A101" s="3" t="inlineStr">
        <is>
          <t>EUR invoice value the collection covers</t>
        </is>
      </c>
      <c r="B101" s="18" t="n">
        <v>2220</v>
      </c>
      <c r="C101" s="24">
        <f>$C$60</f>
        <v/>
      </c>
      <c r="D101" s="27">
        <f>ROUND(C101-B101,2)</f>
        <v/>
      </c>
      <c r="E101" s="17" t="inlineStr">
        <is>
          <t>your calculation: EUR 2,220 × 1.17026 = USDT 2,597.98 → rounded up to 2,600, which covers ≈ EUR 2,221.8</t>
        </is>
      </c>
    </row>
    <row r="103">
      <c r="A103" s="15" t="inlineStr">
        <is>
          <t>Paying the vendor's EUR invoice in USDT (needs a system change — proposal E, you said 'good to have')</t>
        </is>
      </c>
    </row>
    <row r="104">
      <c r="A104" s="16" t="inlineStr">
        <is>
          <t>Figure</t>
        </is>
      </c>
      <c r="B104" s="16" t="inlineStr"/>
      <c r="C104" s="16" t="inlineStr">
        <is>
          <t>Value</t>
        </is>
      </c>
      <c r="D104" s="16" t="inlineStr"/>
      <c r="E104" s="16" t="inlineStr">
        <is>
          <t>Source</t>
        </is>
      </c>
    </row>
    <row r="105">
      <c r="A105" s="6" t="inlineStr">
        <is>
          <t>Vendor invoice amount (EUR)</t>
        </is>
      </c>
      <c r="C105" s="18" t="n">
        <v>1358.98</v>
      </c>
      <c r="E105" s="29" t="inlineStr">
        <is>
          <t>sheet row 38, EZ-EVO (Samino)</t>
        </is>
      </c>
    </row>
    <row r="106">
      <c r="A106" s="6" t="inlineStr">
        <is>
          <t>Market rate at payment (USDT per EUR)</t>
        </is>
      </c>
      <c r="C106" s="19" t="n">
        <v>1.140965082766247</v>
      </c>
      <c r="E106" s="29" t="inlineStr">
        <is>
          <t>sheet row 38</t>
        </is>
      </c>
    </row>
    <row r="107">
      <c r="A107" s="6" t="inlineStr">
        <is>
          <t>USDT paid to the vendor</t>
        </is>
      </c>
      <c r="C107" s="24">
        <f>ROUND($C$105*$C$106,2)</f>
        <v/>
      </c>
      <c r="E107" s="29" t="inlineStr">
        <is>
          <t>sheet says 1,550.55</t>
        </is>
      </c>
    </row>
    <row r="108">
      <c r="A108" s="6" t="inlineStr">
        <is>
          <t>EUR of the invoice cleared by this payment</t>
        </is>
      </c>
      <c r="C108" s="24">
        <f>$C$105</f>
        <v/>
      </c>
      <c r="E108" s="29" t="inlineStr">
        <is>
          <t>needs a system change</t>
        </is>
      </c>
    </row>
    <row r="109" ht="30" customHeight="1">
      <c r="A109" s="4" t="inlineStr">
        <is>
          <t>NPL's result on this flow (EUR)</t>
        </is>
      </c>
      <c r="C109" s="27">
        <f>ROUND($C$62-$C$105,2)</f>
        <v/>
      </c>
      <c r="E109" s="17" t="inlineStr">
        <is>
          <t>what the customer paid in EUR terms minus what the vendor was owed; the fee ± forex variance between collection and payment</t>
        </is>
      </c>
    </row>
    <row r="111">
      <c r="A111" s="15" t="inlineStr">
        <is>
          <t>F · Please confirm</t>
        </is>
      </c>
    </row>
    <row r="112" ht="46" customHeight="1">
      <c r="A112" s="14" t="inlineStr">
        <is>
          <t>•</t>
        </is>
      </c>
      <c r="B112" s="28" t="inlineStr">
        <is>
          <t>You suggested treating NPL (or a business unit 'NPL-GR') as the client for the game reseller. We have written it up that way: NPL-GR is a project, Bala is its sender, NPL's own wallet is where the money lands, and the custody report shows every such balance. Management still has to confirm it (proposal D).</t>
        </is>
      </c>
    </row>
    <row r="113" ht="32" customHeight="1">
      <c r="A113" s="14" t="inlineStr">
        <is>
          <t>•</t>
        </is>
      </c>
      <c r="B113" s="28" t="inlineStr">
        <is>
          <t>When the USDT is kept in Ali's wallet for a while, it is NPL's own money held at Ali (NPL as Ali's client), not client money — please confirm.</t>
        </is>
      </c>
    </row>
  </sheetData>
  <mergeCells count="2">
    <mergeCell ref="B113:E113"/>
    <mergeCell ref="B112:E1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8 THB cash to vendors — THB cash in, partner converts to USDT, vendors paid in USDT</t>
        </is>
      </c>
    </row>
    <row r="2">
      <c r="A2" s="13" t="inlineStr">
        <is>
          <t>Example taken from your sheet, rows</t>
        </is>
      </c>
      <c r="B2" s="14" t="inlineStr">
        <is>
          <t>37</t>
        </is>
      </c>
    </row>
    <row r="4">
      <c r="A4" s="15" t="inlineStr">
        <is>
          <t>A · The set-up for this kind of deal</t>
        </is>
      </c>
    </row>
    <row r="5">
      <c r="A5" s="16" t="inlineStr">
        <is>
          <t>Item</t>
        </is>
      </c>
      <c r="B5" s="16" t="inlineStr">
        <is>
          <t>Value</t>
        </is>
      </c>
      <c r="C5" s="16" t="inlineStr">
        <is>
          <t>Where it comes from</t>
        </is>
      </c>
      <c r="D5" s="16" t="inlineStr">
        <is>
          <t>Note</t>
        </is>
      </c>
    </row>
    <row r="6" ht="42" customHeight="1">
      <c r="A6" s="3" t="inlineStr">
        <is>
          <t>Client</t>
        </is>
      </c>
      <c r="B6" s="10" t="inlineStr">
        <is>
          <t>27 Group Remittance Collection for Game Reseller (NPL-GR)</t>
        </is>
      </c>
      <c r="C6" s="3" t="inlineStr">
        <is>
          <t>your sheet</t>
        </is>
      </c>
      <c r="D6" s="17" t="inlineStr">
        <is>
          <t>One set-up per client.</t>
        </is>
      </c>
    </row>
    <row r="7" ht="42" customHeight="1">
      <c r="A7" s="3" t="inlineStr">
        <is>
          <t>Who sends the money</t>
        </is>
      </c>
      <c r="B7" s="10" t="inlineStr">
        <is>
          <t>27 Group customer</t>
        </is>
      </c>
      <c r="C7" s="3" t="inlineStr">
        <is>
          <t>your sheet</t>
        </is>
      </c>
      <c r="D7" s="17" t="inlineStr">
        <is>
          <t>The sender(s). Each must be on the list of who may pay this client's receivers.</t>
        </is>
      </c>
    </row>
    <row r="8" ht="54" customHeight="1">
      <c r="A8" s="3" t="inlineStr">
        <is>
          <t>Who gets paid</t>
        </is>
      </c>
      <c r="B8" s="10" t="inlineStr">
        <is>
          <t>SACCO SIA, Mitratech, EZ-EVO, BraversPlay — vendors paid in USDT from NPL's wallet</t>
        </is>
      </c>
      <c r="C8" s="3" t="inlineStr">
        <is>
          <t>your sheet</t>
        </is>
      </c>
      <c r="D8" s="17" t="inlineStr">
        <is>
          <t>The receiver, or the vendor. A refund goes back to the sender's own account.</t>
        </is>
      </c>
    </row>
    <row r="9" ht="54" customHeight="1">
      <c r="A9" s="3" t="inlineStr">
        <is>
          <t>Their account</t>
        </is>
      </c>
      <c r="B9" s="10" t="inlineStr">
        <is>
          <t>USDT wallets (vendors)</t>
        </is>
      </c>
      <c r="C9" s="3" t="inlineStr">
        <is>
          <t>your sheet</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cash (THB) — by token, through Ali's local agent</t>
        </is>
      </c>
      <c r="C10" s="3" t="inlineStr">
        <is>
          <t>your answer (8 Oct)</t>
        </is>
      </c>
      <c r="D10" s="17" t="inlineStr">
        <is>
          <t>crypto, bank transfer, cash, or a one-time local bank deposit.</t>
        </is>
      </c>
    </row>
    <row r="11" ht="54" customHeight="1">
      <c r="A11" s="3" t="inlineStr">
        <is>
          <t>Where it comes in</t>
        </is>
      </c>
      <c r="B11" s="10" t="inlineStr">
        <is>
          <t>none (cash) — token and city on the deal</t>
        </is>
      </c>
      <c r="C11" s="3" t="inlineStr">
        <is>
          <t>your answer (8 Oct)</t>
        </is>
      </c>
      <c r="D11" s="17" t="inlineStr">
        <is>
          <t>Which partner company's wallet or bank account the sender pays into. It must be live, belong to that partner company, and be a wallet for crypto or a bank account for bank transfers.</t>
        </is>
      </c>
    </row>
    <row r="12" ht="54" customHeight="1">
      <c r="A12" s="3" t="inlineStr">
        <is>
          <t>Partner / agent</t>
        </is>
      </c>
      <c r="B12" s="10" t="inlineStr">
        <is>
          <t>Ali (THB cash only); the USDT then moves to NPL's wallet or stays at Ali as NPL's own balance</t>
        </is>
      </c>
      <c r="C12" s="3" t="inlineStr">
        <is>
          <t>your answer (8 Oct)</t>
        </is>
      </c>
      <c r="D12" s="17" t="inlineStr"/>
    </row>
    <row r="13" ht="54" customHeight="1">
      <c r="A13" s="3" t="inlineStr">
        <is>
          <t>How the partner prices</t>
        </is>
      </c>
      <c r="B13" s="10" t="inlineStr">
        <is>
          <t>fee inside its rate</t>
        </is>
      </c>
      <c r="C13" s="3" t="inlineStr">
        <is>
          <t>your sheet</t>
        </is>
      </c>
      <c r="D13" s="17" t="inlineStr">
        <is>
          <t>'fee on top of market': the partner converts at market and states its fee separately. 'fee inside its rate': the partner's margin is built into the rate it gives.</t>
        </is>
      </c>
    </row>
    <row r="14" ht="16" customHeight="1">
      <c r="A14" s="3" t="inlineStr">
        <is>
          <t>Exchange pair</t>
        </is>
      </c>
      <c r="B14" s="10" t="inlineStr">
        <is>
          <t>THB → USDT (customer promised EUR)</t>
        </is>
      </c>
      <c r="C14" s="3" t="inlineStr">
        <is>
          <t>your sheet</t>
        </is>
      </c>
      <c r="D14" s="17" t="inlineStr">
        <is>
          <t>currency sent → currency paid out.</t>
        </is>
      </c>
    </row>
    <row r="15" ht="54" customHeight="1">
      <c r="A15" s="3" t="inlineStr">
        <is>
          <t>Fee taken how</t>
        </is>
      </c>
      <c r="B15" s="10" t="inlineStr">
        <is>
          <t>added to what the sender pays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market rate</t>
        </is>
      </c>
      <c r="C16" s="3" t="inlineStr">
        <is>
          <t>your sheet</t>
        </is>
      </c>
      <c r="D16" s="17" t="inlineStr">
        <is>
          <t>the market rate, or the agent's rate.</t>
        </is>
      </c>
    </row>
    <row r="17" ht="42" customHeight="1">
      <c r="A17" s="3" t="inlineStr">
        <is>
          <t>Fee is</t>
        </is>
      </c>
      <c r="B17" s="10" t="inlineStr">
        <is>
          <t>fixed</t>
        </is>
      </c>
      <c r="C17" s="3" t="inlineStr">
        <is>
          <t>your sheet</t>
        </is>
      </c>
      <c r="D17" s="17" t="inlineStr">
        <is>
          <t>fixed, or decided per deal between a lowest and a highest markup.</t>
        </is>
      </c>
    </row>
    <row r="18" ht="16" customHeight="1">
      <c r="A18" s="3" t="inlineStr">
        <is>
          <t>Total fee %</t>
        </is>
      </c>
      <c r="B18" s="12" t="n">
        <v>0.02</v>
      </c>
      <c r="C18" s="3" t="inlineStr">
        <is>
          <t>your sheet</t>
        </is>
      </c>
      <c r="D18" s="17" t="inlineStr">
        <is>
          <t>sender's part + receiver's part.</t>
        </is>
      </c>
    </row>
    <row r="19" ht="16" customHeight="1">
      <c r="A19" s="3" t="inlineStr">
        <is>
          <t>Sender pays %</t>
        </is>
      </c>
      <c r="B19" s="12" t="n">
        <v>0.02</v>
      </c>
      <c r="C19" s="3" t="inlineStr">
        <is>
          <t>your sheet</t>
        </is>
      </c>
      <c r="D19" s="17" t="inlineStr"/>
    </row>
    <row r="20" ht="16" customHeight="1">
      <c r="A20" s="3" t="inlineStr">
        <is>
          <t>Receiver pays %</t>
        </is>
      </c>
      <c r="B20" s="12" t="n">
        <v>0</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2" t="n">
        <v>0.005</v>
      </c>
      <c r="C23" s="3" t="inlineStr">
        <is>
          <t>your sheet</t>
        </is>
      </c>
      <c r="D23" s="17" t="inlineStr">
        <is>
          <t>A quote that earns less needs Finance's approval.</t>
        </is>
      </c>
    </row>
    <row r="24" ht="42" customHeight="1">
      <c r="A24" s="3" t="inlineStr">
        <is>
          <t>Fee shown to the customer %</t>
        </is>
      </c>
      <c r="B24" s="11" t="inlineStr"/>
      <c r="C24" s="3" t="inlineStr">
        <is>
          <t>not needed here</t>
        </is>
      </c>
      <c r="D24" s="17" t="inlineStr">
        <is>
          <t>Only when the customer-facing calculation shows a different fee from the true total. Needs a system change.</t>
        </is>
      </c>
    </row>
    <row r="25" ht="54" customHeight="1">
      <c r="A25" s="3" t="inlineStr">
        <is>
          <t>How NPL's share reaches NPL</t>
        </is>
      </c>
      <c r="B25" s="10" t="inlineStr">
        <is>
          <t>NPL's own wallet</t>
        </is>
      </c>
      <c r="C25" s="3" t="inlineStr">
        <is>
          <t>your answer (8 Oct)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1" t="inlineStr"/>
      <c r="C26" s="3" t="inlineStr">
        <is>
          <t>not needed here</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round up to the nearest 1,000 THB (Asian currencies); nearest unit for USD, SGD, HKD</t>
        </is>
      </c>
      <c r="C28" s="3" t="inlineStr">
        <is>
          <t>your answer (8 Oct)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USDT from NPL's wallet</t>
        </is>
      </c>
      <c r="C29" s="3" t="inlineStr">
        <is>
          <t>your answer (8 Oct)</t>
        </is>
      </c>
      <c r="D29" s="17" t="inlineStr">
        <is>
          <t>and the bank fee you expect on it</t>
        </is>
      </c>
    </row>
    <row r="30" ht="42" customHeight="1">
      <c r="A30" s="3" t="inlineStr">
        <is>
          <t>Name shown on the transfer</t>
        </is>
      </c>
      <c r="B30" s="10" t="inlineStr">
        <is>
          <t>not applicable (USDT)</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2" ht="54" customHeight="1">
      <c r="A32" s="3" t="inlineStr">
        <is>
          <t>Where the cash is handed over (city)</t>
        </is>
      </c>
      <c r="B32" s="11" t="inlineStr"/>
      <c r="C32" s="3" t="inlineStr">
        <is>
          <t>please fill in</t>
        </is>
      </c>
      <c r="D32" s="17" t="inlineStr">
        <is>
          <t>Your Payment methods tab: Delhi and Mumbai, or Bangkok and Singapore, carry different agents and different rates. Needs a system change.</t>
        </is>
      </c>
    </row>
    <row r="34">
      <c r="A34" s="15" t="inlineStr">
        <is>
          <t>B · Worked calculation — the deal (change any value)</t>
        </is>
      </c>
    </row>
    <row r="35">
      <c r="A35" s="16" t="inlineStr">
        <is>
          <t>Item</t>
        </is>
      </c>
      <c r="B35" s="16" t="inlineStr"/>
      <c r="C35" s="16" t="inlineStr">
        <is>
          <t>Value</t>
        </is>
      </c>
      <c r="D35" s="16" t="inlineStr"/>
      <c r="E35" s="16" t="inlineStr">
        <is>
          <t>Meaning</t>
        </is>
      </c>
    </row>
    <row r="36" ht="16" customHeight="1">
      <c r="A36" s="3" t="inlineStr">
        <is>
          <t>Amount sent</t>
        </is>
      </c>
      <c r="C36" s="18" t="n">
        <v>17000000</v>
      </c>
      <c r="E36" s="17" t="inlineStr">
        <is>
          <t>what the sender pays in, in the currency sent</t>
        </is>
      </c>
    </row>
    <row r="37" ht="16" customHeight="1">
      <c r="A37" s="3" t="inlineStr">
        <is>
          <t>Currency sent</t>
        </is>
      </c>
      <c r="C37" s="8" t="inlineStr">
        <is>
          <t>THB</t>
        </is>
      </c>
      <c r="E37" s="17" t="inlineStr"/>
    </row>
    <row r="38" ht="16" customHeight="1">
      <c r="A38" s="3" t="inlineStr">
        <is>
          <t>Currency paid out</t>
        </is>
      </c>
      <c r="C38" s="8" t="inlineStr">
        <is>
          <t>EUR</t>
        </is>
      </c>
      <c r="E38" s="17" t="inlineStr"/>
    </row>
    <row r="39" ht="16" customHeight="1">
      <c r="A39" s="3" t="inlineStr">
        <is>
          <t>Partner (short name)</t>
        </is>
      </c>
      <c r="C39" s="8" t="inlineStr">
        <is>
          <t>NPL</t>
        </is>
      </c>
      <c r="E39" s="17" t="inlineStr">
        <is>
          <t>used in the bookkeeping entries below</t>
        </is>
      </c>
    </row>
    <row r="40" ht="16" customHeight="1">
      <c r="A40" s="3" t="inlineStr">
        <is>
          <t>Market rate</t>
        </is>
      </c>
      <c r="C40" s="19" t="n">
        <v>0.0259463782412186</v>
      </c>
      <c r="E40" s="17" t="inlineStr">
        <is>
          <t>your calculation: 0.0259463782 EUR per THB</t>
        </is>
      </c>
    </row>
    <row r="41" ht="30" customHeight="1">
      <c r="A41" s="3" t="inlineStr">
        <is>
          <t>Agent rate (partners whose fee is inside the rate)</t>
        </is>
      </c>
      <c r="C41" s="20" t="inlineStr"/>
      <c r="E41" s="17" t="inlineStr">
        <is>
          <t>units received per 1 unit sent, as the partner offers it; leave blank for partners that state their fee separately. If the partner quotes the other way round (e.g. 1.1738), enter 1 ÷ that</t>
        </is>
      </c>
    </row>
    <row r="42" ht="30" customHeight="1">
      <c r="A42" s="3" t="inlineStr">
        <is>
          <t>Partner's fee on top of market</t>
        </is>
      </c>
      <c r="C42" s="21" t="n">
        <v>0</v>
      </c>
      <c r="E42" s="17" t="inlineStr">
        <is>
          <t>only for partners that state their fee separately; 0 otherwise</t>
        </is>
      </c>
    </row>
    <row r="43" ht="16" customHeight="1">
      <c r="A43" s="3" t="inlineStr">
        <is>
          <t>Total fee</t>
        </is>
      </c>
      <c r="C43" s="21" t="n">
        <v>0.02</v>
      </c>
      <c r="E43" s="17" t="inlineStr"/>
    </row>
    <row r="44" ht="16" customHeight="1">
      <c r="A44" s="3" t="inlineStr">
        <is>
          <t>Sender pays</t>
        </is>
      </c>
      <c r="C44" s="21" t="n">
        <v>0.02</v>
      </c>
      <c r="E44" s="17" t="inlineStr"/>
    </row>
    <row r="45" ht="16" customHeight="1">
      <c r="A45" s="3" t="inlineStr">
        <is>
          <t>Receiver pays</t>
        </is>
      </c>
      <c r="C45" s="21" t="n">
        <v>0</v>
      </c>
      <c r="E45" s="17" t="inlineStr"/>
    </row>
    <row r="46" ht="16" customHeight="1">
      <c r="A46" s="3" t="inlineStr">
        <is>
          <t>Fee applied to</t>
        </is>
      </c>
      <c r="C46" s="8" t="inlineStr">
        <is>
          <t>market rate</t>
        </is>
      </c>
      <c r="E46" s="17" t="inlineStr">
        <is>
          <t>market rate / agent rate</t>
        </is>
      </c>
    </row>
    <row r="47" ht="30" customHeight="1">
      <c r="A47" s="3" t="inlineStr">
        <is>
          <t>How the partner prices</t>
        </is>
      </c>
      <c r="C47" s="8" t="inlineStr">
        <is>
          <t>NPL's own wallet</t>
        </is>
      </c>
      <c r="E47" s="17" t="inlineStr">
        <is>
          <t>fee on top of market / fee inside its rate / NPL's own wallet</t>
        </is>
      </c>
    </row>
    <row r="48" ht="16" customHeight="1">
      <c r="A48" s="3" t="inlineStr">
        <is>
          <t>Fee taken how</t>
        </is>
      </c>
      <c r="C48" s="8" t="inlineStr">
        <is>
          <t>off the rate the sender gets</t>
        </is>
      </c>
      <c r="E48" s="17" t="inlineStr">
        <is>
          <t>off the rate the sender gets / added to what the sender pays</t>
        </is>
      </c>
    </row>
    <row r="49" ht="16" customHeight="1">
      <c r="A49" s="3" t="inlineStr">
        <is>
          <t>Rounding</t>
        </is>
      </c>
      <c r="C49" s="8" t="inlineStr">
        <is>
          <t>drop the cents</t>
        </is>
      </c>
      <c r="E49" s="17" t="inlineStr">
        <is>
          <t>drop the cents / nearest unit / round up / nearest 1,000</t>
        </is>
      </c>
    </row>
    <row r="50" ht="16" customHeight="1">
      <c r="A50" s="3" t="inlineStr">
        <is>
          <t>Rounding unit</t>
        </is>
      </c>
      <c r="C50" s="18" t="n">
        <v>1</v>
      </c>
      <c r="E50" s="17" t="inlineStr">
        <is>
          <t>1 for whole units; 1000 for the nearest thousand</t>
        </is>
      </c>
    </row>
    <row r="51" ht="16" customHeight="1">
      <c r="A51" s="3" t="inlineStr">
        <is>
          <t>Minimum NPL margin</t>
        </is>
      </c>
      <c r="C51" s="21" t="n">
        <v>0.005</v>
      </c>
      <c r="E51" s="17" t="inlineStr"/>
    </row>
    <row r="52" ht="16" customHeight="1">
      <c r="A52" s="3" t="inlineStr">
        <is>
          <t>Fee shown to the customer (blank = the true fee)</t>
        </is>
      </c>
      <c r="C52" s="22" t="inlineStr"/>
      <c r="E52" s="17" t="inlineStr">
        <is>
          <t>needs a system change when it differs</t>
        </is>
      </c>
    </row>
    <row r="53" ht="30" customHeight="1">
      <c r="A53" s="3" t="inlineStr">
        <is>
          <t>How NPL's share reaches NPL</t>
        </is>
      </c>
      <c r="C53" s="8" t="inlineStr">
        <is>
          <t>NPL's own wallet</t>
        </is>
      </c>
      <c r="E53" s="17" t="inlineStr">
        <is>
          <t>kept for NPL at the partner / paid back monthly / held by the client, paid monthly / NPL's own wallet</t>
        </is>
      </c>
    </row>
    <row r="54" ht="16" customHeight="1">
      <c r="A54" s="3" t="inlineStr">
        <is>
          <t>% of the partner's fee paid back (rebate)</t>
        </is>
      </c>
      <c r="C54" s="21" t="n">
        <v>0</v>
      </c>
      <c r="E54" s="17" t="inlineStr">
        <is>
          <t>NPL's alone; 0 where there is none</t>
        </is>
      </c>
    </row>
    <row r="55" ht="30" customHeight="1">
      <c r="A55" s="3" t="inlineStr">
        <is>
          <t>Share paid to someone else %</t>
        </is>
      </c>
      <c r="C55" s="21" t="n">
        <v>0</v>
      </c>
      <c r="E55" s="17" t="inlineStr">
        <is>
          <t>of the amount × market; an introducer, or the customer who provides the sub-account</t>
        </is>
      </c>
    </row>
    <row r="57">
      <c r="A57" s="15" t="inlineStr">
        <is>
          <t>C · Worked calculation — what the system works out</t>
        </is>
      </c>
    </row>
    <row r="58">
      <c r="A58" s="16" t="inlineStr">
        <is>
          <t>Figure</t>
        </is>
      </c>
      <c r="B58" s="16" t="inlineStr">
        <is>
          <t>How it is worked out</t>
        </is>
      </c>
      <c r="C58" s="16" t="inlineStr">
        <is>
          <t>Value</t>
        </is>
      </c>
      <c r="E58" s="16" t="inlineStr">
        <is>
          <t>Note</t>
        </is>
      </c>
    </row>
    <row r="59">
      <c r="A59" s="3" t="inlineStr">
        <is>
          <t>Rate the fee is applied to</t>
        </is>
      </c>
      <c r="B59" s="17" t="inlineStr">
        <is>
          <t>the market rate, or the agent rate</t>
        </is>
      </c>
      <c r="C59" s="23">
        <f>IF($C$46="market rate",$C$40,$C$41)</f>
        <v/>
      </c>
      <c r="E59" s="17" t="inlineStr"/>
    </row>
    <row r="60">
      <c r="A60" s="3" t="inlineStr">
        <is>
          <t>Rate quoted to the sender</t>
        </is>
      </c>
      <c r="B60" s="17" t="inlineStr">
        <is>
          <t>that rate less the sender's fee — or, when the fee is added to what the sender pays, that rate ÷ (1 + fee)</t>
        </is>
      </c>
      <c r="C60" s="23">
        <f>IF($C$48="added to what the sender pays",$C$59/(1+$C$44),$C$59*(1-$C$44))</f>
        <v/>
      </c>
      <c r="E60" s="17" t="inlineStr"/>
    </row>
    <row r="61">
      <c r="A61" s="3" t="inlineStr">
        <is>
          <t>Amount the sender is promised</t>
        </is>
      </c>
      <c r="B61" s="17" t="inlineStr">
        <is>
          <t>amount sent × rate quoted to the sender</t>
        </is>
      </c>
      <c r="C61" s="24">
        <f>$C$36*$C$60</f>
        <v/>
      </c>
      <c r="E61" s="17" t="inlineStr">
        <is>
          <t>before any receiver-side fee</t>
        </is>
      </c>
    </row>
    <row r="62">
      <c r="A62" s="3" t="inlineStr">
        <is>
          <t>Receiver-side fee</t>
        </is>
      </c>
      <c r="B62" s="17" t="inlineStr">
        <is>
          <t>amount promised × receiver's fee</t>
        </is>
      </c>
      <c r="C62" s="24">
        <f>$C$61*$C$45</f>
        <v/>
      </c>
      <c r="E62" s="17" t="inlineStr">
        <is>
          <t>taken from the client's balance when the money is converted</t>
        </is>
      </c>
    </row>
    <row r="63">
      <c r="A63" s="3" t="inlineStr">
        <is>
          <t>Amount the receiver is owed</t>
        </is>
      </c>
      <c r="B63" s="17" t="inlineStr">
        <is>
          <t>amount promised − receiver-side fee</t>
        </is>
      </c>
      <c r="C63" s="24">
        <f>$C$61-$C$62</f>
        <v/>
      </c>
      <c r="E63" s="17" t="inlineStr">
        <is>
          <t>what the client's balance must deliver</t>
        </is>
      </c>
    </row>
    <row r="64">
      <c r="A64" s="3" t="inlineStr">
        <is>
          <t>What the partner delivers</t>
        </is>
      </c>
      <c r="B64" s="17" t="inlineStr">
        <is>
          <t>amount × agent rate · or amount × market less the partner's fee · or amount × market when NPL converts itself</t>
        </is>
      </c>
      <c r="C64" s="24">
        <f>IF($C$47="NPL's own wallet",$C$36*$C$40,IF($C$47="fee on top of market",$C$36*$C$40*(1-$C$42),$C$36*$C$41))</f>
        <v/>
      </c>
      <c r="E64" s="17" t="inlineStr"/>
    </row>
    <row r="65">
      <c r="A65" s="3" t="inlineStr">
        <is>
          <t>Partner / agent cost</t>
        </is>
      </c>
      <c r="B65" s="17" t="inlineStr">
        <is>
          <t>amount × market − what the partner delivers (nil when NPL converts itself)</t>
        </is>
      </c>
      <c r="C65" s="24">
        <f>$C$36*$C$40-$C$64</f>
        <v/>
      </c>
      <c r="E65" s="17" t="inlineStr"/>
    </row>
    <row r="66">
      <c r="A66" s="3" t="inlineStr">
        <is>
          <t>NPL earns on this deal</t>
        </is>
      </c>
      <c r="B66" s="17" t="inlineStr">
        <is>
          <t>what the partner delivers − what the receiver is owed</t>
        </is>
      </c>
      <c r="C66" s="24">
        <f>$C$64-$C$63</f>
        <v/>
      </c>
      <c r="E66" s="17" t="inlineStr">
        <is>
          <t>locked in when the money is converted; the partner's rebate is NOT in this figure</t>
        </is>
      </c>
    </row>
    <row r="67">
      <c r="A67" s="3" t="inlineStr">
        <is>
          <t>NPL margin %</t>
        </is>
      </c>
      <c r="B67" s="17" t="inlineStr">
        <is>
          <t>NPL earns ÷ (amount × market)</t>
        </is>
      </c>
      <c r="C67" s="25">
        <f>IF($C$36*$C$40=0,0,$C$66/($C$36*$C$40))</f>
        <v/>
      </c>
      <c r="E67" s="17" t="inlineStr"/>
    </row>
    <row r="68">
      <c r="A68" s="3" t="inlineStr">
        <is>
          <t>Below the minimum margin?</t>
        </is>
      </c>
      <c r="B68" s="17" t="inlineStr">
        <is>
          <t>if so, the quote needs Finance approval</t>
        </is>
      </c>
      <c r="C68" s="6">
        <f>IF($C$67&lt;$C$51,"YES — Finance must approve","no")</f>
        <v/>
      </c>
      <c r="E68" s="17" t="inlineStr"/>
    </row>
    <row r="69">
      <c r="A69" s="3" t="inlineStr">
        <is>
          <t>Amount actually paid out</t>
        </is>
      </c>
      <c r="B69" s="17" t="inlineStr">
        <is>
          <t>amount owed, rounded as agreed</t>
        </is>
      </c>
      <c r="C69" s="24">
        <f>IF($C$49="round up",CEILING($C$63,$C$50),IF($C$49="nearest unit",MROUND($C$63,$C$50),IF($C$49="nearest 1,000",MROUND($C$63,$C$50),FLOOR($C$63,$C$50))))</f>
        <v/>
      </c>
      <c r="E69" s="17" t="inlineStr">
        <is>
          <t>only 'drop the cents' exists today; the other options need a system change (proposal F)</t>
        </is>
      </c>
    </row>
    <row r="70">
      <c r="A70" s="3" t="inlineStr">
        <is>
          <t>Cents left in the client's balance (negative = NPL's cost)</t>
        </is>
      </c>
      <c r="B70" s="17" t="inlineStr">
        <is>
          <t>amount owed − amount paid out</t>
        </is>
      </c>
      <c r="C70" s="24">
        <f>$C$63-$C$69</f>
        <v/>
      </c>
      <c r="E70" s="17" t="inlineStr"/>
    </row>
    <row r="71">
      <c r="A71" s="3" t="inlineStr">
        <is>
          <t>Rate printed on the customer's quote</t>
        </is>
      </c>
      <c r="B71" s="17" t="inlineStr">
        <is>
          <t>rate quoted to the sender ÷ (1 − fee shown) — the 'market rate' your customer-facing calculation prints</t>
        </is>
      </c>
      <c r="C71" s="23">
        <f>IF($C$52="",$C$59,$C$60/(1-$C$52))</f>
        <v/>
      </c>
      <c r="E71" s="17" t="inlineStr">
        <is>
          <t>needs a system change when it differs from the true rate (proposal C)</t>
        </is>
      </c>
    </row>
    <row r="72">
      <c r="A72" s="3" t="inlineStr">
        <is>
          <t>Rebate owed back to NPL by the partner</t>
        </is>
      </c>
      <c r="B72" s="17" t="inlineStr">
        <is>
          <t>partner's fee × % paid back — NPL's alone, never shared, tracked on its own</t>
        </is>
      </c>
      <c r="C72" s="24">
        <f>$C$65*$C$54</f>
        <v/>
      </c>
      <c r="E72" s="17" t="inlineStr">
        <is>
          <t>0 where the partner pays no rebate</t>
        </is>
      </c>
    </row>
    <row r="73">
      <c r="A73" s="3" t="inlineStr">
        <is>
          <t>Share owed to someone else</t>
        </is>
      </c>
      <c r="B73" s="17" t="inlineStr">
        <is>
          <t>amount × market × share % (the share is of NPL's earnings, not of the rebate)</t>
        </is>
      </c>
      <c r="C73" s="24">
        <f>$C$36*$C$40*$C$55</f>
        <v/>
      </c>
      <c r="E73" s="17" t="inlineStr">
        <is>
          <t>paid out of NPL's earnings</t>
        </is>
      </c>
    </row>
    <row r="74">
      <c r="A74" s="3" t="inlineStr">
        <is>
          <t>NPL keeps</t>
        </is>
      </c>
      <c r="B74" s="17" t="inlineStr">
        <is>
          <t>NPL earns − share owed + rebate</t>
        </is>
      </c>
      <c r="C74" s="24">
        <f>$C$66-$C$73+$C$72</f>
        <v/>
      </c>
      <c r="E74" s="17" t="inlineStr"/>
    </row>
    <row r="75">
      <c r="A75" s="3" t="inlineStr">
        <is>
          <t>Check: receiver + partner cost + NPL = amount × market</t>
        </is>
      </c>
      <c r="B75" s="17" t="inlineStr">
        <is>
          <t>must be zero</t>
        </is>
      </c>
      <c r="C75" s="24">
        <f>ROUND($C$63+$C$65+$C$66-$C$36*$C$40,6)</f>
        <v/>
      </c>
      <c r="E75" s="17" t="inlineStr">
        <is>
          <t>every unit sent is accounted for</t>
        </is>
      </c>
    </row>
    <row r="77">
      <c r="A77" s="15" t="inlineStr">
        <is>
          <t>D · Bookkeeping entries the system would write</t>
        </is>
      </c>
    </row>
    <row r="78">
      <c r="A78" s="16" t="inlineStr">
        <is>
          <t>Entry</t>
        </is>
      </c>
      <c r="B78" s="16" t="inlineStr">
        <is>
          <t>In / out</t>
        </is>
      </c>
      <c r="C78" s="16" t="inlineStr">
        <is>
          <t>Amount</t>
        </is>
      </c>
      <c r="D78" s="16" t="inlineStr">
        <is>
          <t>Whose money · what kind</t>
        </is>
      </c>
      <c r="E78" s="16" t="inlineStr">
        <is>
          <t>When</t>
        </is>
      </c>
    </row>
    <row r="79" ht="16" customHeight="1">
      <c r="A79" s="6">
        <f>"Client money received at "&amp;$C$39&amp;" ("&amp;$C$37&amp;")"</f>
        <v/>
      </c>
      <c r="B79" s="6" t="inlineStr">
        <is>
          <t>in</t>
        </is>
      </c>
      <c r="C79" s="24">
        <f>$C$36</f>
        <v/>
      </c>
      <c r="D79" s="17" t="inlineStr">
        <is>
          <t>client's money · the amount itself</t>
        </is>
      </c>
      <c r="E79" s="17" t="inlineStr">
        <is>
          <t>when the money arrives</t>
        </is>
      </c>
    </row>
    <row r="80" ht="16" customHeight="1">
      <c r="A80" s="6">
        <f>"Owed to the client's receivers ("&amp;$C$37&amp;")"</f>
        <v/>
      </c>
      <c r="B80" s="6" t="inlineStr">
        <is>
          <t>out</t>
        </is>
      </c>
      <c r="C80" s="24">
        <f>$C$36</f>
        <v/>
      </c>
      <c r="D80" s="17" t="inlineStr">
        <is>
          <t>client's money · the amount itself</t>
        </is>
      </c>
      <c r="E80" s="17" t="inlineStr">
        <is>
          <t>when the money arrives</t>
        </is>
      </c>
    </row>
    <row r="81" ht="16" customHeight="1">
      <c r="A81" s="6">
        <f>"Owed to the client's receivers ("&amp;$C$37&amp;")"</f>
        <v/>
      </c>
      <c r="B81" s="6" t="inlineStr">
        <is>
          <t>in</t>
        </is>
      </c>
      <c r="C81" s="24">
        <f>$C$36</f>
        <v/>
      </c>
      <c r="D81" s="17" t="inlineStr">
        <is>
          <t>client's money · the amount itself</t>
        </is>
      </c>
      <c r="E81" s="17" t="inlineStr">
        <is>
          <t>conversion — currency sent</t>
        </is>
      </c>
    </row>
    <row r="82" ht="16" customHeight="1">
      <c r="A82" s="6">
        <f>"Client money received at "&amp;$C$39&amp;" ("&amp;$C$37&amp;")"</f>
        <v/>
      </c>
      <c r="B82" s="6" t="inlineStr">
        <is>
          <t>out</t>
        </is>
      </c>
      <c r="C82" s="24">
        <f>$C$36</f>
        <v/>
      </c>
      <c r="D82" s="17" t="inlineStr">
        <is>
          <t>client's money · the amount itself</t>
        </is>
      </c>
      <c r="E82" s="17" t="inlineStr">
        <is>
          <t>conversion — currency sent</t>
        </is>
      </c>
    </row>
    <row r="83" ht="16" customHeight="1">
      <c r="A83" s="6">
        <f>"Client money ready to pay out at "&amp;$C$39&amp;" ("&amp;$C$38&amp;")"</f>
        <v/>
      </c>
      <c r="B83" s="6" t="inlineStr">
        <is>
          <t>in</t>
        </is>
      </c>
      <c r="C83" s="24">
        <f>$C$63</f>
        <v/>
      </c>
      <c r="D83" s="17" t="inlineStr">
        <is>
          <t>client's money · the amount itself (cents included)</t>
        </is>
      </c>
      <c r="E83" s="17" t="inlineStr">
        <is>
          <t>conversion — currency paid out</t>
        </is>
      </c>
    </row>
    <row r="84" ht="30" customHeight="1">
      <c r="A84" s="6">
        <f>"NPL's earnings kept at "&amp;$C$39&amp;" ("&amp;$C$38&amp;")"</f>
        <v/>
      </c>
      <c r="B84" s="6" t="inlineStr">
        <is>
          <t>in</t>
        </is>
      </c>
      <c r="C84" s="24">
        <f>IF(OR($C$53="paid back monthly",$C$53="held by the client, paid monthly"),0,$C$66)</f>
        <v/>
      </c>
      <c r="D84" s="17" t="inlineStr">
        <is>
          <t>NPL's money · earnings</t>
        </is>
      </c>
      <c r="E84" s="17" t="inlineStr">
        <is>
          <t>conversion — NPL's share left with the partner (or in NPL's own wallet)</t>
        </is>
      </c>
    </row>
    <row r="85" ht="30" customHeight="1">
      <c r="A85" s="6">
        <f>"Owed to NPL by the client ("&amp;$C$38&amp;")"</f>
        <v/>
      </c>
      <c r="B85" s="6" t="inlineStr">
        <is>
          <t>in</t>
        </is>
      </c>
      <c r="C85" s="24">
        <f>IF($C$53="held by the client, paid monthly",$C$66,0)</f>
        <v/>
      </c>
      <c r="D85" s="17" t="inlineStr">
        <is>
          <t>NPL's money · earnings</t>
        </is>
      </c>
      <c r="E85" s="17" t="inlineStr">
        <is>
          <t>conversion — the converted money went to the client's own account; NPL's share is owed by the client</t>
        </is>
      </c>
    </row>
    <row r="86" ht="16" customHeight="1">
      <c r="A86" s="6">
        <f>"Rebate owed to NPL by "&amp;$C$39&amp;" ("&amp;$C$38&amp;")"</f>
        <v/>
      </c>
      <c r="B86" s="6" t="inlineStr">
        <is>
          <t>in</t>
        </is>
      </c>
      <c r="C86" s="24">
        <f>$C$72</f>
        <v/>
      </c>
      <c r="D86" s="17" t="inlineStr">
        <is>
          <t>NPL's money · rebate (kept apart from earnings)</t>
        </is>
      </c>
      <c r="E86" s="17" t="inlineStr">
        <is>
          <t>conversion — the partner's monthly rebate</t>
        </is>
      </c>
    </row>
    <row r="87" ht="16" customHeight="1">
      <c r="A87" s="6">
        <f>"Owed to the client's receivers ("&amp;$C$38&amp;")"</f>
        <v/>
      </c>
      <c r="B87" s="6" t="inlineStr">
        <is>
          <t>out</t>
        </is>
      </c>
      <c r="C87" s="24">
        <f>$C$63</f>
        <v/>
      </c>
      <c r="D87" s="17" t="inlineStr">
        <is>
          <t>client's money · the amount itself</t>
        </is>
      </c>
      <c r="E87" s="17" t="inlineStr">
        <is>
          <t>conversion — currency paid out</t>
        </is>
      </c>
    </row>
    <row r="88" ht="16" customHeight="1">
      <c r="A88" s="6">
        <f>"NPL's earnings ("&amp;$C$38&amp;")"</f>
        <v/>
      </c>
      <c r="B88" s="6" t="inlineStr">
        <is>
          <t>out</t>
        </is>
      </c>
      <c r="C88" s="24">
        <f>$C$66</f>
        <v/>
      </c>
      <c r="D88" s="17" t="inlineStr">
        <is>
          <t>NPL's money · earnings</t>
        </is>
      </c>
      <c r="E88" s="17" t="inlineStr">
        <is>
          <t>margin recognised</t>
        </is>
      </c>
    </row>
    <row r="89" ht="16" customHeight="1">
      <c r="A89" s="6">
        <f>"NPL's rebate income ("&amp;$C$38&amp;")"</f>
        <v/>
      </c>
      <c r="B89" s="6" t="inlineStr">
        <is>
          <t>out</t>
        </is>
      </c>
      <c r="C89" s="24">
        <f>$C$72</f>
        <v/>
      </c>
      <c r="D89" s="17" t="inlineStr">
        <is>
          <t>NPL's money · rebate</t>
        </is>
      </c>
      <c r="E89" s="17" t="inlineStr">
        <is>
          <t>rebate expected — reported separately from earnings</t>
        </is>
      </c>
    </row>
    <row r="90" ht="16" customHeight="1">
      <c r="A90" s="6">
        <f>"Client money in transit from "&amp;$C$39&amp;" ("&amp;$C$38&amp;")"</f>
        <v/>
      </c>
      <c r="B90" s="6" t="inlineStr">
        <is>
          <t>in</t>
        </is>
      </c>
      <c r="C90" s="24">
        <f>$C$69</f>
        <v/>
      </c>
      <c r="D90" s="17" t="inlineStr">
        <is>
          <t>client's money · the amount itself</t>
        </is>
      </c>
      <c r="E90" s="17" t="inlineStr">
        <is>
          <t>payout released (rounded as agreed)</t>
        </is>
      </c>
    </row>
    <row r="91" ht="16" customHeight="1">
      <c r="A91" s="6">
        <f>"Client money ready to pay out at "&amp;$C$39&amp;" ("&amp;$C$38&amp;")"</f>
        <v/>
      </c>
      <c r="B91" s="6" t="inlineStr">
        <is>
          <t>out</t>
        </is>
      </c>
      <c r="C91" s="24">
        <f>$C$69</f>
        <v/>
      </c>
      <c r="D91" s="17" t="inlineStr">
        <is>
          <t>client's money · the amount itself</t>
        </is>
      </c>
      <c r="E91" s="17" t="inlineStr">
        <is>
          <t>payout released</t>
        </is>
      </c>
    </row>
    <row r="92" ht="16" customHeight="1">
      <c r="A92" s="6">
        <f>"Owed to the client's receivers ("&amp;$C$38&amp;")"</f>
        <v/>
      </c>
      <c r="B92" s="6" t="inlineStr">
        <is>
          <t>in</t>
        </is>
      </c>
      <c r="C92" s="24">
        <f>$C$69</f>
        <v/>
      </c>
      <c r="D92" s="17" t="inlineStr">
        <is>
          <t>client's money · the amount itself</t>
        </is>
      </c>
      <c r="E92" s="17" t="inlineStr">
        <is>
          <t>receiver confirms in full</t>
        </is>
      </c>
    </row>
    <row r="93" ht="16" customHeight="1">
      <c r="A93" s="6">
        <f>"Client money in transit from "&amp;$C$39&amp;" ("&amp;$C$38&amp;")"</f>
        <v/>
      </c>
      <c r="B93" s="6" t="inlineStr">
        <is>
          <t>out</t>
        </is>
      </c>
      <c r="C93" s="24">
        <f>$C$69</f>
        <v/>
      </c>
      <c r="D93" s="17" t="inlineStr">
        <is>
          <t>client's money · the amount itself</t>
        </is>
      </c>
      <c r="E93" s="17" t="inlineStr">
        <is>
          <t>receiver confirms in full</t>
        </is>
      </c>
    </row>
    <row r="94" ht="16" customHeight="1">
      <c r="A94" s="6">
        <f>"NPL's earnings ("&amp;$C$38&amp;")"</f>
        <v/>
      </c>
      <c r="B94" s="6" t="inlineStr">
        <is>
          <t>in</t>
        </is>
      </c>
      <c r="C94" s="24">
        <f>$C$73</f>
        <v/>
      </c>
      <c r="D94" s="17" t="inlineStr">
        <is>
          <t>NPL's money · share paid to someone else</t>
        </is>
      </c>
      <c r="E94" s="17" t="inlineStr">
        <is>
          <t>share accrued (if any)</t>
        </is>
      </c>
    </row>
    <row r="95" ht="16" customHeight="1">
      <c r="A95" s="6">
        <f>"Owed to the other party ("&amp;$C$38&amp;")"</f>
        <v/>
      </c>
      <c r="B95" s="6" t="inlineStr">
        <is>
          <t>out</t>
        </is>
      </c>
      <c r="C95" s="24">
        <f>$C$73</f>
        <v/>
      </c>
      <c r="D95" s="17" t="inlineStr">
        <is>
          <t>NPL's money · share paid to someone else</t>
        </is>
      </c>
      <c r="E95" s="17" t="inlineStr">
        <is>
          <t>share accrued</t>
        </is>
      </c>
    </row>
    <row r="96" ht="30" customHeight="1">
      <c r="A96" s="6">
        <f>"Owed to the other party ("&amp;$C$38&amp;")"</f>
        <v/>
      </c>
      <c r="B96" s="6" t="inlineStr">
        <is>
          <t>in</t>
        </is>
      </c>
      <c r="C96" s="24">
        <f>IF($C$53="held by the client, paid monthly",$C$73,0)</f>
        <v/>
      </c>
      <c r="D96" s="17" t="inlineStr">
        <is>
          <t>NPL's money · share</t>
        </is>
      </c>
      <c r="E96" s="17" t="inlineStr">
        <is>
          <t>netted: the client keeps its share out of the money in its account</t>
        </is>
      </c>
    </row>
    <row r="97" ht="16" customHeight="1">
      <c r="A97" s="6">
        <f>"Owed to NPL by the client ("&amp;$C$38&amp;")"</f>
        <v/>
      </c>
      <c r="B97" s="6" t="inlineStr">
        <is>
          <t>out</t>
        </is>
      </c>
      <c r="C97" s="24">
        <f>IF($C$53="held by the client, paid monthly",$C$73,0)</f>
        <v/>
      </c>
      <c r="D97" s="17" t="inlineStr">
        <is>
          <t>NPL's money · earnings</t>
        </is>
      </c>
      <c r="E97" s="17" t="inlineStr">
        <is>
          <t>netted: what the client pays NPL monthly is the rest</t>
        </is>
      </c>
    </row>
    <row r="98" ht="30" customHeight="1">
      <c r="A98" s="26" t="inlineStr">
        <is>
          <t>Check: in = out in the currency paid out</t>
        </is>
      </c>
      <c r="C98" s="27">
        <f>ROUND(SUMIF($B$83:$B$97,"in",$C$83:$C$97)-SUMIF($B$83:$B$97,"out",$C$83:$C$97),6)</f>
        <v/>
      </c>
      <c r="E98" s="17" t="inlineStr">
        <is>
          <t>money never appears or disappears: every entry moves it from one place to another</t>
        </is>
      </c>
    </row>
    <row r="100">
      <c r="A100" s="15" t="inlineStr">
        <is>
          <t>E · Compare with your sheet</t>
        </is>
      </c>
    </row>
    <row r="101">
      <c r="A101" s="16" t="inlineStr">
        <is>
          <t>Figure in your sheet</t>
        </is>
      </c>
      <c r="B101" s="16" t="inlineStr">
        <is>
          <t>Your value</t>
        </is>
      </c>
      <c r="C101" s="16" t="inlineStr">
        <is>
          <t>Worked out here</t>
        </is>
      </c>
      <c r="D101" s="16" t="inlineStr">
        <is>
          <t>Difference</t>
        </is>
      </c>
      <c r="E101" s="16" t="inlineStr">
        <is>
          <t>Comment</t>
        </is>
      </c>
    </row>
    <row r="102" ht="30" customHeight="1">
      <c r="A102" s="3" t="inlineStr">
        <is>
          <t>EUR credited to the customer (advance payment)</t>
        </is>
      </c>
      <c r="B102" s="18" t="n">
        <v>432267</v>
      </c>
      <c r="C102" s="24">
        <f>$C$61</f>
        <v/>
      </c>
      <c r="D102" s="27">
        <f>ROUND(C102-B102,2)</f>
        <v/>
      </c>
      <c r="E102" s="17" t="inlineStr">
        <is>
          <t>your calculation: THB 17,000,000 × 0.02542745 — the 2 % comes off the EUR-per-THB rate</t>
        </is>
      </c>
    </row>
    <row r="104">
      <c r="A104" s="15" t="inlineStr">
        <is>
          <t>At the partner: THB → USDT (what Ali delivers), and the EUR value of that USDT</t>
        </is>
      </c>
    </row>
    <row r="105">
      <c r="A105" s="16" t="inlineStr">
        <is>
          <t>Figure</t>
        </is>
      </c>
      <c r="B105" s="16" t="inlineStr"/>
      <c r="C105" s="16" t="inlineStr">
        <is>
          <t>Value</t>
        </is>
      </c>
      <c r="D105" s="16" t="inlineStr"/>
      <c r="E105" s="16" t="inlineStr">
        <is>
          <t>Source</t>
        </is>
      </c>
    </row>
    <row r="106">
      <c r="A106" s="6" t="inlineStr">
        <is>
          <t>Market THB per USDT</t>
        </is>
      </c>
      <c r="C106" s="19" t="n">
        <v>33.613</v>
      </c>
      <c r="E106" s="29" t="inlineStr">
        <is>
          <t>sheet row 37 (1 ÷ 0.02975)</t>
        </is>
      </c>
    </row>
    <row r="107">
      <c r="A107" s="6" t="inlineStr">
        <is>
          <t>Ali's rate THB per USDT</t>
        </is>
      </c>
      <c r="C107" s="19" t="n">
        <v>33.83</v>
      </c>
      <c r="E107" s="29" t="inlineStr">
        <is>
          <t>your answer: THB 17,000,000 ÷ 33.83 = USDT 502,513</t>
        </is>
      </c>
    </row>
    <row r="108">
      <c r="A108" s="6" t="inlineStr">
        <is>
          <t>USDT delivered</t>
        </is>
      </c>
      <c r="C108" s="24">
        <f>ROUND($C$36/$C$107,2)</f>
        <v/>
      </c>
      <c r="E108" s="29" t="inlineStr">
        <is>
          <t>sheet says 502,513</t>
        </is>
      </c>
    </row>
    <row r="109" ht="30" customHeight="1">
      <c r="A109" s="6" t="inlineStr">
        <is>
          <t>Partner cost %</t>
        </is>
      </c>
      <c r="C109" s="25">
        <f>1-$C$106/$C$107</f>
        <v/>
      </c>
      <c r="E109" s="17" t="inlineStr">
        <is>
          <t>worked out from the partner's rate against market; your rule: Ali's rate must stay within 1.5 % of market so NPL keeps at least 0.5 %</t>
        </is>
      </c>
    </row>
    <row r="110">
      <c r="A110" s="6" t="inlineStr">
        <is>
          <t>EUR per USDT at collection</t>
        </is>
      </c>
      <c r="C110" s="19" t="n">
        <v>0.8708</v>
      </c>
      <c r="E110" s="29" t="inlineStr">
        <is>
          <t>your answer</t>
        </is>
      </c>
    </row>
    <row r="111">
      <c r="A111" s="6" t="inlineStr">
        <is>
          <t>EUR per USDT at the final vendor payment</t>
        </is>
      </c>
      <c r="C111" s="19" t="n">
        <v>0.87527</v>
      </c>
      <c r="E111" s="17" t="inlineStr">
        <is>
          <t>your answer — vendors are paid on different days, so the rate moves</t>
        </is>
      </c>
    </row>
    <row r="112">
      <c r="A112" s="6" t="inlineStr">
        <is>
          <t>EUR value of the USDT at collection</t>
        </is>
      </c>
      <c r="C112" s="24">
        <f>ROUND($C$108*$C$110,2)</f>
        <v/>
      </c>
    </row>
    <row r="113">
      <c r="A113" s="4" t="inlineStr">
        <is>
          <t>NPL margin in EUR at collection</t>
        </is>
      </c>
      <c r="C113" s="27">
        <f>ROUND($C$112-$C$61,2)</f>
        <v/>
      </c>
      <c r="E113" s="17" t="inlineStr">
        <is>
          <t>≈ 2 % − 0.64 % of the collection; must be at least 0.5 %</t>
        </is>
      </c>
    </row>
    <row r="114">
      <c r="A114" s="4" t="inlineStr">
        <is>
          <t>Forex gain (+) / loss (−) by the final payment</t>
        </is>
      </c>
      <c r="C114" s="27">
        <f>ROUND($C$108*($C$111-$C$110),2)</f>
        <v/>
      </c>
      <c r="E114" s="17" t="inlineStr">
        <is>
          <t>your answer: accepted; the 2 % markup is the buffer for it</t>
        </is>
      </c>
    </row>
    <row r="116">
      <c r="A116" s="15" t="inlineStr">
        <is>
          <t>F · Please confirm</t>
        </is>
      </c>
    </row>
    <row r="117" ht="32" customHeight="1">
      <c r="A117" s="14" t="inlineStr">
        <is>
          <t>•</t>
        </is>
      </c>
      <c r="B117" s="28" t="inlineStr">
        <is>
          <t>Your rule: if Ali's THB → USDT rate is more than 1.5 % below market, no collection is arranged. Should the system refuse the quote by itself in that case, or only warn Finance?</t>
        </is>
      </c>
    </row>
    <row r="118" ht="32" customHeight="1">
      <c r="A118" s="14" t="inlineStr">
        <is>
          <t>•</t>
        </is>
      </c>
      <c r="B118" s="28" t="inlineStr">
        <is>
          <t>Vendors are paid on different days and the forex gain or loss is accepted with the 2 % as buffer: confirm there is no separate limit beyond which Finance must approve.</t>
        </is>
      </c>
    </row>
  </sheetData>
  <mergeCells count="2">
    <mergeCell ref="B118:E118"/>
    <mergeCell ref="B117:E11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9 Withdrawal — Withdrawal: bank transfer in, USDT out</t>
        </is>
      </c>
    </row>
    <row r="2">
      <c r="A2" s="13" t="inlineStr">
        <is>
          <t>Example taken from your sheet, rows</t>
        </is>
      </c>
      <c r="B2" s="14" t="inlineStr">
        <is>
          <t>20</t>
        </is>
      </c>
    </row>
    <row r="4">
      <c r="A4" s="15" t="inlineStr">
        <is>
          <t>A · The set-up for this kind of deal</t>
        </is>
      </c>
    </row>
    <row r="5">
      <c r="A5" s="16" t="inlineStr">
        <is>
          <t>Item</t>
        </is>
      </c>
      <c r="B5" s="16" t="inlineStr">
        <is>
          <t>Value</t>
        </is>
      </c>
      <c r="C5" s="16" t="inlineStr">
        <is>
          <t>Where it comes from</t>
        </is>
      </c>
      <c r="D5" s="16" t="inlineStr">
        <is>
          <t>Note</t>
        </is>
      </c>
    </row>
    <row r="6" ht="16" customHeight="1">
      <c r="A6" s="3" t="inlineStr">
        <is>
          <t>Client</t>
        </is>
      </c>
      <c r="B6" s="10" t="inlineStr">
        <is>
          <t>BF-Withdrawal</t>
        </is>
      </c>
      <c r="C6" s="3" t="inlineStr">
        <is>
          <t>your sheet</t>
        </is>
      </c>
      <c r="D6" s="17" t="inlineStr">
        <is>
          <t>One set-up per client.</t>
        </is>
      </c>
    </row>
    <row r="7" ht="54" customHeight="1">
      <c r="A7" s="3" t="inlineStr">
        <is>
          <t>Who sends the money</t>
        </is>
      </c>
      <c r="B7" s="10" t="inlineStr">
        <is>
          <t>BF (Sporting Exchange) sends the customer's withdrawal by bank transfer</t>
        </is>
      </c>
      <c r="C7" s="3" t="inlineStr">
        <is>
          <t>your answer (8 Oct)</t>
        </is>
      </c>
      <c r="D7" s="17" t="inlineStr">
        <is>
          <t>The sender(s). Each must be on the list of who may pay this client's receivers.</t>
        </is>
      </c>
    </row>
    <row r="8" ht="54" customHeight="1">
      <c r="A8" s="3" t="inlineStr">
        <is>
          <t>Who gets paid</t>
        </is>
      </c>
      <c r="B8" s="10" t="inlineStr">
        <is>
          <t>the BF customer's own USDT wallet (counterparty receiver, wallet account) — customers have both TRC-20 and ERC-20 wallets</t>
        </is>
      </c>
      <c r="C8" s="3" t="inlineStr">
        <is>
          <t>your answer (8 Oct)</t>
        </is>
      </c>
      <c r="D8" s="17" t="inlineStr">
        <is>
          <t>The receiver, or the vendor. A refund goes back to the sender's own account.</t>
        </is>
      </c>
    </row>
    <row r="9" ht="54" customHeight="1">
      <c r="A9" s="3" t="inlineStr">
        <is>
          <t>Their account</t>
        </is>
      </c>
      <c r="B9" s="10" t="inlineStr">
        <is>
          <t>USDT · TRC-20 or ERC-20 · wallet</t>
        </is>
      </c>
      <c r="C9" s="3" t="inlineStr">
        <is>
          <t>your answer (8 Oct)</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bank</t>
        </is>
      </c>
      <c r="C10" s="3" t="inlineStr">
        <is>
          <t>your sheet</t>
        </is>
      </c>
      <c r="D10" s="17" t="inlineStr">
        <is>
          <t>crypto, bank transfer, cash, or a one-time local bank deposit.</t>
        </is>
      </c>
    </row>
    <row r="11" ht="54" customHeight="1">
      <c r="A11" s="3" t="inlineStr">
        <is>
          <t>Where it comes in</t>
        </is>
      </c>
      <c r="B11" s="10" t="inlineStr">
        <is>
          <t>Jeton (the entity) · bank account · SWIFT</t>
        </is>
      </c>
      <c r="C11" s="3" t="inlineStr">
        <is>
          <t>your answer (8 Oct)</t>
        </is>
      </c>
      <c r="D11" s="17" t="inlineStr">
        <is>
          <t>Which partner company's wallet or bank account the sender pays into. It must be live, belong to that partner company, and be a wallet for crypto or a bank account for bank transfers.</t>
        </is>
      </c>
    </row>
    <row r="12" ht="42" customHeight="1">
      <c r="A12" s="3" t="inlineStr">
        <is>
          <t>Partner / agent</t>
        </is>
      </c>
      <c r="B12" s="10" t="inlineStr">
        <is>
          <t>Jeton (Aquanow does not allow BF withdrawals)</t>
        </is>
      </c>
      <c r="C12" s="3" t="inlineStr">
        <is>
          <t>your answer (8 Oct)</t>
        </is>
      </c>
      <c r="D12" s="17" t="inlineStr"/>
    </row>
    <row r="13" ht="54" customHeight="1">
      <c r="A13" s="3" t="inlineStr">
        <is>
          <t>How the partner prices</t>
        </is>
      </c>
      <c r="B13" s="10" t="inlineStr">
        <is>
          <t>fee on top of market</t>
        </is>
      </c>
      <c r="C13" s="3" t="inlineStr">
        <is>
          <t>your sheet</t>
        </is>
      </c>
      <c r="D13" s="17" t="inlineStr">
        <is>
          <t>'fee on top of market': the partner converts at market and states its fee separately. 'fee inside its rate': the partner's margin is built into the rate it gives.</t>
        </is>
      </c>
    </row>
    <row r="14" ht="16" customHeight="1">
      <c r="A14" s="3" t="inlineStr">
        <is>
          <t>Exchange pair</t>
        </is>
      </c>
      <c r="B14" s="10" t="inlineStr">
        <is>
          <t>GBP → USDT (also EUR → USDT)</t>
        </is>
      </c>
      <c r="C14" s="3" t="inlineStr">
        <is>
          <t>your sheet</t>
        </is>
      </c>
      <c r="D14" s="17" t="inlineStr">
        <is>
          <t>currency sent → currency paid out.</t>
        </is>
      </c>
    </row>
    <row r="15" ht="54" customHeight="1">
      <c r="A15" s="3" t="inlineStr">
        <is>
          <t>Fee taken how</t>
        </is>
      </c>
      <c r="B15" s="10" t="inlineStr">
        <is>
          <t>off the rate the sender gets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market rate</t>
        </is>
      </c>
      <c r="C16" s="3" t="inlineStr">
        <is>
          <t>your sheet</t>
        </is>
      </c>
      <c r="D16" s="17" t="inlineStr">
        <is>
          <t>the market rate, or the agent's rate.</t>
        </is>
      </c>
    </row>
    <row r="17" ht="42" customHeight="1">
      <c r="A17" s="3" t="inlineStr">
        <is>
          <t>Fee is</t>
        </is>
      </c>
      <c r="B17" s="10" t="inlineStr">
        <is>
          <t>fixed</t>
        </is>
      </c>
      <c r="C17" s="3" t="inlineStr">
        <is>
          <t>your answer (8 Oct)</t>
        </is>
      </c>
      <c r="D17" s="17" t="inlineStr">
        <is>
          <t>fixed, or decided per deal between a lowest and a highest markup.</t>
        </is>
      </c>
    </row>
    <row r="18" ht="16" customHeight="1">
      <c r="A18" s="3" t="inlineStr">
        <is>
          <t>Total fee %</t>
        </is>
      </c>
      <c r="B18" s="12" t="n">
        <v>0.01</v>
      </c>
      <c r="C18" s="3" t="inlineStr">
        <is>
          <t>your answer (8 Oct)</t>
        </is>
      </c>
      <c r="D18" s="17" t="inlineStr">
        <is>
          <t>sender's part + receiver's part.</t>
        </is>
      </c>
    </row>
    <row r="19" ht="16" customHeight="1">
      <c r="A19" s="3" t="inlineStr">
        <is>
          <t>Sender pays %</t>
        </is>
      </c>
      <c r="B19" s="12" t="n">
        <v>0.01</v>
      </c>
      <c r="C19" s="3" t="inlineStr">
        <is>
          <t>your sheet</t>
        </is>
      </c>
      <c r="D19" s="17" t="inlineStr"/>
    </row>
    <row r="20" ht="16" customHeight="1">
      <c r="A20" s="3" t="inlineStr">
        <is>
          <t>Receiver pays %</t>
        </is>
      </c>
      <c r="B20" s="12" t="n">
        <v>0</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2" t="n">
        <v>0.004</v>
      </c>
      <c r="C23" s="3" t="inlineStr">
        <is>
          <t>worked out from your sheet</t>
        </is>
      </c>
      <c r="D23" s="17" t="inlineStr">
        <is>
          <t>A quote that earns less needs Finance's approval.</t>
        </is>
      </c>
    </row>
    <row r="24" ht="42" customHeight="1">
      <c r="A24" s="3" t="inlineStr">
        <is>
          <t>Fee shown to the customer %</t>
        </is>
      </c>
      <c r="B24" s="11" t="inlineStr"/>
      <c r="C24" s="3" t="inlineStr">
        <is>
          <t>not needed here</t>
        </is>
      </c>
      <c r="D24" s="17" t="inlineStr">
        <is>
          <t>Only when the customer-facing calculation shows a different fee from the true total. Needs a system change.</t>
        </is>
      </c>
    </row>
    <row r="25" ht="54" customHeight="1">
      <c r="A25" s="3" t="inlineStr">
        <is>
          <t>How NPL's share reaches NPL</t>
        </is>
      </c>
      <c r="B25" s="10" t="inlineStr">
        <is>
          <t>paid back monthly</t>
        </is>
      </c>
      <c r="C25" s="3" t="inlineStr">
        <is>
          <t>your answer (8 Oct)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2" t="n">
        <v>0.4</v>
      </c>
      <c r="C26" s="3" t="inlineStr">
        <is>
          <t>worked out from your sheet</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drop the cents</t>
        </is>
      </c>
      <c r="C28" s="3" t="inlineStr">
        <is>
          <t>your sheet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USDT (Jeton's wallet)</t>
        </is>
      </c>
      <c r="C29" s="3" t="inlineStr">
        <is>
          <t>your answer (8 Oct)</t>
        </is>
      </c>
      <c r="D29" s="17" t="inlineStr">
        <is>
          <t>and the bank fee you expect on it</t>
        </is>
      </c>
    </row>
    <row r="30" ht="42" customHeight="1">
      <c r="A30" s="3" t="inlineStr">
        <is>
          <t>Name shown on the transfer</t>
        </is>
      </c>
      <c r="B30" s="10" t="inlineStr">
        <is>
          <t>not applicable (USDT)</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3">
      <c r="A33" s="15" t="inlineStr">
        <is>
          <t>B · Worked calculation — the deal (change any value)</t>
        </is>
      </c>
    </row>
    <row r="34">
      <c r="A34" s="16" t="inlineStr">
        <is>
          <t>Item</t>
        </is>
      </c>
      <c r="B34" s="16" t="inlineStr"/>
      <c r="C34" s="16" t="inlineStr">
        <is>
          <t>Value</t>
        </is>
      </c>
      <c r="D34" s="16" t="inlineStr"/>
      <c r="E34" s="16" t="inlineStr">
        <is>
          <t>Meaning</t>
        </is>
      </c>
    </row>
    <row r="35" ht="16" customHeight="1">
      <c r="A35" s="3" t="inlineStr">
        <is>
          <t>Amount sent</t>
        </is>
      </c>
      <c r="C35" s="18" t="n">
        <v>51000</v>
      </c>
      <c r="E35" s="17" t="inlineStr">
        <is>
          <t>what the sender pays in, in the currency sent</t>
        </is>
      </c>
    </row>
    <row r="36" ht="16" customHeight="1">
      <c r="A36" s="3" t="inlineStr">
        <is>
          <t>Currency sent</t>
        </is>
      </c>
      <c r="C36" s="8" t="inlineStr">
        <is>
          <t>GBP</t>
        </is>
      </c>
      <c r="E36" s="17" t="inlineStr"/>
    </row>
    <row r="37" ht="16" customHeight="1">
      <c r="A37" s="3" t="inlineStr">
        <is>
          <t>Currency paid out</t>
        </is>
      </c>
      <c r="C37" s="8" t="inlineStr">
        <is>
          <t>USDT</t>
        </is>
      </c>
      <c r="E37" s="17" t="inlineStr"/>
    </row>
    <row r="38" ht="16" customHeight="1">
      <c r="A38" s="3" t="inlineStr">
        <is>
          <t>Partner (short name)</t>
        </is>
      </c>
      <c r="C38" s="8" t="inlineStr">
        <is>
          <t>JETON</t>
        </is>
      </c>
      <c r="E38" s="17" t="inlineStr">
        <is>
          <t>used in the bookkeeping entries below</t>
        </is>
      </c>
    </row>
    <row r="39" ht="16" customHeight="1">
      <c r="A39" s="3" t="inlineStr">
        <is>
          <t>Market rate</t>
        </is>
      </c>
      <c r="C39" s="19" t="n">
        <v>1.374767808590968</v>
      </c>
      <c r="E39" s="17" t="inlineStr">
        <is>
          <t>units received per 1 unit sent, at the time of the quote</t>
        </is>
      </c>
    </row>
    <row r="40" ht="30" customHeight="1">
      <c r="A40" s="3" t="inlineStr">
        <is>
          <t>Agent rate (partners whose fee is inside the rate)</t>
        </is>
      </c>
      <c r="C40" s="20" t="inlineStr"/>
      <c r="E40" s="17" t="inlineStr">
        <is>
          <t>your answer 1.3610202 is Jeton's rate: market 1.37477 less 1 % — consistent with 'fee on top of market', so it is not needed here</t>
        </is>
      </c>
    </row>
    <row r="41" ht="30" customHeight="1">
      <c r="A41" s="3" t="inlineStr">
        <is>
          <t>Partner's fee on top of market</t>
        </is>
      </c>
      <c r="C41" s="21" t="n">
        <v>0.01</v>
      </c>
      <c r="E41" s="17" t="inlineStr">
        <is>
          <t>only for partners that state their fee separately; 0 otherwise</t>
        </is>
      </c>
    </row>
    <row r="42" ht="16" customHeight="1">
      <c r="A42" s="3" t="inlineStr">
        <is>
          <t>Total fee</t>
        </is>
      </c>
      <c r="C42" s="21" t="n">
        <v>0.01</v>
      </c>
      <c r="E42" s="17" t="inlineStr"/>
    </row>
    <row r="43" ht="16" customHeight="1">
      <c r="A43" s="3" t="inlineStr">
        <is>
          <t>Sender pays</t>
        </is>
      </c>
      <c r="C43" s="21" t="n">
        <v>0.01</v>
      </c>
      <c r="E43" s="17" t="inlineStr"/>
    </row>
    <row r="44" ht="16" customHeight="1">
      <c r="A44" s="3" t="inlineStr">
        <is>
          <t>Receiver pays</t>
        </is>
      </c>
      <c r="C44" s="21" t="n">
        <v>0</v>
      </c>
      <c r="E44" s="17" t="inlineStr"/>
    </row>
    <row r="45" ht="16" customHeight="1">
      <c r="A45" s="3" t="inlineStr">
        <is>
          <t>Fee applied to</t>
        </is>
      </c>
      <c r="C45" s="8" t="inlineStr">
        <is>
          <t>market rate</t>
        </is>
      </c>
      <c r="E45" s="17" t="inlineStr">
        <is>
          <t>market rate / agent rate</t>
        </is>
      </c>
    </row>
    <row r="46" ht="30" customHeight="1">
      <c r="A46" s="3" t="inlineStr">
        <is>
          <t>How the partner prices</t>
        </is>
      </c>
      <c r="C46" s="8" t="inlineStr">
        <is>
          <t>fee on top of market</t>
        </is>
      </c>
      <c r="E46" s="17" t="inlineStr">
        <is>
          <t>fee on top of market / fee inside its rate / NPL's own wallet</t>
        </is>
      </c>
    </row>
    <row r="47" ht="16" customHeight="1">
      <c r="A47" s="3" t="inlineStr">
        <is>
          <t>Fee taken how</t>
        </is>
      </c>
      <c r="C47" s="8" t="inlineStr">
        <is>
          <t>off the rate the sender gets</t>
        </is>
      </c>
      <c r="E47" s="17" t="inlineStr">
        <is>
          <t>off the rate the sender gets / added to what the sender pays</t>
        </is>
      </c>
    </row>
    <row r="48" ht="16" customHeight="1">
      <c r="A48" s="3" t="inlineStr">
        <is>
          <t>Rounding</t>
        </is>
      </c>
      <c r="C48" s="8" t="inlineStr">
        <is>
          <t>drop the cents</t>
        </is>
      </c>
      <c r="E48" s="17" t="inlineStr">
        <is>
          <t>drop the cents / nearest unit / round up / nearest 1,000</t>
        </is>
      </c>
    </row>
    <row r="49" ht="16" customHeight="1">
      <c r="A49" s="3" t="inlineStr">
        <is>
          <t>Rounding unit</t>
        </is>
      </c>
      <c r="C49" s="18" t="n">
        <v>1</v>
      </c>
      <c r="E49" s="17" t="inlineStr">
        <is>
          <t>1 for whole units; 1000 for the nearest thousand</t>
        </is>
      </c>
    </row>
    <row r="50" ht="16" customHeight="1">
      <c r="A50" s="3" t="inlineStr">
        <is>
          <t>Minimum NPL margin</t>
        </is>
      </c>
      <c r="C50" s="21" t="n">
        <v>0.004</v>
      </c>
      <c r="E50" s="17" t="inlineStr"/>
    </row>
    <row r="51" ht="16" customHeight="1">
      <c r="A51" s="3" t="inlineStr">
        <is>
          <t>Fee shown to the customer (blank = the true fee)</t>
        </is>
      </c>
      <c r="C51" s="22" t="inlineStr"/>
      <c r="E51" s="17" t="inlineStr">
        <is>
          <t>needs a system change when it differs</t>
        </is>
      </c>
    </row>
    <row r="52" ht="30" customHeight="1">
      <c r="A52" s="3" t="inlineStr">
        <is>
          <t>How NPL's share reaches NPL</t>
        </is>
      </c>
      <c r="C52" s="8" t="inlineStr">
        <is>
          <t>paid back monthly</t>
        </is>
      </c>
      <c r="E52" s="17" t="inlineStr">
        <is>
          <t>kept for NPL at the partner / paid back monthly / held by the client, paid monthly / NPL's own wallet</t>
        </is>
      </c>
    </row>
    <row r="53" ht="16" customHeight="1">
      <c r="A53" s="3" t="inlineStr">
        <is>
          <t>% of the partner's fee paid back (rebate)</t>
        </is>
      </c>
      <c r="C53" s="21" t="n">
        <v>0.4</v>
      </c>
      <c r="E53" s="17" t="inlineStr">
        <is>
          <t>NPL's alone; 0 where there is none</t>
        </is>
      </c>
    </row>
    <row r="54" ht="30" customHeight="1">
      <c r="A54" s="3" t="inlineStr">
        <is>
          <t>Share paid to someone else %</t>
        </is>
      </c>
      <c r="C54" s="21" t="n">
        <v>0</v>
      </c>
      <c r="E54" s="17" t="inlineStr">
        <is>
          <t>of the amount × market; an introducer, or the customer who provides the sub-account</t>
        </is>
      </c>
    </row>
    <row r="56">
      <c r="A56" s="15" t="inlineStr">
        <is>
          <t>C · Worked calculation — what the system works out</t>
        </is>
      </c>
    </row>
    <row r="57">
      <c r="A57" s="16" t="inlineStr">
        <is>
          <t>Figure</t>
        </is>
      </c>
      <c r="B57" s="16" t="inlineStr">
        <is>
          <t>How it is worked out</t>
        </is>
      </c>
      <c r="C57" s="16" t="inlineStr">
        <is>
          <t>Value</t>
        </is>
      </c>
      <c r="E57" s="16" t="inlineStr">
        <is>
          <t>Note</t>
        </is>
      </c>
    </row>
    <row r="58">
      <c r="A58" s="3" t="inlineStr">
        <is>
          <t>Rate the fee is applied to</t>
        </is>
      </c>
      <c r="B58" s="17" t="inlineStr">
        <is>
          <t>the market rate, or the agent rate</t>
        </is>
      </c>
      <c r="C58" s="23">
        <f>IF($C$45="market rate",$C$39,$C$40)</f>
        <v/>
      </c>
      <c r="E58" s="17" t="inlineStr"/>
    </row>
    <row r="59">
      <c r="A59" s="3" t="inlineStr">
        <is>
          <t>Rate quoted to the sender</t>
        </is>
      </c>
      <c r="B59" s="17" t="inlineStr">
        <is>
          <t>that rate less the sender's fee — or, when the fee is added to what the sender pays, that rate ÷ (1 + fee)</t>
        </is>
      </c>
      <c r="C59" s="23">
        <f>IF($C$47="added to what the sender pays",$C$58/(1+$C$43),$C$58*(1-$C$43))</f>
        <v/>
      </c>
      <c r="E59" s="17" t="inlineStr"/>
    </row>
    <row r="60">
      <c r="A60" s="3" t="inlineStr">
        <is>
          <t>Amount the sender is promised</t>
        </is>
      </c>
      <c r="B60" s="17" t="inlineStr">
        <is>
          <t>amount sent × rate quoted to the sender</t>
        </is>
      </c>
      <c r="C60" s="24">
        <f>$C$35*$C$59</f>
        <v/>
      </c>
      <c r="E60" s="17" t="inlineStr">
        <is>
          <t>before any receiver-side fee</t>
        </is>
      </c>
    </row>
    <row r="61">
      <c r="A61" s="3" t="inlineStr">
        <is>
          <t>Receiver-side fee</t>
        </is>
      </c>
      <c r="B61" s="17" t="inlineStr">
        <is>
          <t>amount promised × receiver's fee</t>
        </is>
      </c>
      <c r="C61" s="24">
        <f>$C$60*$C$44</f>
        <v/>
      </c>
      <c r="E61" s="17" t="inlineStr">
        <is>
          <t>taken from the client's balance when the money is converted</t>
        </is>
      </c>
    </row>
    <row r="62">
      <c r="A62" s="3" t="inlineStr">
        <is>
          <t>Amount the receiver is owed</t>
        </is>
      </c>
      <c r="B62" s="17" t="inlineStr">
        <is>
          <t>amount promised − receiver-side fee</t>
        </is>
      </c>
      <c r="C62" s="24">
        <f>$C$60-$C$61</f>
        <v/>
      </c>
      <c r="E62" s="17" t="inlineStr">
        <is>
          <t>what the client's balance must deliver</t>
        </is>
      </c>
    </row>
    <row r="63">
      <c r="A63" s="3" t="inlineStr">
        <is>
          <t>What the partner delivers</t>
        </is>
      </c>
      <c r="B63" s="17" t="inlineStr">
        <is>
          <t>amount × agent rate · or amount × market less the partner's fee · or amount × market when NPL converts itself</t>
        </is>
      </c>
      <c r="C63" s="24">
        <f>IF($C$46="NPL's own wallet",$C$35*$C$39,IF($C$46="fee on top of market",$C$35*$C$39*(1-$C$41),$C$35*$C$40))</f>
        <v/>
      </c>
      <c r="E63" s="17" t="inlineStr"/>
    </row>
    <row r="64">
      <c r="A64" s="3" t="inlineStr">
        <is>
          <t>Partner / agent cost</t>
        </is>
      </c>
      <c r="B64" s="17" t="inlineStr">
        <is>
          <t>amount × market − what the partner delivers (nil when NPL converts itself)</t>
        </is>
      </c>
      <c r="C64" s="24">
        <f>$C$35*$C$39-$C$63</f>
        <v/>
      </c>
      <c r="E64" s="17" t="inlineStr"/>
    </row>
    <row r="65">
      <c r="A65" s="3" t="inlineStr">
        <is>
          <t>NPL earns on this deal</t>
        </is>
      </c>
      <c r="B65" s="17" t="inlineStr">
        <is>
          <t>what the partner delivers − what the receiver is owed</t>
        </is>
      </c>
      <c r="C65" s="24">
        <f>$C$63-$C$62</f>
        <v/>
      </c>
      <c r="E65" s="17" t="inlineStr">
        <is>
          <t>locked in when the money is converted; the partner's rebate is NOT in this figure</t>
        </is>
      </c>
    </row>
    <row r="66">
      <c r="A66" s="3" t="inlineStr">
        <is>
          <t>NPL margin %</t>
        </is>
      </c>
      <c r="B66" s="17" t="inlineStr">
        <is>
          <t>NPL earns ÷ (amount × market)</t>
        </is>
      </c>
      <c r="C66" s="25">
        <f>IF($C$35*$C$39=0,0,$C$65/($C$35*$C$39))</f>
        <v/>
      </c>
      <c r="E66" s="17" t="inlineStr"/>
    </row>
    <row r="67">
      <c r="A67" s="3" t="inlineStr">
        <is>
          <t>Below the minimum margin?</t>
        </is>
      </c>
      <c r="B67" s="17" t="inlineStr">
        <is>
          <t>if so, the quote needs Finance approval</t>
        </is>
      </c>
      <c r="C67" s="6">
        <f>IF($C$66&lt;$C$50,"YES — Finance must approve","no")</f>
        <v/>
      </c>
      <c r="E67" s="17" t="inlineStr"/>
    </row>
    <row r="68">
      <c r="A68" s="3" t="inlineStr">
        <is>
          <t>Amount actually paid out</t>
        </is>
      </c>
      <c r="B68" s="17" t="inlineStr">
        <is>
          <t>amount owed, rounded as agreed</t>
        </is>
      </c>
      <c r="C68" s="24">
        <f>IF($C$48="round up",CEILING($C$62,$C$49),IF($C$48="nearest unit",MROUND($C$62,$C$49),IF($C$48="nearest 1,000",MROUND($C$62,$C$49),FLOOR($C$62,$C$49))))</f>
        <v/>
      </c>
      <c r="E68" s="17" t="inlineStr">
        <is>
          <t>only 'drop the cents' exists today; the other options need a system change (proposal F)</t>
        </is>
      </c>
    </row>
    <row r="69">
      <c r="A69" s="3" t="inlineStr">
        <is>
          <t>Cents left in the client's balance (negative = NPL's cost)</t>
        </is>
      </c>
      <c r="B69" s="17" t="inlineStr">
        <is>
          <t>amount owed − amount paid out</t>
        </is>
      </c>
      <c r="C69" s="24">
        <f>$C$62-$C$68</f>
        <v/>
      </c>
      <c r="E69" s="17" t="inlineStr"/>
    </row>
    <row r="70">
      <c r="A70" s="3" t="inlineStr">
        <is>
          <t>Rate printed on the customer's quote</t>
        </is>
      </c>
      <c r="B70" s="17" t="inlineStr">
        <is>
          <t>rate quoted to the sender ÷ (1 − fee shown) — the 'market rate' your customer-facing calculation prints</t>
        </is>
      </c>
      <c r="C70" s="23">
        <f>IF($C$51="",$C$58,$C$59/(1-$C$51))</f>
        <v/>
      </c>
      <c r="E70" s="17" t="inlineStr">
        <is>
          <t>needs a system change when it differs from the true rate (proposal C)</t>
        </is>
      </c>
    </row>
    <row r="71">
      <c r="A71" s="3" t="inlineStr">
        <is>
          <t>Rebate owed back to NPL by the partner</t>
        </is>
      </c>
      <c r="B71" s="17" t="inlineStr">
        <is>
          <t>partner's fee × % paid back — NPL's alone, never shared, tracked on its own</t>
        </is>
      </c>
      <c r="C71" s="24">
        <f>$C$64*$C$53</f>
        <v/>
      </c>
      <c r="E71" s="17" t="inlineStr">
        <is>
          <t>0 where the partner pays no rebate</t>
        </is>
      </c>
    </row>
    <row r="72">
      <c r="A72" s="3" t="inlineStr">
        <is>
          <t>Share owed to someone else</t>
        </is>
      </c>
      <c r="B72" s="17" t="inlineStr">
        <is>
          <t>amount × market × share % (the share is of NPL's earnings, not of the rebate)</t>
        </is>
      </c>
      <c r="C72" s="24">
        <f>$C$35*$C$39*$C$54</f>
        <v/>
      </c>
      <c r="E72" s="17" t="inlineStr">
        <is>
          <t>paid out of NPL's earnings</t>
        </is>
      </c>
    </row>
    <row r="73">
      <c r="A73" s="3" t="inlineStr">
        <is>
          <t>NPL keeps</t>
        </is>
      </c>
      <c r="B73" s="17" t="inlineStr">
        <is>
          <t>NPL earns − share owed + rebate</t>
        </is>
      </c>
      <c r="C73" s="24">
        <f>$C$65-$C$72+$C$71</f>
        <v/>
      </c>
      <c r="E73" s="17" t="inlineStr"/>
    </row>
    <row r="74">
      <c r="A74" s="3" t="inlineStr">
        <is>
          <t>Check: receiver + partner cost + NPL = amount × market</t>
        </is>
      </c>
      <c r="B74" s="17" t="inlineStr">
        <is>
          <t>must be zero</t>
        </is>
      </c>
      <c r="C74" s="24">
        <f>ROUND($C$62+$C$64+$C$65-$C$35*$C$39,6)</f>
        <v/>
      </c>
      <c r="E74" s="17" t="inlineStr">
        <is>
          <t>every unit sent is accounted for</t>
        </is>
      </c>
    </row>
    <row r="76">
      <c r="A76" s="15" t="inlineStr">
        <is>
          <t>D · Bookkeeping entries the system would write</t>
        </is>
      </c>
    </row>
    <row r="77">
      <c r="A77" s="16" t="inlineStr">
        <is>
          <t>Entry</t>
        </is>
      </c>
      <c r="B77" s="16" t="inlineStr">
        <is>
          <t>In / out</t>
        </is>
      </c>
      <c r="C77" s="16" t="inlineStr">
        <is>
          <t>Amount</t>
        </is>
      </c>
      <c r="D77" s="16" t="inlineStr">
        <is>
          <t>Whose money · what kind</t>
        </is>
      </c>
      <c r="E77" s="16" t="inlineStr">
        <is>
          <t>When</t>
        </is>
      </c>
    </row>
    <row r="78" ht="16" customHeight="1">
      <c r="A78" s="6">
        <f>"Client money received at "&amp;$C$38&amp;" ("&amp;$C$36&amp;")"</f>
        <v/>
      </c>
      <c r="B78" s="6" t="inlineStr">
        <is>
          <t>in</t>
        </is>
      </c>
      <c r="C78" s="24">
        <f>$C$35</f>
        <v/>
      </c>
      <c r="D78" s="17" t="inlineStr">
        <is>
          <t>client's money · the amount itself</t>
        </is>
      </c>
      <c r="E78" s="17" t="inlineStr">
        <is>
          <t>when the money arrives</t>
        </is>
      </c>
    </row>
    <row r="79" ht="16" customHeight="1">
      <c r="A79" s="6">
        <f>"Owed to the client's receivers ("&amp;$C$36&amp;")"</f>
        <v/>
      </c>
      <c r="B79" s="6" t="inlineStr">
        <is>
          <t>out</t>
        </is>
      </c>
      <c r="C79" s="24">
        <f>$C$35</f>
        <v/>
      </c>
      <c r="D79" s="17" t="inlineStr">
        <is>
          <t>client's money · the amount itself</t>
        </is>
      </c>
      <c r="E79" s="17" t="inlineStr">
        <is>
          <t>when the money arrives</t>
        </is>
      </c>
    </row>
    <row r="80" ht="16" customHeight="1">
      <c r="A80" s="6">
        <f>"Owed to the client's receivers ("&amp;$C$36&amp;")"</f>
        <v/>
      </c>
      <c r="B80" s="6" t="inlineStr">
        <is>
          <t>in</t>
        </is>
      </c>
      <c r="C80" s="24">
        <f>$C$35</f>
        <v/>
      </c>
      <c r="D80" s="17" t="inlineStr">
        <is>
          <t>client's money · the amount itself</t>
        </is>
      </c>
      <c r="E80" s="17" t="inlineStr">
        <is>
          <t>conversion — currency sent</t>
        </is>
      </c>
    </row>
    <row r="81" ht="16" customHeight="1">
      <c r="A81" s="6">
        <f>"Client money received at "&amp;$C$38&amp;" ("&amp;$C$36&amp;")"</f>
        <v/>
      </c>
      <c r="B81" s="6" t="inlineStr">
        <is>
          <t>out</t>
        </is>
      </c>
      <c r="C81" s="24">
        <f>$C$35</f>
        <v/>
      </c>
      <c r="D81" s="17" t="inlineStr">
        <is>
          <t>client's money · the amount itself</t>
        </is>
      </c>
      <c r="E81" s="17" t="inlineStr">
        <is>
          <t>conversion — currency sent</t>
        </is>
      </c>
    </row>
    <row r="82" ht="16" customHeight="1">
      <c r="A82" s="6">
        <f>"Client money ready to pay out at "&amp;$C$38&amp;" ("&amp;$C$37&amp;")"</f>
        <v/>
      </c>
      <c r="B82" s="6" t="inlineStr">
        <is>
          <t>in</t>
        </is>
      </c>
      <c r="C82" s="24">
        <f>$C$62</f>
        <v/>
      </c>
      <c r="D82" s="17" t="inlineStr">
        <is>
          <t>client's money · the amount itself (cents included)</t>
        </is>
      </c>
      <c r="E82" s="17" t="inlineStr">
        <is>
          <t>conversion — currency paid out</t>
        </is>
      </c>
    </row>
    <row r="83" ht="30" customHeight="1">
      <c r="A83" s="6">
        <f>"NPL's earnings kept at "&amp;$C$38&amp;" ("&amp;$C$37&amp;")"</f>
        <v/>
      </c>
      <c r="B83" s="6" t="inlineStr">
        <is>
          <t>in</t>
        </is>
      </c>
      <c r="C83" s="24">
        <f>IF(OR($C$52="paid back monthly",$C$52="held by the client, paid monthly"),0,$C$65)</f>
        <v/>
      </c>
      <c r="D83" s="17" t="inlineStr">
        <is>
          <t>NPL's money · earnings</t>
        </is>
      </c>
      <c r="E83" s="17" t="inlineStr">
        <is>
          <t>conversion — NPL's share left with the partner (or in NPL's own wallet)</t>
        </is>
      </c>
    </row>
    <row r="84" ht="30" customHeight="1">
      <c r="A84" s="6">
        <f>"Owed to NPL by the client ("&amp;$C$37&amp;")"</f>
        <v/>
      </c>
      <c r="B84" s="6" t="inlineStr">
        <is>
          <t>in</t>
        </is>
      </c>
      <c r="C84" s="24">
        <f>IF($C$52="held by the client, paid monthly",$C$65,0)</f>
        <v/>
      </c>
      <c r="D84" s="17" t="inlineStr">
        <is>
          <t>NPL's money · earnings</t>
        </is>
      </c>
      <c r="E84" s="17" t="inlineStr">
        <is>
          <t>conversion — the converted money went to the client's own account; NPL's share is owed by the client</t>
        </is>
      </c>
    </row>
    <row r="85" ht="16" customHeight="1">
      <c r="A85" s="6">
        <f>"Rebate owed to NPL by "&amp;$C$38&amp;" ("&amp;$C$37&amp;")"</f>
        <v/>
      </c>
      <c r="B85" s="6" t="inlineStr">
        <is>
          <t>in</t>
        </is>
      </c>
      <c r="C85" s="24">
        <f>$C$71</f>
        <v/>
      </c>
      <c r="D85" s="17" t="inlineStr">
        <is>
          <t>NPL's money · rebate (kept apart from earnings)</t>
        </is>
      </c>
      <c r="E85" s="17" t="inlineStr">
        <is>
          <t>conversion — the partner's monthly rebate</t>
        </is>
      </c>
    </row>
    <row r="86" ht="16" customHeight="1">
      <c r="A86" s="6">
        <f>"Owed to the client's receivers ("&amp;$C$37&amp;")"</f>
        <v/>
      </c>
      <c r="B86" s="6" t="inlineStr">
        <is>
          <t>out</t>
        </is>
      </c>
      <c r="C86" s="24">
        <f>$C$62</f>
        <v/>
      </c>
      <c r="D86" s="17" t="inlineStr">
        <is>
          <t>client's money · the amount itself</t>
        </is>
      </c>
      <c r="E86" s="17" t="inlineStr">
        <is>
          <t>conversion — currency paid out</t>
        </is>
      </c>
    </row>
    <row r="87" ht="16" customHeight="1">
      <c r="A87" s="6">
        <f>"NPL's earnings ("&amp;$C$37&amp;")"</f>
        <v/>
      </c>
      <c r="B87" s="6" t="inlineStr">
        <is>
          <t>out</t>
        </is>
      </c>
      <c r="C87" s="24">
        <f>$C$65</f>
        <v/>
      </c>
      <c r="D87" s="17" t="inlineStr">
        <is>
          <t>NPL's money · earnings</t>
        </is>
      </c>
      <c r="E87" s="17" t="inlineStr">
        <is>
          <t>margin recognised</t>
        </is>
      </c>
    </row>
    <row r="88" ht="16" customHeight="1">
      <c r="A88" s="6">
        <f>"NPL's rebate income ("&amp;$C$37&amp;")"</f>
        <v/>
      </c>
      <c r="B88" s="6" t="inlineStr">
        <is>
          <t>out</t>
        </is>
      </c>
      <c r="C88" s="24">
        <f>$C$71</f>
        <v/>
      </c>
      <c r="D88" s="17" t="inlineStr">
        <is>
          <t>NPL's money · rebate</t>
        </is>
      </c>
      <c r="E88" s="17" t="inlineStr">
        <is>
          <t>rebate expected — reported separately from earnings</t>
        </is>
      </c>
    </row>
    <row r="89" ht="16" customHeight="1">
      <c r="A89" s="6">
        <f>"Client money in transit from "&amp;$C$38&amp;" ("&amp;$C$37&amp;")"</f>
        <v/>
      </c>
      <c r="B89" s="6" t="inlineStr">
        <is>
          <t>in</t>
        </is>
      </c>
      <c r="C89" s="24">
        <f>$C$68</f>
        <v/>
      </c>
      <c r="D89" s="17" t="inlineStr">
        <is>
          <t>client's money · the amount itself</t>
        </is>
      </c>
      <c r="E89" s="17" t="inlineStr">
        <is>
          <t>payout released (rounded as agreed)</t>
        </is>
      </c>
    </row>
    <row r="90" ht="16" customHeight="1">
      <c r="A90" s="6">
        <f>"Client money ready to pay out at "&amp;$C$38&amp;" ("&amp;$C$37&amp;")"</f>
        <v/>
      </c>
      <c r="B90" s="6" t="inlineStr">
        <is>
          <t>out</t>
        </is>
      </c>
      <c r="C90" s="24">
        <f>$C$68</f>
        <v/>
      </c>
      <c r="D90" s="17" t="inlineStr">
        <is>
          <t>client's money · the amount itself</t>
        </is>
      </c>
      <c r="E90" s="17" t="inlineStr">
        <is>
          <t>payout released</t>
        </is>
      </c>
    </row>
    <row r="91" ht="16" customHeight="1">
      <c r="A91" s="6">
        <f>"Owed to the client's receivers ("&amp;$C$37&amp;")"</f>
        <v/>
      </c>
      <c r="B91" s="6" t="inlineStr">
        <is>
          <t>in</t>
        </is>
      </c>
      <c r="C91" s="24">
        <f>$C$68</f>
        <v/>
      </c>
      <c r="D91" s="17" t="inlineStr">
        <is>
          <t>client's money · the amount itself</t>
        </is>
      </c>
      <c r="E91" s="17" t="inlineStr">
        <is>
          <t>receiver confirms in full</t>
        </is>
      </c>
    </row>
    <row r="92" ht="16" customHeight="1">
      <c r="A92" s="6">
        <f>"Client money in transit from "&amp;$C$38&amp;" ("&amp;$C$37&amp;")"</f>
        <v/>
      </c>
      <c r="B92" s="6" t="inlineStr">
        <is>
          <t>out</t>
        </is>
      </c>
      <c r="C92" s="24">
        <f>$C$68</f>
        <v/>
      </c>
      <c r="D92" s="17" t="inlineStr">
        <is>
          <t>client's money · the amount itself</t>
        </is>
      </c>
      <c r="E92" s="17" t="inlineStr">
        <is>
          <t>receiver confirms in full</t>
        </is>
      </c>
    </row>
    <row r="93" ht="16" customHeight="1">
      <c r="A93" s="6">
        <f>"NPL's earnings ("&amp;$C$37&amp;")"</f>
        <v/>
      </c>
      <c r="B93" s="6" t="inlineStr">
        <is>
          <t>in</t>
        </is>
      </c>
      <c r="C93" s="24">
        <f>$C$72</f>
        <v/>
      </c>
      <c r="D93" s="17" t="inlineStr">
        <is>
          <t>NPL's money · share paid to someone else</t>
        </is>
      </c>
      <c r="E93" s="17" t="inlineStr">
        <is>
          <t>share accrued (if any)</t>
        </is>
      </c>
    </row>
    <row r="94" ht="16" customHeight="1">
      <c r="A94" s="6">
        <f>"Owed to the other party ("&amp;$C$37&amp;")"</f>
        <v/>
      </c>
      <c r="B94" s="6" t="inlineStr">
        <is>
          <t>out</t>
        </is>
      </c>
      <c r="C94" s="24">
        <f>$C$72</f>
        <v/>
      </c>
      <c r="D94" s="17" t="inlineStr">
        <is>
          <t>NPL's money · share paid to someone else</t>
        </is>
      </c>
      <c r="E94" s="17" t="inlineStr">
        <is>
          <t>share accrued</t>
        </is>
      </c>
    </row>
    <row r="95" ht="30" customHeight="1">
      <c r="A95" s="6">
        <f>"Owed to the other party ("&amp;$C$37&amp;")"</f>
        <v/>
      </c>
      <c r="B95" s="6" t="inlineStr">
        <is>
          <t>in</t>
        </is>
      </c>
      <c r="C95" s="24">
        <f>IF($C$52="held by the client, paid monthly",$C$72,0)</f>
        <v/>
      </c>
      <c r="D95" s="17" t="inlineStr">
        <is>
          <t>NPL's money · share</t>
        </is>
      </c>
      <c r="E95" s="17" t="inlineStr">
        <is>
          <t>netted: the client keeps its share out of the money in its account</t>
        </is>
      </c>
    </row>
    <row r="96" ht="16" customHeight="1">
      <c r="A96" s="6">
        <f>"Owed to NPL by the client ("&amp;$C$37&amp;")"</f>
        <v/>
      </c>
      <c r="B96" s="6" t="inlineStr">
        <is>
          <t>out</t>
        </is>
      </c>
      <c r="C96" s="24">
        <f>IF($C$52="held by the client, paid monthly",$C$72,0)</f>
        <v/>
      </c>
      <c r="D96" s="17" t="inlineStr">
        <is>
          <t>NPL's money · earnings</t>
        </is>
      </c>
      <c r="E96" s="17" t="inlineStr">
        <is>
          <t>netted: what the client pays NPL monthly is the rest</t>
        </is>
      </c>
    </row>
    <row r="97" ht="30" customHeight="1">
      <c r="A97" s="26" t="inlineStr">
        <is>
          <t>Check: in = out in the currency paid out</t>
        </is>
      </c>
      <c r="C97" s="27">
        <f>ROUND(SUMIF($B$82:$B$96,"in",$C$82:$C$96)-SUMIF($B$82:$B$96,"out",$C$82:$C$96),6)</f>
        <v/>
      </c>
      <c r="E97" s="17" t="inlineStr">
        <is>
          <t>money never appears or disappears: every entry moves it from one place to another</t>
        </is>
      </c>
    </row>
    <row r="99">
      <c r="A99" s="15" t="inlineStr">
        <is>
          <t>E · Compare with your sheet</t>
        </is>
      </c>
    </row>
    <row r="100">
      <c r="A100" s="16" t="inlineStr">
        <is>
          <t>Figure in your sheet</t>
        </is>
      </c>
      <c r="B100" s="16" t="inlineStr">
        <is>
          <t>Your value</t>
        </is>
      </c>
      <c r="C100" s="16" t="inlineStr">
        <is>
          <t>Worked out here</t>
        </is>
      </c>
      <c r="D100" s="16" t="inlineStr">
        <is>
          <t>Difference</t>
        </is>
      </c>
      <c r="E100" s="16" t="inlineStr">
        <is>
          <t>Comment</t>
        </is>
      </c>
    </row>
    <row r="101" ht="16" customHeight="1">
      <c r="A101" s="3" t="inlineStr">
        <is>
          <t>USDT to the client's wallet</t>
        </is>
      </c>
      <c r="B101" s="18" t="n">
        <v>69412</v>
      </c>
      <c r="C101" s="24">
        <f>$C$60</f>
        <v/>
      </c>
      <c r="D101" s="27">
        <f>ROUND(C101-B101,2)</f>
        <v/>
      </c>
      <c r="E101" s="17" t="inlineStr">
        <is>
          <t>sheet row 20: GBP 51,000 ÷ 0.72739556 × 0.99</t>
        </is>
      </c>
    </row>
    <row r="103">
      <c r="A103" s="15" t="inlineStr">
        <is>
          <t>F · Please confirm</t>
        </is>
      </c>
    </row>
    <row r="104" ht="32" customHeight="1">
      <c r="A104" s="14" t="inlineStr">
        <is>
          <t>•</t>
        </is>
      </c>
      <c r="B104" s="28" t="inlineStr">
        <is>
          <t>Fixed at 1 % via Jeton (your answer). Can Ali receive BF withdrawals, and at what fee, or is Jeton the only route?</t>
        </is>
      </c>
    </row>
  </sheetData>
  <mergeCells count="1">
    <mergeCell ref="B104:E10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10 Cash collection — Cash collection</t>
        </is>
      </c>
    </row>
    <row r="2">
      <c r="A2" s="13" t="inlineStr">
        <is>
          <t>Example taken from your sheet, rows</t>
        </is>
      </c>
      <c r="B2" s="14" t="inlineStr">
        <is>
          <t>45, 28</t>
        </is>
      </c>
    </row>
    <row r="4">
      <c r="A4" s="15" t="inlineStr">
        <is>
          <t>A · The set-up for this kind of deal</t>
        </is>
      </c>
    </row>
    <row r="5">
      <c r="A5" s="16" t="inlineStr">
        <is>
          <t>Item</t>
        </is>
      </c>
      <c r="B5" s="16" t="inlineStr">
        <is>
          <t>Value</t>
        </is>
      </c>
      <c r="C5" s="16" t="inlineStr">
        <is>
          <t>Where it comes from</t>
        </is>
      </c>
      <c r="D5" s="16" t="inlineStr">
        <is>
          <t>Note</t>
        </is>
      </c>
    </row>
    <row r="6" ht="16" customHeight="1">
      <c r="A6" s="3" t="inlineStr">
        <is>
          <t>Client</t>
        </is>
      </c>
      <c r="B6" s="10" t="inlineStr">
        <is>
          <t>Ad Hoc INR Cash</t>
        </is>
      </c>
      <c r="C6" s="3" t="inlineStr">
        <is>
          <t>your sheet</t>
        </is>
      </c>
      <c r="D6" s="17" t="inlineStr">
        <is>
          <t>One set-up per client.</t>
        </is>
      </c>
    </row>
    <row r="7" ht="42" customHeight="1">
      <c r="A7" s="3" t="inlineStr">
        <is>
          <t>Who sends the money</t>
        </is>
      </c>
      <c r="B7" s="10" t="inlineStr">
        <is>
          <t>Jonas</t>
        </is>
      </c>
      <c r="C7" s="3" t="inlineStr">
        <is>
          <t>your answer (8 Oct)</t>
        </is>
      </c>
      <c r="D7" s="17" t="inlineStr">
        <is>
          <t>The sender(s). Each must be on the list of who may pay this client's receivers.</t>
        </is>
      </c>
    </row>
    <row r="8" ht="42" customHeight="1">
      <c r="A8" s="3" t="inlineStr">
        <is>
          <t>Who gets paid</t>
        </is>
      </c>
      <c r="B8" s="10" t="inlineStr">
        <is>
          <t>the sender's own USDT wallet</t>
        </is>
      </c>
      <c r="C8" s="3" t="inlineStr">
        <is>
          <t>your answer (8 Oct)</t>
        </is>
      </c>
      <c r="D8" s="17" t="inlineStr">
        <is>
          <t>The receiver, or the vendor. A refund goes back to the sender's own account.</t>
        </is>
      </c>
    </row>
    <row r="9" ht="54" customHeight="1">
      <c r="A9" s="3" t="inlineStr">
        <is>
          <t>Their account</t>
        </is>
      </c>
      <c r="B9" s="10" t="inlineStr">
        <is>
          <t>USDT wallet</t>
        </is>
      </c>
      <c r="C9" s="3" t="inlineStr">
        <is>
          <t>your answer (8 Oct)</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cash (INR) — by token, through Ali's local agent</t>
        </is>
      </c>
      <c r="C10" s="3" t="inlineStr">
        <is>
          <t>your answer (8 Oct)</t>
        </is>
      </c>
      <c r="D10" s="17" t="inlineStr">
        <is>
          <t>crypto, bank transfer, cash, or a one-time local bank deposit.</t>
        </is>
      </c>
    </row>
    <row r="11" ht="54" customHeight="1">
      <c r="A11" s="3" t="inlineStr">
        <is>
          <t>Where it comes in</t>
        </is>
      </c>
      <c r="B11" s="10" t="inlineStr">
        <is>
          <t>none (cash) — token and city on the deal</t>
        </is>
      </c>
      <c r="C11" s="3" t="inlineStr">
        <is>
          <t>your answer (8 Oct)</t>
        </is>
      </c>
      <c r="D11" s="17" t="inlineStr">
        <is>
          <t>Which partner company's wallet or bank account the sender pays into. It must be live, belong to that partner company, and be a wallet for crypto or a bank account for bank transfers.</t>
        </is>
      </c>
    </row>
    <row r="12" ht="16" customHeight="1">
      <c r="A12" s="3" t="inlineStr">
        <is>
          <t>Partner / agent</t>
        </is>
      </c>
      <c r="B12" s="10" t="inlineStr">
        <is>
          <t>Ali</t>
        </is>
      </c>
      <c r="C12" s="3" t="inlineStr">
        <is>
          <t>your sheet</t>
        </is>
      </c>
      <c r="D12" s="17" t="inlineStr"/>
    </row>
    <row r="13" ht="54" customHeight="1">
      <c r="A13" s="3" t="inlineStr">
        <is>
          <t>How the partner prices</t>
        </is>
      </c>
      <c r="B13" s="10" t="inlineStr">
        <is>
          <t>fee inside its rate</t>
        </is>
      </c>
      <c r="C13" s="3" t="inlineStr">
        <is>
          <t>your sheet</t>
        </is>
      </c>
      <c r="D13" s="17" t="inlineStr">
        <is>
          <t>'fee on top of market': the partner converts at market and states its fee separately. 'fee inside its rate': the partner's margin is built into the rate it gives.</t>
        </is>
      </c>
    </row>
    <row r="14" ht="16" customHeight="1">
      <c r="A14" s="3" t="inlineStr">
        <is>
          <t>Exchange pair</t>
        </is>
      </c>
      <c r="B14" s="10" t="inlineStr">
        <is>
          <t>INR → USD (also SGD, USDT)</t>
        </is>
      </c>
      <c r="C14" s="3" t="inlineStr">
        <is>
          <t>your sheet</t>
        </is>
      </c>
      <c r="D14" s="17" t="inlineStr">
        <is>
          <t>currency sent → currency paid out.</t>
        </is>
      </c>
    </row>
    <row r="15" ht="54" customHeight="1">
      <c r="A15" s="3" t="inlineStr">
        <is>
          <t>Fee taken how</t>
        </is>
      </c>
      <c r="B15" s="10" t="inlineStr">
        <is>
          <t>added to what the sender pays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agent rate</t>
        </is>
      </c>
      <c r="C16" s="3" t="inlineStr">
        <is>
          <t>your sheet</t>
        </is>
      </c>
      <c r="D16" s="17" t="inlineStr">
        <is>
          <t>the market rate, or the agent's rate.</t>
        </is>
      </c>
    </row>
    <row r="17" ht="42" customHeight="1">
      <c r="A17" s="3" t="inlineStr">
        <is>
          <t>Fee is</t>
        </is>
      </c>
      <c r="B17" s="10" t="inlineStr">
        <is>
          <t>fixed</t>
        </is>
      </c>
      <c r="C17" s="3" t="inlineStr">
        <is>
          <t>your sheet</t>
        </is>
      </c>
      <c r="D17" s="17" t="inlineStr">
        <is>
          <t>fixed, or decided per deal between a lowest and a highest markup.</t>
        </is>
      </c>
    </row>
    <row r="18" ht="16" customHeight="1">
      <c r="A18" s="3" t="inlineStr">
        <is>
          <t>Total fee %</t>
        </is>
      </c>
      <c r="B18" s="32" t="n">
        <v>0.07000000000000001</v>
      </c>
      <c r="C18" s="3" t="inlineStr">
        <is>
          <t>please choose (see F)</t>
        </is>
      </c>
      <c r="D18" s="17" t="inlineStr">
        <is>
          <t>sender's part + receiver's part.</t>
        </is>
      </c>
    </row>
    <row r="19" ht="16" customHeight="1">
      <c r="A19" s="3" t="inlineStr">
        <is>
          <t>Sender pays %</t>
        </is>
      </c>
      <c r="B19" s="32" t="n">
        <v>0.07000000000000001</v>
      </c>
      <c r="C19" s="3" t="inlineStr">
        <is>
          <t>please choose (see F)</t>
        </is>
      </c>
      <c r="D19" s="17" t="inlineStr"/>
    </row>
    <row r="20" ht="16" customHeight="1">
      <c r="A20" s="3" t="inlineStr">
        <is>
          <t>Receiver pays %</t>
        </is>
      </c>
      <c r="B20" s="12" t="n">
        <v>0</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1" t="inlineStr"/>
      <c r="C23" s="3" t="inlineStr">
        <is>
          <t>please fill in</t>
        </is>
      </c>
      <c r="D23" s="17" t="inlineStr">
        <is>
          <t>A quote that earns less needs Finance's approval.</t>
        </is>
      </c>
    </row>
    <row r="24" ht="42" customHeight="1">
      <c r="A24" s="3" t="inlineStr">
        <is>
          <t>Fee shown to the customer %</t>
        </is>
      </c>
      <c r="B24" s="11" t="inlineStr"/>
      <c r="C24" s="3" t="inlineStr">
        <is>
          <t>not needed here</t>
        </is>
      </c>
      <c r="D24" s="17" t="inlineStr">
        <is>
          <t>Only when the customer-facing calculation shows a different fee from the true total. Needs a system change.</t>
        </is>
      </c>
    </row>
    <row r="25" ht="54" customHeight="1">
      <c r="A25" s="3" t="inlineStr">
        <is>
          <t>How NPL's share reaches NPL</t>
        </is>
      </c>
      <c r="B25" s="10" t="inlineStr">
        <is>
          <t>kept for NPL at the partner</t>
        </is>
      </c>
      <c r="C25" s="3" t="inlineStr">
        <is>
          <t>your sheet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1" t="inlineStr"/>
      <c r="C26" s="3" t="inlineStr">
        <is>
          <t>not needed here</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cash rounded to the nearest 1,000</t>
        </is>
      </c>
      <c r="C28" s="3" t="inlineStr">
        <is>
          <t>your sheet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USDT</t>
        </is>
      </c>
      <c r="C29" s="3" t="inlineStr">
        <is>
          <t>your answer (8 Oct)</t>
        </is>
      </c>
      <c r="D29" s="17" t="inlineStr">
        <is>
          <t>and the bank fee you expect on it</t>
        </is>
      </c>
    </row>
    <row r="30" ht="42" customHeight="1">
      <c r="A30" s="3" t="inlineStr">
        <is>
          <t>Name shown on the transfer</t>
        </is>
      </c>
      <c r="B30" s="10" t="inlineStr">
        <is>
          <t>not applicable (USDT)</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2" ht="54" customHeight="1">
      <c r="A32" s="3" t="inlineStr">
        <is>
          <t>Where the cash is handed over (city)</t>
        </is>
      </c>
      <c r="B32" s="11" t="inlineStr"/>
      <c r="C32" s="3" t="inlineStr">
        <is>
          <t>please fill in</t>
        </is>
      </c>
      <c r="D32" s="17" t="inlineStr">
        <is>
          <t>Your Payment methods tab: Delhi and Mumbai, or Bangkok and Singapore, carry different agents and different rates. Needs a system change.</t>
        </is>
      </c>
    </row>
    <row r="34">
      <c r="A34" s="15" t="inlineStr">
        <is>
          <t>B · Worked calculation — the deal (change any value)</t>
        </is>
      </c>
    </row>
    <row r="35">
      <c r="A35" s="16" t="inlineStr">
        <is>
          <t>Item</t>
        </is>
      </c>
      <c r="B35" s="16" t="inlineStr"/>
      <c r="C35" s="16" t="inlineStr">
        <is>
          <t>Value</t>
        </is>
      </c>
      <c r="D35" s="16" t="inlineStr"/>
      <c r="E35" s="16" t="inlineStr">
        <is>
          <t>Meaning</t>
        </is>
      </c>
    </row>
    <row r="36" ht="16" customHeight="1">
      <c r="A36" s="3" t="inlineStr">
        <is>
          <t>Amount sent</t>
        </is>
      </c>
      <c r="C36" s="18" t="n">
        <v>8500000</v>
      </c>
      <c r="E36" s="17" t="inlineStr">
        <is>
          <t>what the sender pays in, in the currency sent</t>
        </is>
      </c>
    </row>
    <row r="37" ht="16" customHeight="1">
      <c r="A37" s="3" t="inlineStr">
        <is>
          <t>Currency sent</t>
        </is>
      </c>
      <c r="C37" s="8" t="inlineStr">
        <is>
          <t>INR</t>
        </is>
      </c>
      <c r="E37" s="17" t="inlineStr"/>
    </row>
    <row r="38" ht="16" customHeight="1">
      <c r="A38" s="3" t="inlineStr">
        <is>
          <t>Currency paid out</t>
        </is>
      </c>
      <c r="C38" s="8" t="inlineStr">
        <is>
          <t>USD</t>
        </is>
      </c>
      <c r="E38" s="17" t="inlineStr"/>
    </row>
    <row r="39" ht="16" customHeight="1">
      <c r="A39" s="3" t="inlineStr">
        <is>
          <t>Partner (short name)</t>
        </is>
      </c>
      <c r="C39" s="8" t="inlineStr">
        <is>
          <t>ALI</t>
        </is>
      </c>
      <c r="E39" s="17" t="inlineStr">
        <is>
          <t>used in the bookkeeping entries below</t>
        </is>
      </c>
    </row>
    <row r="40" ht="16" customHeight="1">
      <c r="A40" s="3" t="inlineStr">
        <is>
          <t>Market rate</t>
        </is>
      </c>
      <c r="C40" s="20" t="inlineStr"/>
      <c r="E40" s="17" t="inlineStr">
        <is>
          <t>units received per 1 unit sent, at the time of the quote</t>
        </is>
      </c>
    </row>
    <row r="41" ht="30" customHeight="1">
      <c r="A41" s="3" t="inlineStr">
        <is>
          <t>Agent rate (partners whose fee is inside the rate)</t>
        </is>
      </c>
      <c r="C41" s="19" t="n">
        <v>0.01257400000026984</v>
      </c>
      <c r="E41" s="17" t="inlineStr">
        <is>
          <t>units received per 1 unit sent, as the partner offers it; leave blank for partners that state their fee separately. If the partner quotes the other way round (e.g. 1.1738), enter 1 ÷ that</t>
        </is>
      </c>
    </row>
    <row r="42" ht="30" customHeight="1">
      <c r="A42" s="3" t="inlineStr">
        <is>
          <t>Partner's fee on top of market</t>
        </is>
      </c>
      <c r="C42" s="21" t="n">
        <v>0</v>
      </c>
      <c r="E42" s="17" t="inlineStr">
        <is>
          <t>only for partners that state their fee separately; 0 otherwise</t>
        </is>
      </c>
    </row>
    <row r="43" ht="30" customHeight="1">
      <c r="A43" s="3" t="inlineStr">
        <is>
          <t>Total fee</t>
        </is>
      </c>
      <c r="C43" s="33" t="n">
        <v>0.07000000000000001</v>
      </c>
      <c r="E43" s="17" t="inlineStr">
        <is>
          <t>you entered 7 % — your sheet's row 45 says 0.5 %; see 'Please confirm'</t>
        </is>
      </c>
    </row>
    <row r="44" ht="16" customHeight="1">
      <c r="A44" s="3" t="inlineStr">
        <is>
          <t>Sender pays</t>
        </is>
      </c>
      <c r="C44" s="33" t="n">
        <v>0.07000000000000001</v>
      </c>
      <c r="E44" s="17" t="inlineStr">
        <is>
          <t>same choice as the total fee</t>
        </is>
      </c>
    </row>
    <row r="45" ht="16" customHeight="1">
      <c r="A45" s="3" t="inlineStr">
        <is>
          <t>Receiver pays</t>
        </is>
      </c>
      <c r="C45" s="21" t="n">
        <v>0</v>
      </c>
      <c r="E45" s="17" t="inlineStr"/>
    </row>
    <row r="46" ht="16" customHeight="1">
      <c r="A46" s="3" t="inlineStr">
        <is>
          <t>Fee applied to</t>
        </is>
      </c>
      <c r="C46" s="8" t="inlineStr">
        <is>
          <t>agent rate</t>
        </is>
      </c>
      <c r="E46" s="17" t="inlineStr">
        <is>
          <t>market rate / agent rate</t>
        </is>
      </c>
    </row>
    <row r="47" ht="30" customHeight="1">
      <c r="A47" s="3" t="inlineStr">
        <is>
          <t>How the partner prices</t>
        </is>
      </c>
      <c r="C47" s="8" t="inlineStr">
        <is>
          <t>fee inside its rate</t>
        </is>
      </c>
      <c r="E47" s="17" t="inlineStr">
        <is>
          <t>fee on top of market / fee inside its rate / NPL's own wallet</t>
        </is>
      </c>
    </row>
    <row r="48" ht="16" customHeight="1">
      <c r="A48" s="3" t="inlineStr">
        <is>
          <t>Fee taken how</t>
        </is>
      </c>
      <c r="C48" s="8" t="inlineStr">
        <is>
          <t>added to what the sender pays</t>
        </is>
      </c>
      <c r="E48" s="17" t="inlineStr">
        <is>
          <t>off the rate the sender gets / added to what the sender pays</t>
        </is>
      </c>
    </row>
    <row r="49" ht="16" customHeight="1">
      <c r="A49" s="3" t="inlineStr">
        <is>
          <t>Rounding</t>
        </is>
      </c>
      <c r="C49" s="8" t="inlineStr">
        <is>
          <t>drop the cents</t>
        </is>
      </c>
      <c r="E49" s="17" t="inlineStr">
        <is>
          <t>drop the cents / nearest unit / round up / nearest 1,000</t>
        </is>
      </c>
    </row>
    <row r="50" ht="16" customHeight="1">
      <c r="A50" s="3" t="inlineStr">
        <is>
          <t>Rounding unit</t>
        </is>
      </c>
      <c r="C50" s="18" t="n">
        <v>1</v>
      </c>
      <c r="E50" s="17" t="inlineStr">
        <is>
          <t>1 for whole units; 1000 for the nearest thousand</t>
        </is>
      </c>
    </row>
    <row r="51" ht="16" customHeight="1">
      <c r="A51" s="3" t="inlineStr">
        <is>
          <t>Minimum NPL margin</t>
        </is>
      </c>
      <c r="C51" s="21" t="n">
        <v>0</v>
      </c>
      <c r="E51" s="17" t="inlineStr"/>
    </row>
    <row r="52" ht="16" customHeight="1">
      <c r="A52" s="3" t="inlineStr">
        <is>
          <t>Fee shown to the customer (blank = the true fee)</t>
        </is>
      </c>
      <c r="C52" s="22" t="inlineStr"/>
      <c r="E52" s="17" t="inlineStr">
        <is>
          <t>needs a system change when it differs</t>
        </is>
      </c>
    </row>
    <row r="53" ht="30" customHeight="1">
      <c r="A53" s="3" t="inlineStr">
        <is>
          <t>How NPL's share reaches NPL</t>
        </is>
      </c>
      <c r="C53" s="8" t="inlineStr">
        <is>
          <t>kept for NPL at the partner</t>
        </is>
      </c>
      <c r="E53" s="17" t="inlineStr">
        <is>
          <t>kept for NPL at the partner / paid back monthly / held by the client, paid monthly / NPL's own wallet</t>
        </is>
      </c>
    </row>
    <row r="54" ht="16" customHeight="1">
      <c r="A54" s="3" t="inlineStr">
        <is>
          <t>% of the partner's fee paid back (rebate)</t>
        </is>
      </c>
      <c r="C54" s="21" t="n">
        <v>0</v>
      </c>
      <c r="E54" s="17" t="inlineStr">
        <is>
          <t>NPL's alone; 0 where there is none</t>
        </is>
      </c>
    </row>
    <row r="55" ht="30" customHeight="1">
      <c r="A55" s="3" t="inlineStr">
        <is>
          <t>Share paid to someone else %</t>
        </is>
      </c>
      <c r="C55" s="21" t="n">
        <v>0</v>
      </c>
      <c r="E55" s="17" t="inlineStr">
        <is>
          <t>of the amount × market; an introducer, or the customer who provides the sub-account</t>
        </is>
      </c>
    </row>
    <row r="57">
      <c r="A57" s="15" t="inlineStr">
        <is>
          <t>C · Worked calculation — what the system works out</t>
        </is>
      </c>
    </row>
    <row r="58">
      <c r="A58" s="16" t="inlineStr">
        <is>
          <t>Figure</t>
        </is>
      </c>
      <c r="B58" s="16" t="inlineStr">
        <is>
          <t>How it is worked out</t>
        </is>
      </c>
      <c r="C58" s="16" t="inlineStr">
        <is>
          <t>Value</t>
        </is>
      </c>
      <c r="E58" s="16" t="inlineStr">
        <is>
          <t>Note</t>
        </is>
      </c>
    </row>
    <row r="59">
      <c r="A59" s="3" t="inlineStr">
        <is>
          <t>Rate the fee is applied to</t>
        </is>
      </c>
      <c r="B59" s="17" t="inlineStr">
        <is>
          <t>the market rate, or the agent rate</t>
        </is>
      </c>
      <c r="C59" s="23">
        <f>IF($C$46="market rate",$C$40,$C$41)</f>
        <v/>
      </c>
      <c r="E59" s="17" t="inlineStr"/>
    </row>
    <row r="60">
      <c r="A60" s="3" t="inlineStr">
        <is>
          <t>Rate quoted to the sender</t>
        </is>
      </c>
      <c r="B60" s="17" t="inlineStr">
        <is>
          <t>that rate less the sender's fee — or, when the fee is added to what the sender pays, that rate ÷ (1 + fee)</t>
        </is>
      </c>
      <c r="C60" s="23">
        <f>IF($C$48="added to what the sender pays",$C$59/(1+$C$44),$C$59*(1-$C$44))</f>
        <v/>
      </c>
      <c r="E60" s="17" t="inlineStr"/>
    </row>
    <row r="61">
      <c r="A61" s="3" t="inlineStr">
        <is>
          <t>Amount the sender is promised</t>
        </is>
      </c>
      <c r="B61" s="17" t="inlineStr">
        <is>
          <t>amount sent × rate quoted to the sender</t>
        </is>
      </c>
      <c r="C61" s="24">
        <f>$C$36*$C$60</f>
        <v/>
      </c>
      <c r="E61" s="17" t="inlineStr">
        <is>
          <t>before any receiver-side fee</t>
        </is>
      </c>
    </row>
    <row r="62">
      <c r="A62" s="3" t="inlineStr">
        <is>
          <t>Receiver-side fee</t>
        </is>
      </c>
      <c r="B62" s="17" t="inlineStr">
        <is>
          <t>amount promised × receiver's fee</t>
        </is>
      </c>
      <c r="C62" s="24">
        <f>$C$61*$C$45</f>
        <v/>
      </c>
      <c r="E62" s="17" t="inlineStr">
        <is>
          <t>taken from the client's balance when the money is converted</t>
        </is>
      </c>
    </row>
    <row r="63">
      <c r="A63" s="3" t="inlineStr">
        <is>
          <t>Amount the receiver is owed</t>
        </is>
      </c>
      <c r="B63" s="17" t="inlineStr">
        <is>
          <t>amount promised − receiver-side fee</t>
        </is>
      </c>
      <c r="C63" s="24">
        <f>$C$61-$C$62</f>
        <v/>
      </c>
      <c r="E63" s="17" t="inlineStr">
        <is>
          <t>what the client's balance must deliver</t>
        </is>
      </c>
    </row>
    <row r="64">
      <c r="A64" s="3" t="inlineStr">
        <is>
          <t>What the partner delivers</t>
        </is>
      </c>
      <c r="B64" s="17" t="inlineStr">
        <is>
          <t>amount × agent rate · or amount × market less the partner's fee · or amount × market when NPL converts itself</t>
        </is>
      </c>
      <c r="C64" s="24">
        <f>IF($C$47="NPL's own wallet",$C$36*$C$40,IF($C$47="fee on top of market",$C$36*$C$40*(1-$C$42),$C$36*$C$41))</f>
        <v/>
      </c>
      <c r="E64" s="17" t="inlineStr"/>
    </row>
    <row r="65">
      <c r="A65" s="3" t="inlineStr">
        <is>
          <t>Partner / agent cost</t>
        </is>
      </c>
      <c r="B65" s="17" t="inlineStr">
        <is>
          <t>amount × market − what the partner delivers (nil when NPL converts itself)</t>
        </is>
      </c>
      <c r="C65" s="24">
        <f>$C$36*$C$40-$C$64</f>
        <v/>
      </c>
      <c r="E65" s="17" t="inlineStr"/>
    </row>
    <row r="66">
      <c r="A66" s="3" t="inlineStr">
        <is>
          <t>NPL earns on this deal</t>
        </is>
      </c>
      <c r="B66" s="17" t="inlineStr">
        <is>
          <t>what the partner delivers − what the receiver is owed</t>
        </is>
      </c>
      <c r="C66" s="24">
        <f>$C$64-$C$63</f>
        <v/>
      </c>
      <c r="E66" s="17" t="inlineStr">
        <is>
          <t>locked in when the money is converted; the partner's rebate is NOT in this figure</t>
        </is>
      </c>
    </row>
    <row r="67">
      <c r="A67" s="3" t="inlineStr">
        <is>
          <t>NPL margin %</t>
        </is>
      </c>
      <c r="B67" s="17" t="inlineStr">
        <is>
          <t>NPL earns ÷ (amount × market)</t>
        </is>
      </c>
      <c r="C67" s="25">
        <f>IF($C$36*$C$40=0,0,$C$66/($C$36*$C$40))</f>
        <v/>
      </c>
      <c r="E67" s="17" t="inlineStr"/>
    </row>
    <row r="68">
      <c r="A68" s="3" t="inlineStr">
        <is>
          <t>Below the minimum margin?</t>
        </is>
      </c>
      <c r="B68" s="17" t="inlineStr">
        <is>
          <t>if so, the quote needs Finance approval</t>
        </is>
      </c>
      <c r="C68" s="6">
        <f>IF($C$67&lt;$C$51,"YES — Finance must approve","no")</f>
        <v/>
      </c>
      <c r="E68" s="17" t="inlineStr"/>
    </row>
    <row r="69">
      <c r="A69" s="3" t="inlineStr">
        <is>
          <t>Amount actually paid out</t>
        </is>
      </c>
      <c r="B69" s="17" t="inlineStr">
        <is>
          <t>amount owed, rounded as agreed</t>
        </is>
      </c>
      <c r="C69" s="24">
        <f>IF($C$49="round up",CEILING($C$63,$C$50),IF($C$49="nearest unit",MROUND($C$63,$C$50),IF($C$49="nearest 1,000",MROUND($C$63,$C$50),FLOOR($C$63,$C$50))))</f>
        <v/>
      </c>
      <c r="E69" s="17" t="inlineStr">
        <is>
          <t>only 'drop the cents' exists today; the other options need a system change (proposal F)</t>
        </is>
      </c>
    </row>
    <row r="70">
      <c r="A70" s="3" t="inlineStr">
        <is>
          <t>Cents left in the client's balance (negative = NPL's cost)</t>
        </is>
      </c>
      <c r="B70" s="17" t="inlineStr">
        <is>
          <t>amount owed − amount paid out</t>
        </is>
      </c>
      <c r="C70" s="24">
        <f>$C$63-$C$69</f>
        <v/>
      </c>
      <c r="E70" s="17" t="inlineStr"/>
    </row>
    <row r="71">
      <c r="A71" s="3" t="inlineStr">
        <is>
          <t>Rate printed on the customer's quote</t>
        </is>
      </c>
      <c r="B71" s="17" t="inlineStr">
        <is>
          <t>rate quoted to the sender ÷ (1 − fee shown) — the 'market rate' your customer-facing calculation prints</t>
        </is>
      </c>
      <c r="C71" s="23">
        <f>IF($C$52="",$C$59,$C$60/(1-$C$52))</f>
        <v/>
      </c>
      <c r="E71" s="17" t="inlineStr">
        <is>
          <t>needs a system change when it differs from the true rate (proposal C)</t>
        </is>
      </c>
    </row>
    <row r="72">
      <c r="A72" s="3" t="inlineStr">
        <is>
          <t>Rebate owed back to NPL by the partner</t>
        </is>
      </c>
      <c r="B72" s="17" t="inlineStr">
        <is>
          <t>partner's fee × % paid back — NPL's alone, never shared, tracked on its own</t>
        </is>
      </c>
      <c r="C72" s="24">
        <f>$C$65*$C$54</f>
        <v/>
      </c>
      <c r="E72" s="17" t="inlineStr">
        <is>
          <t>0 where the partner pays no rebate</t>
        </is>
      </c>
    </row>
    <row r="73">
      <c r="A73" s="3" t="inlineStr">
        <is>
          <t>Share owed to someone else</t>
        </is>
      </c>
      <c r="B73" s="17" t="inlineStr">
        <is>
          <t>amount × market × share % (the share is of NPL's earnings, not of the rebate)</t>
        </is>
      </c>
      <c r="C73" s="24">
        <f>$C$36*$C$40*$C$55</f>
        <v/>
      </c>
      <c r="E73" s="17" t="inlineStr">
        <is>
          <t>paid out of NPL's earnings</t>
        </is>
      </c>
    </row>
    <row r="74">
      <c r="A74" s="3" t="inlineStr">
        <is>
          <t>NPL keeps</t>
        </is>
      </c>
      <c r="B74" s="17" t="inlineStr">
        <is>
          <t>NPL earns − share owed + rebate</t>
        </is>
      </c>
      <c r="C74" s="24">
        <f>$C$66-$C$73+$C$72</f>
        <v/>
      </c>
      <c r="E74" s="17" t="inlineStr"/>
    </row>
    <row r="75">
      <c r="A75" s="3" t="inlineStr">
        <is>
          <t>Check: receiver + partner cost + NPL = amount × market</t>
        </is>
      </c>
      <c r="B75" s="17" t="inlineStr">
        <is>
          <t>must be zero</t>
        </is>
      </c>
      <c r="C75" s="24">
        <f>ROUND($C$63+$C$65+$C$66-$C$36*$C$40,6)</f>
        <v/>
      </c>
      <c r="E75" s="17" t="inlineStr">
        <is>
          <t>every unit sent is accounted for</t>
        </is>
      </c>
    </row>
    <row r="77">
      <c r="A77" s="15" t="inlineStr">
        <is>
          <t>D · Bookkeeping entries the system would write</t>
        </is>
      </c>
    </row>
    <row r="78">
      <c r="A78" s="16" t="inlineStr">
        <is>
          <t>Entry</t>
        </is>
      </c>
      <c r="B78" s="16" t="inlineStr">
        <is>
          <t>In / out</t>
        </is>
      </c>
      <c r="C78" s="16" t="inlineStr">
        <is>
          <t>Amount</t>
        </is>
      </c>
      <c r="D78" s="16" t="inlineStr">
        <is>
          <t>Whose money · what kind</t>
        </is>
      </c>
      <c r="E78" s="16" t="inlineStr">
        <is>
          <t>When</t>
        </is>
      </c>
    </row>
    <row r="79" ht="16" customHeight="1">
      <c r="A79" s="6">
        <f>"Client money received at "&amp;$C$39&amp;" ("&amp;$C$37&amp;")"</f>
        <v/>
      </c>
      <c r="B79" s="6" t="inlineStr">
        <is>
          <t>in</t>
        </is>
      </c>
      <c r="C79" s="24">
        <f>$C$36</f>
        <v/>
      </c>
      <c r="D79" s="17" t="inlineStr">
        <is>
          <t>client's money · the amount itself</t>
        </is>
      </c>
      <c r="E79" s="17" t="inlineStr">
        <is>
          <t>when the money arrives</t>
        </is>
      </c>
    </row>
    <row r="80" ht="16" customHeight="1">
      <c r="A80" s="6">
        <f>"Owed to the client's receivers ("&amp;$C$37&amp;")"</f>
        <v/>
      </c>
      <c r="B80" s="6" t="inlineStr">
        <is>
          <t>out</t>
        </is>
      </c>
      <c r="C80" s="24">
        <f>$C$36</f>
        <v/>
      </c>
      <c r="D80" s="17" t="inlineStr">
        <is>
          <t>client's money · the amount itself</t>
        </is>
      </c>
      <c r="E80" s="17" t="inlineStr">
        <is>
          <t>when the money arrives</t>
        </is>
      </c>
    </row>
    <row r="81" ht="16" customHeight="1">
      <c r="A81" s="6">
        <f>"Owed to the client's receivers ("&amp;$C$37&amp;")"</f>
        <v/>
      </c>
      <c r="B81" s="6" t="inlineStr">
        <is>
          <t>in</t>
        </is>
      </c>
      <c r="C81" s="24">
        <f>$C$36</f>
        <v/>
      </c>
      <c r="D81" s="17" t="inlineStr">
        <is>
          <t>client's money · the amount itself</t>
        </is>
      </c>
      <c r="E81" s="17" t="inlineStr">
        <is>
          <t>conversion — currency sent</t>
        </is>
      </c>
    </row>
    <row r="82" ht="16" customHeight="1">
      <c r="A82" s="6">
        <f>"Client money received at "&amp;$C$39&amp;" ("&amp;$C$37&amp;")"</f>
        <v/>
      </c>
      <c r="B82" s="6" t="inlineStr">
        <is>
          <t>out</t>
        </is>
      </c>
      <c r="C82" s="24">
        <f>$C$36</f>
        <v/>
      </c>
      <c r="D82" s="17" t="inlineStr">
        <is>
          <t>client's money · the amount itself</t>
        </is>
      </c>
      <c r="E82" s="17" t="inlineStr">
        <is>
          <t>conversion — currency sent</t>
        </is>
      </c>
    </row>
    <row r="83" ht="16" customHeight="1">
      <c r="A83" s="6">
        <f>"Client money ready to pay out at "&amp;$C$39&amp;" ("&amp;$C$38&amp;")"</f>
        <v/>
      </c>
      <c r="B83" s="6" t="inlineStr">
        <is>
          <t>in</t>
        </is>
      </c>
      <c r="C83" s="24">
        <f>$C$63</f>
        <v/>
      </c>
      <c r="D83" s="17" t="inlineStr">
        <is>
          <t>client's money · the amount itself (cents included)</t>
        </is>
      </c>
      <c r="E83" s="17" t="inlineStr">
        <is>
          <t>conversion — currency paid out</t>
        </is>
      </c>
    </row>
    <row r="84" ht="30" customHeight="1">
      <c r="A84" s="6">
        <f>"NPL's earnings kept at "&amp;$C$39&amp;" ("&amp;$C$38&amp;")"</f>
        <v/>
      </c>
      <c r="B84" s="6" t="inlineStr">
        <is>
          <t>in</t>
        </is>
      </c>
      <c r="C84" s="24">
        <f>IF(OR($C$53="paid back monthly",$C$53="held by the client, paid monthly"),0,$C$66)</f>
        <v/>
      </c>
      <c r="D84" s="17" t="inlineStr">
        <is>
          <t>NPL's money · earnings</t>
        </is>
      </c>
      <c r="E84" s="17" t="inlineStr">
        <is>
          <t>conversion — NPL's share left with the partner (or in NPL's own wallet)</t>
        </is>
      </c>
    </row>
    <row r="85" ht="30" customHeight="1">
      <c r="A85" s="6">
        <f>"Owed to NPL by the client ("&amp;$C$38&amp;")"</f>
        <v/>
      </c>
      <c r="B85" s="6" t="inlineStr">
        <is>
          <t>in</t>
        </is>
      </c>
      <c r="C85" s="24">
        <f>IF($C$53="held by the client, paid monthly",$C$66,0)</f>
        <v/>
      </c>
      <c r="D85" s="17" t="inlineStr">
        <is>
          <t>NPL's money · earnings</t>
        </is>
      </c>
      <c r="E85" s="17" t="inlineStr">
        <is>
          <t>conversion — the converted money went to the client's own account; NPL's share is owed by the client</t>
        </is>
      </c>
    </row>
    <row r="86" ht="16" customHeight="1">
      <c r="A86" s="6">
        <f>"Rebate owed to NPL by "&amp;$C$39&amp;" ("&amp;$C$38&amp;")"</f>
        <v/>
      </c>
      <c r="B86" s="6" t="inlineStr">
        <is>
          <t>in</t>
        </is>
      </c>
      <c r="C86" s="24">
        <f>$C$72</f>
        <v/>
      </c>
      <c r="D86" s="17" t="inlineStr">
        <is>
          <t>NPL's money · rebate (kept apart from earnings)</t>
        </is>
      </c>
      <c r="E86" s="17" t="inlineStr">
        <is>
          <t>conversion — the partner's monthly rebate</t>
        </is>
      </c>
    </row>
    <row r="87" ht="16" customHeight="1">
      <c r="A87" s="6">
        <f>"Owed to the client's receivers ("&amp;$C$38&amp;")"</f>
        <v/>
      </c>
      <c r="B87" s="6" t="inlineStr">
        <is>
          <t>out</t>
        </is>
      </c>
      <c r="C87" s="24">
        <f>$C$63</f>
        <v/>
      </c>
      <c r="D87" s="17" t="inlineStr">
        <is>
          <t>client's money · the amount itself</t>
        </is>
      </c>
      <c r="E87" s="17" t="inlineStr">
        <is>
          <t>conversion — currency paid out</t>
        </is>
      </c>
    </row>
    <row r="88" ht="16" customHeight="1">
      <c r="A88" s="6">
        <f>"NPL's earnings ("&amp;$C$38&amp;")"</f>
        <v/>
      </c>
      <c r="B88" s="6" t="inlineStr">
        <is>
          <t>out</t>
        </is>
      </c>
      <c r="C88" s="24">
        <f>$C$66</f>
        <v/>
      </c>
      <c r="D88" s="17" t="inlineStr">
        <is>
          <t>NPL's money · earnings</t>
        </is>
      </c>
      <c r="E88" s="17" t="inlineStr">
        <is>
          <t>margin recognised</t>
        </is>
      </c>
    </row>
    <row r="89" ht="16" customHeight="1">
      <c r="A89" s="6">
        <f>"NPL's rebate income ("&amp;$C$38&amp;")"</f>
        <v/>
      </c>
      <c r="B89" s="6" t="inlineStr">
        <is>
          <t>out</t>
        </is>
      </c>
      <c r="C89" s="24">
        <f>$C$72</f>
        <v/>
      </c>
      <c r="D89" s="17" t="inlineStr">
        <is>
          <t>NPL's money · rebate</t>
        </is>
      </c>
      <c r="E89" s="17" t="inlineStr">
        <is>
          <t>rebate expected — reported separately from earnings</t>
        </is>
      </c>
    </row>
    <row r="90" ht="16" customHeight="1">
      <c r="A90" s="6">
        <f>"Client money in transit from "&amp;$C$39&amp;" ("&amp;$C$38&amp;")"</f>
        <v/>
      </c>
      <c r="B90" s="6" t="inlineStr">
        <is>
          <t>in</t>
        </is>
      </c>
      <c r="C90" s="24">
        <f>$C$69</f>
        <v/>
      </c>
      <c r="D90" s="17" t="inlineStr">
        <is>
          <t>client's money · the amount itself</t>
        </is>
      </c>
      <c r="E90" s="17" t="inlineStr">
        <is>
          <t>payout released (rounded as agreed)</t>
        </is>
      </c>
    </row>
    <row r="91" ht="16" customHeight="1">
      <c r="A91" s="6">
        <f>"Client money ready to pay out at "&amp;$C$39&amp;" ("&amp;$C$38&amp;")"</f>
        <v/>
      </c>
      <c r="B91" s="6" t="inlineStr">
        <is>
          <t>out</t>
        </is>
      </c>
      <c r="C91" s="24">
        <f>$C$69</f>
        <v/>
      </c>
      <c r="D91" s="17" t="inlineStr">
        <is>
          <t>client's money · the amount itself</t>
        </is>
      </c>
      <c r="E91" s="17" t="inlineStr">
        <is>
          <t>payout released</t>
        </is>
      </c>
    </row>
    <row r="92" ht="16" customHeight="1">
      <c r="A92" s="6">
        <f>"Owed to the client's receivers ("&amp;$C$38&amp;")"</f>
        <v/>
      </c>
      <c r="B92" s="6" t="inlineStr">
        <is>
          <t>in</t>
        </is>
      </c>
      <c r="C92" s="24">
        <f>$C$69</f>
        <v/>
      </c>
      <c r="D92" s="17" t="inlineStr">
        <is>
          <t>client's money · the amount itself</t>
        </is>
      </c>
      <c r="E92" s="17" t="inlineStr">
        <is>
          <t>receiver confirms in full</t>
        </is>
      </c>
    </row>
    <row r="93" ht="16" customHeight="1">
      <c r="A93" s="6">
        <f>"Client money in transit from "&amp;$C$39&amp;" ("&amp;$C$38&amp;")"</f>
        <v/>
      </c>
      <c r="B93" s="6" t="inlineStr">
        <is>
          <t>out</t>
        </is>
      </c>
      <c r="C93" s="24">
        <f>$C$69</f>
        <v/>
      </c>
      <c r="D93" s="17" t="inlineStr">
        <is>
          <t>client's money · the amount itself</t>
        </is>
      </c>
      <c r="E93" s="17" t="inlineStr">
        <is>
          <t>receiver confirms in full</t>
        </is>
      </c>
    </row>
    <row r="94" ht="16" customHeight="1">
      <c r="A94" s="6">
        <f>"NPL's earnings ("&amp;$C$38&amp;")"</f>
        <v/>
      </c>
      <c r="B94" s="6" t="inlineStr">
        <is>
          <t>in</t>
        </is>
      </c>
      <c r="C94" s="24">
        <f>$C$73</f>
        <v/>
      </c>
      <c r="D94" s="17" t="inlineStr">
        <is>
          <t>NPL's money · share paid to someone else</t>
        </is>
      </c>
      <c r="E94" s="17" t="inlineStr">
        <is>
          <t>share accrued (if any)</t>
        </is>
      </c>
    </row>
    <row r="95" ht="16" customHeight="1">
      <c r="A95" s="6">
        <f>"Owed to the other party ("&amp;$C$38&amp;")"</f>
        <v/>
      </c>
      <c r="B95" s="6" t="inlineStr">
        <is>
          <t>out</t>
        </is>
      </c>
      <c r="C95" s="24">
        <f>$C$73</f>
        <v/>
      </c>
      <c r="D95" s="17" t="inlineStr">
        <is>
          <t>NPL's money · share paid to someone else</t>
        </is>
      </c>
      <c r="E95" s="17" t="inlineStr">
        <is>
          <t>share accrued</t>
        </is>
      </c>
    </row>
    <row r="96" ht="30" customHeight="1">
      <c r="A96" s="6">
        <f>"Owed to the other party ("&amp;$C$38&amp;")"</f>
        <v/>
      </c>
      <c r="B96" s="6" t="inlineStr">
        <is>
          <t>in</t>
        </is>
      </c>
      <c r="C96" s="24">
        <f>IF($C$53="held by the client, paid monthly",$C$73,0)</f>
        <v/>
      </c>
      <c r="D96" s="17" t="inlineStr">
        <is>
          <t>NPL's money · share</t>
        </is>
      </c>
      <c r="E96" s="17" t="inlineStr">
        <is>
          <t>netted: the client keeps its share out of the money in its account</t>
        </is>
      </c>
    </row>
    <row r="97" ht="16" customHeight="1">
      <c r="A97" s="6">
        <f>"Owed to NPL by the client ("&amp;$C$38&amp;")"</f>
        <v/>
      </c>
      <c r="B97" s="6" t="inlineStr">
        <is>
          <t>out</t>
        </is>
      </c>
      <c r="C97" s="24">
        <f>IF($C$53="held by the client, paid monthly",$C$73,0)</f>
        <v/>
      </c>
      <c r="D97" s="17" t="inlineStr">
        <is>
          <t>NPL's money · earnings</t>
        </is>
      </c>
      <c r="E97" s="17" t="inlineStr">
        <is>
          <t>netted: what the client pays NPL monthly is the rest</t>
        </is>
      </c>
    </row>
    <row r="98" ht="30" customHeight="1">
      <c r="A98" s="26" t="inlineStr">
        <is>
          <t>Check: in = out in the currency paid out</t>
        </is>
      </c>
      <c r="C98" s="27">
        <f>ROUND(SUMIF($B$83:$B$97,"in",$C$83:$C$97)-SUMIF($B$83:$B$97,"out",$C$83:$C$97),6)</f>
        <v/>
      </c>
      <c r="E98" s="17" t="inlineStr">
        <is>
          <t>money never appears or disappears: every entry moves it from one place to another</t>
        </is>
      </c>
    </row>
    <row r="100">
      <c r="A100" s="15" t="inlineStr">
        <is>
          <t>E · Compare with your sheet</t>
        </is>
      </c>
    </row>
    <row r="101">
      <c r="A101" s="16" t="inlineStr">
        <is>
          <t>Figure in your sheet</t>
        </is>
      </c>
      <c r="B101" s="16" t="inlineStr">
        <is>
          <t>Your value</t>
        </is>
      </c>
      <c r="C101" s="16" t="inlineStr">
        <is>
          <t>Worked out here</t>
        </is>
      </c>
      <c r="D101" s="16" t="inlineStr">
        <is>
          <t>Difference</t>
        </is>
      </c>
      <c r="E101" s="16" t="inlineStr">
        <is>
          <t>Comment</t>
        </is>
      </c>
    </row>
    <row r="102" ht="44" customHeight="1">
      <c r="A102" s="3" t="inlineStr">
        <is>
          <t>USD delivered</t>
        </is>
      </c>
      <c r="B102" s="18" t="n">
        <v>106879.36</v>
      </c>
      <c r="C102" s="24">
        <f>$C$61</f>
        <v/>
      </c>
      <c r="D102" s="27">
        <f>ROUND(C102-B102,2)</f>
        <v/>
      </c>
      <c r="E102" s="17" t="inlineStr">
        <is>
          <t>sheet row 45: INR 8,500,000 ÷ 79.529 carries no NPL fee at all; at 7 % the USD falls to ≈ 99,887, at 0.5 % to ≈ 106,348 — the difference shown depends on the fee you choose</t>
        </is>
      </c>
    </row>
    <row r="104">
      <c r="A104" s="15" t="inlineStr">
        <is>
          <t>F · Please confirm</t>
        </is>
      </c>
    </row>
    <row r="105" ht="46" customHeight="1">
      <c r="A105" s="14" t="inlineStr">
        <is>
          <t>•</t>
        </is>
      </c>
      <c r="B105" s="28" t="inlineStr">
        <is>
          <t>You entered a 7 % fee on this sheet; your fee table says 0.5 % for Ad Hoc INR Cash (row 45), and 7 % is 66 Group's figure (pattern 4). Which is right here — and is it NPL's fee on top of the agent's rate, or the agent's own?</t>
        </is>
      </c>
    </row>
    <row r="106" ht="32" customHeight="1">
      <c r="A106" s="14" t="inlineStr">
        <is>
          <t>•</t>
        </is>
      </c>
      <c r="B106" s="28" t="inlineStr">
        <is>
          <t>Cash rounding unit for INR, and for AED / USD cash in Dubai (row 28, dormant).</t>
        </is>
      </c>
    </row>
  </sheetData>
  <mergeCells count="2">
    <mergeCell ref="B106:E106"/>
    <mergeCell ref="B105:E10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8"/>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11 No-fee internal — No-fee internal collection, balance held at the partner</t>
        </is>
      </c>
    </row>
    <row r="2">
      <c r="A2" s="13" t="inlineStr">
        <is>
          <t>Example taken from your sheet, rows</t>
        </is>
      </c>
      <c r="B2" s="14" t="inlineStr">
        <is>
          <t>47, 46</t>
        </is>
      </c>
    </row>
    <row r="4">
      <c r="A4" s="15" t="inlineStr">
        <is>
          <t>A · The set-up for this kind of deal</t>
        </is>
      </c>
    </row>
    <row r="5">
      <c r="A5" s="16" t="inlineStr">
        <is>
          <t>Item</t>
        </is>
      </c>
      <c r="B5" s="16" t="inlineStr">
        <is>
          <t>Value</t>
        </is>
      </c>
      <c r="C5" s="16" t="inlineStr">
        <is>
          <t>Where it comes from</t>
        </is>
      </c>
      <c r="D5" s="16" t="inlineStr">
        <is>
          <t>Note</t>
        </is>
      </c>
    </row>
    <row r="6" ht="16" customHeight="1">
      <c r="A6" s="3" t="inlineStr">
        <is>
          <t>Client</t>
        </is>
      </c>
      <c r="B6" s="10" t="inlineStr">
        <is>
          <t>AK collections (USDT)</t>
        </is>
      </c>
      <c r="C6" s="3" t="inlineStr">
        <is>
          <t>your sheet</t>
        </is>
      </c>
      <c r="D6" s="17" t="inlineStr">
        <is>
          <t>One set-up per client.</t>
        </is>
      </c>
    </row>
    <row r="7" ht="42" customHeight="1">
      <c r="A7" s="3" t="inlineStr">
        <is>
          <t>Who sends the money</t>
        </is>
      </c>
      <c r="B7" s="10" t="inlineStr">
        <is>
          <t>AK (an NPL stakeholder)</t>
        </is>
      </c>
      <c r="C7" s="3" t="inlineStr">
        <is>
          <t>your answer (8 Oct)</t>
        </is>
      </c>
      <c r="D7" s="17" t="inlineStr">
        <is>
          <t>The sender(s). Each must be on the list of who may pay this client's receivers.</t>
        </is>
      </c>
    </row>
    <row r="8" ht="42" customHeight="1">
      <c r="A8" s="3" t="inlineStr">
        <is>
          <t>Who gets paid</t>
        </is>
      </c>
      <c r="B8" s="10" t="inlineStr">
        <is>
          <t>AK — withdrawals on request: local bank payment, SWIFT, USDT or cash</t>
        </is>
      </c>
      <c r="C8" s="3" t="inlineStr">
        <is>
          <t>your answer (8 Oct)</t>
        </is>
      </c>
      <c r="D8" s="17" t="inlineStr">
        <is>
          <t>The receiver, or the vendor. A refund goes back to the sender's own account.</t>
        </is>
      </c>
    </row>
    <row r="9" ht="54" customHeight="1">
      <c r="A9" s="3" t="inlineStr">
        <is>
          <t>Their account</t>
        </is>
      </c>
      <c r="B9" s="10" t="inlineStr">
        <is>
          <t>USD, SGD and USDT balances held at Ali; paid out as requested</t>
        </is>
      </c>
      <c r="C9" s="3" t="inlineStr">
        <is>
          <t>your answer (8 Oct)</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crypto</t>
        </is>
      </c>
      <c r="C10" s="3" t="inlineStr">
        <is>
          <t>your sheet</t>
        </is>
      </c>
      <c r="D10" s="17" t="inlineStr">
        <is>
          <t>crypto, bank transfer, cash, or a one-time local bank deposit.</t>
        </is>
      </c>
    </row>
    <row r="11" ht="54" customHeight="1">
      <c r="A11" s="3" t="inlineStr">
        <is>
          <t>Where it comes in</t>
        </is>
      </c>
      <c r="B11" s="10" t="inlineStr">
        <is>
          <t>Ali vehicle · wallet · TRC-20</t>
        </is>
      </c>
      <c r="C11" s="3" t="inlineStr">
        <is>
          <t>your sheet</t>
        </is>
      </c>
      <c r="D11" s="17" t="inlineStr">
        <is>
          <t>Which partner company's wallet or bank account the sender pays into. It must be live, belong to that partner company, and be a wallet for crypto or a bank account for bank transfers.</t>
        </is>
      </c>
    </row>
    <row r="12" ht="16" customHeight="1">
      <c r="A12" s="3" t="inlineStr">
        <is>
          <t>Partner / agent</t>
        </is>
      </c>
      <c r="B12" s="10" t="inlineStr">
        <is>
          <t>Ali</t>
        </is>
      </c>
      <c r="C12" s="3" t="inlineStr">
        <is>
          <t>your sheet</t>
        </is>
      </c>
      <c r="D12" s="17" t="inlineStr"/>
    </row>
    <row r="13" ht="54" customHeight="1">
      <c r="A13" s="3" t="inlineStr">
        <is>
          <t>How the partner prices</t>
        </is>
      </c>
      <c r="B13" s="10" t="inlineStr">
        <is>
          <t>fee inside its rate</t>
        </is>
      </c>
      <c r="C13" s="3" t="inlineStr">
        <is>
          <t>your sheet</t>
        </is>
      </c>
      <c r="D13" s="17" t="inlineStr">
        <is>
          <t>'fee on top of market': the partner converts at market and states its fee separately. 'fee inside its rate': the partner's margin is built into the rate it gives.</t>
        </is>
      </c>
    </row>
    <row r="14" ht="16" customHeight="1">
      <c r="A14" s="3" t="inlineStr">
        <is>
          <t>Exchange pair</t>
        </is>
      </c>
      <c r="B14" s="10" t="inlineStr">
        <is>
          <t>USDT → USD (also SGD)</t>
        </is>
      </c>
      <c r="C14" s="3" t="inlineStr">
        <is>
          <t>your sheet</t>
        </is>
      </c>
      <c r="D14" s="17" t="inlineStr">
        <is>
          <t>currency sent → currency paid out.</t>
        </is>
      </c>
    </row>
    <row r="15" ht="54" customHeight="1">
      <c r="A15" s="3" t="inlineStr">
        <is>
          <t>Fee taken how</t>
        </is>
      </c>
      <c r="B15" s="10" t="inlineStr">
        <is>
          <t>off the rate the sender gets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agent rate</t>
        </is>
      </c>
      <c r="C16" s="3" t="inlineStr">
        <is>
          <t>your sheet</t>
        </is>
      </c>
      <c r="D16" s="17" t="inlineStr">
        <is>
          <t>the market rate, or the agent's rate.</t>
        </is>
      </c>
    </row>
    <row r="17" ht="42" customHeight="1">
      <c r="A17" s="3" t="inlineStr">
        <is>
          <t>Fee is</t>
        </is>
      </c>
      <c r="B17" s="10" t="inlineStr">
        <is>
          <t>fixed</t>
        </is>
      </c>
      <c r="C17" s="3" t="inlineStr">
        <is>
          <t>your sheet</t>
        </is>
      </c>
      <c r="D17" s="17" t="inlineStr">
        <is>
          <t>fixed, or decided per deal between a lowest and a highest markup.</t>
        </is>
      </c>
    </row>
    <row r="18" ht="16" customHeight="1">
      <c r="A18" s="3" t="inlineStr">
        <is>
          <t>Total fee %</t>
        </is>
      </c>
      <c r="B18" s="12" t="n">
        <v>0</v>
      </c>
      <c r="C18" s="3" t="inlineStr">
        <is>
          <t>your sheet</t>
        </is>
      </c>
      <c r="D18" s="17" t="inlineStr">
        <is>
          <t>sender's part + receiver's part.</t>
        </is>
      </c>
    </row>
    <row r="19" ht="16" customHeight="1">
      <c r="A19" s="3" t="inlineStr">
        <is>
          <t>Sender pays %</t>
        </is>
      </c>
      <c r="B19" s="12" t="n">
        <v>0</v>
      </c>
      <c r="C19" s="3" t="inlineStr">
        <is>
          <t>your sheet</t>
        </is>
      </c>
      <c r="D19" s="17" t="inlineStr"/>
    </row>
    <row r="20" ht="16" customHeight="1">
      <c r="A20" s="3" t="inlineStr">
        <is>
          <t>Receiver pays %</t>
        </is>
      </c>
      <c r="B20" s="12" t="n">
        <v>0</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2" t="n">
        <v>0</v>
      </c>
      <c r="C23" s="3" t="inlineStr">
        <is>
          <t>your sheet</t>
        </is>
      </c>
      <c r="D23" s="17" t="inlineStr">
        <is>
          <t>A quote that earns less needs Finance's approval.</t>
        </is>
      </c>
    </row>
    <row r="24" ht="42" customHeight="1">
      <c r="A24" s="3" t="inlineStr">
        <is>
          <t>Fee shown to the customer %</t>
        </is>
      </c>
      <c r="B24" s="11" t="inlineStr"/>
      <c r="C24" s="3" t="inlineStr">
        <is>
          <t>not needed here</t>
        </is>
      </c>
      <c r="D24" s="17" t="inlineStr">
        <is>
          <t>Only when the customer-facing calculation shows a different fee from the true total. Needs a system change.</t>
        </is>
      </c>
    </row>
    <row r="25" ht="54" customHeight="1">
      <c r="A25" s="3" t="inlineStr">
        <is>
          <t>How NPL's share reaches NPL</t>
        </is>
      </c>
      <c r="B25" s="10" t="inlineStr">
        <is>
          <t>kept for NPL at the partner</t>
        </is>
      </c>
      <c r="C25" s="3" t="inlineStr">
        <is>
          <t>your sheet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1" t="inlineStr"/>
      <c r="C26" s="3" t="inlineStr">
        <is>
          <t>not needed here</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drop the cents</t>
        </is>
      </c>
      <c r="C28" s="3" t="inlineStr">
        <is>
          <t>your sheet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0" t="inlineStr">
        <is>
          <t>Ali (as requested each time)</t>
        </is>
      </c>
      <c r="C29" s="3" t="inlineStr">
        <is>
          <t>your answer (8 Oct)</t>
        </is>
      </c>
      <c r="D29" s="17" t="inlineStr">
        <is>
          <t>and the bank fee you expect on it</t>
        </is>
      </c>
    </row>
    <row r="30" ht="42" customHeight="1">
      <c r="A30" s="3" t="inlineStr">
        <is>
          <t>Name shown on the transfer</t>
        </is>
      </c>
      <c r="B30" s="10" t="inlineStr">
        <is>
          <t>as requested</t>
        </is>
      </c>
      <c r="C30" s="3" t="inlineStr">
        <is>
          <t>your answer (8 Oct)</t>
        </is>
      </c>
      <c r="D30" s="17" t="inlineStr">
        <is>
          <t>what the receiver's bank statement shows — often the customer's own entity or NPL's own entity</t>
        </is>
      </c>
    </row>
    <row r="31" ht="42" customHeight="1">
      <c r="A31" s="3" t="inlineStr">
        <is>
          <t>Has the partner approved the receiver's account? (yes / pending)</t>
        </is>
      </c>
      <c r="B31" s="10" t="inlineStr">
        <is>
          <t>yes</t>
        </is>
      </c>
      <c r="C31" s="3" t="inlineStr">
        <is>
          <t>your answer (8 Oct)</t>
        </is>
      </c>
      <c r="D31" s="17" t="inlineStr">
        <is>
          <t>A quote cannot be sent until the partner has approved at least one account of the receivers it will pay.</t>
        </is>
      </c>
    </row>
    <row r="32" ht="54" customHeight="1">
      <c r="A32" s="3" t="inlineStr">
        <is>
          <t>Balance NPL may leave at the partner</t>
        </is>
      </c>
      <c r="B32" s="10" t="inlineStr">
        <is>
          <t>about USD 400,000 equivalent, revised from time to time; the balance simply sits at Ali</t>
        </is>
      </c>
      <c r="C32" s="3" t="inlineStr">
        <is>
          <t>your answer (8 Oct)</t>
        </is>
      </c>
      <c r="D32" s="17" t="inlineStr">
        <is>
          <t>The system already allows a held balance with a ceiling; the daily report shows what sits where.</t>
        </is>
      </c>
    </row>
    <row r="33" ht="54" customHeight="1">
      <c r="A33" s="3" t="inlineStr">
        <is>
          <t>Bank cutoff</t>
        </is>
      </c>
      <c r="B33" s="10" t="inlineStr">
        <is>
          <t>USD and SGD are banking-ready balances: 10,000 USDT collected at night converts to SGD the next business morning</t>
        </is>
      </c>
      <c r="C33" s="3" t="inlineStr">
        <is>
          <t>your answer (8 Oct)</t>
        </is>
      </c>
      <c r="D33" s="17" t="inlineStr">
        <is>
          <t>Needs a system change.</t>
        </is>
      </c>
    </row>
    <row r="35">
      <c r="A35" s="15" t="inlineStr">
        <is>
          <t>B · Worked calculation — the deal (change any value)</t>
        </is>
      </c>
    </row>
    <row r="36">
      <c r="A36" s="16" t="inlineStr">
        <is>
          <t>Item</t>
        </is>
      </c>
      <c r="B36" s="16" t="inlineStr"/>
      <c r="C36" s="16" t="inlineStr">
        <is>
          <t>Value</t>
        </is>
      </c>
      <c r="D36" s="16" t="inlineStr"/>
      <c r="E36" s="16" t="inlineStr">
        <is>
          <t>Meaning</t>
        </is>
      </c>
    </row>
    <row r="37" ht="16" customHeight="1">
      <c r="A37" s="3" t="inlineStr">
        <is>
          <t>Amount sent</t>
        </is>
      </c>
      <c r="C37" s="18" t="n">
        <v>10000</v>
      </c>
      <c r="E37" s="17" t="inlineStr">
        <is>
          <t>what the sender pays in, in the currency sent</t>
        </is>
      </c>
    </row>
    <row r="38" ht="16" customHeight="1">
      <c r="A38" s="3" t="inlineStr">
        <is>
          <t>Currency sent</t>
        </is>
      </c>
      <c r="C38" s="8" t="inlineStr">
        <is>
          <t>USDT</t>
        </is>
      </c>
      <c r="E38" s="17" t="inlineStr"/>
    </row>
    <row r="39" ht="16" customHeight="1">
      <c r="A39" s="3" t="inlineStr">
        <is>
          <t>Currency paid out</t>
        </is>
      </c>
      <c r="C39" s="8" t="inlineStr">
        <is>
          <t>USD</t>
        </is>
      </c>
      <c r="E39" s="17" t="inlineStr"/>
    </row>
    <row r="40" ht="16" customHeight="1">
      <c r="A40" s="3" t="inlineStr">
        <is>
          <t>Partner (short name)</t>
        </is>
      </c>
      <c r="C40" s="8" t="inlineStr">
        <is>
          <t>ALI</t>
        </is>
      </c>
      <c r="E40" s="17" t="inlineStr">
        <is>
          <t>used in the bookkeeping entries below</t>
        </is>
      </c>
    </row>
    <row r="41" ht="16" customHeight="1">
      <c r="A41" s="3" t="inlineStr">
        <is>
          <t>Market rate</t>
        </is>
      </c>
      <c r="C41" s="19" t="n">
        <v>1</v>
      </c>
      <c r="E41" s="17" t="inlineStr">
        <is>
          <t>units received per 1 unit sent, at the time of the quote</t>
        </is>
      </c>
    </row>
    <row r="42" ht="30" customHeight="1">
      <c r="A42" s="3" t="inlineStr">
        <is>
          <t>Agent rate (partners whose fee is inside the rate)</t>
        </is>
      </c>
      <c r="C42" s="19" t="n">
        <v>0.996</v>
      </c>
      <c r="E42" s="17" t="inlineStr">
        <is>
          <t>units received per 1 unit sent, as the partner offers it; leave blank for partners that state their fee separately. If the partner quotes the other way round (e.g. 1.1738), enter 1 ÷ that</t>
        </is>
      </c>
    </row>
    <row r="43" ht="30" customHeight="1">
      <c r="A43" s="3" t="inlineStr">
        <is>
          <t>Partner's fee on top of market</t>
        </is>
      </c>
      <c r="C43" s="21" t="n">
        <v>0</v>
      </c>
      <c r="E43" s="17" t="inlineStr">
        <is>
          <t>only for partners that state their fee separately; 0 otherwise</t>
        </is>
      </c>
    </row>
    <row r="44" ht="16" customHeight="1">
      <c r="A44" s="3" t="inlineStr">
        <is>
          <t>Total fee</t>
        </is>
      </c>
      <c r="C44" s="21" t="n">
        <v>0</v>
      </c>
      <c r="E44" s="17" t="inlineStr"/>
    </row>
    <row r="45" ht="16" customHeight="1">
      <c r="A45" s="3" t="inlineStr">
        <is>
          <t>Sender pays</t>
        </is>
      </c>
      <c r="C45" s="21" t="n">
        <v>0</v>
      </c>
      <c r="E45" s="17" t="inlineStr"/>
    </row>
    <row r="46" ht="16" customHeight="1">
      <c r="A46" s="3" t="inlineStr">
        <is>
          <t>Receiver pays</t>
        </is>
      </c>
      <c r="C46" s="21" t="n">
        <v>0</v>
      </c>
      <c r="E46" s="17" t="inlineStr"/>
    </row>
    <row r="47" ht="16" customHeight="1">
      <c r="A47" s="3" t="inlineStr">
        <is>
          <t>Fee applied to</t>
        </is>
      </c>
      <c r="C47" s="8" t="inlineStr">
        <is>
          <t>agent rate</t>
        </is>
      </c>
      <c r="E47" s="17" t="inlineStr">
        <is>
          <t>market rate / agent rate</t>
        </is>
      </c>
    </row>
    <row r="48" ht="30" customHeight="1">
      <c r="A48" s="3" t="inlineStr">
        <is>
          <t>How the partner prices</t>
        </is>
      </c>
      <c r="C48" s="8" t="inlineStr">
        <is>
          <t>fee inside its rate</t>
        </is>
      </c>
      <c r="E48" s="17" t="inlineStr">
        <is>
          <t>fee on top of market / fee inside its rate / NPL's own wallet</t>
        </is>
      </c>
    </row>
    <row r="49" ht="16" customHeight="1">
      <c r="A49" s="3" t="inlineStr">
        <is>
          <t>Fee taken how</t>
        </is>
      </c>
      <c r="C49" s="8" t="inlineStr">
        <is>
          <t>off the rate the sender gets</t>
        </is>
      </c>
      <c r="E49" s="17" t="inlineStr">
        <is>
          <t>off the rate the sender gets / added to what the sender pays</t>
        </is>
      </c>
    </row>
    <row r="50" ht="16" customHeight="1">
      <c r="A50" s="3" t="inlineStr">
        <is>
          <t>Rounding</t>
        </is>
      </c>
      <c r="C50" s="8" t="inlineStr">
        <is>
          <t>drop the cents</t>
        </is>
      </c>
      <c r="E50" s="17" t="inlineStr">
        <is>
          <t>drop the cents / nearest unit / round up / nearest 1,000</t>
        </is>
      </c>
    </row>
    <row r="51" ht="16" customHeight="1">
      <c r="A51" s="3" t="inlineStr">
        <is>
          <t>Rounding unit</t>
        </is>
      </c>
      <c r="C51" s="18" t="n">
        <v>1</v>
      </c>
      <c r="E51" s="17" t="inlineStr">
        <is>
          <t>1 for whole units; 1000 for the nearest thousand</t>
        </is>
      </c>
    </row>
    <row r="52" ht="16" customHeight="1">
      <c r="A52" s="3" t="inlineStr">
        <is>
          <t>Minimum NPL margin</t>
        </is>
      </c>
      <c r="C52" s="21" t="n">
        <v>0</v>
      </c>
      <c r="E52" s="17" t="inlineStr"/>
    </row>
    <row r="53" ht="16" customHeight="1">
      <c r="A53" s="3" t="inlineStr">
        <is>
          <t>Fee shown to the customer (blank = the true fee)</t>
        </is>
      </c>
      <c r="C53" s="22" t="inlineStr"/>
      <c r="E53" s="17" t="inlineStr">
        <is>
          <t>needs a system change when it differs</t>
        </is>
      </c>
    </row>
    <row r="54" ht="30" customHeight="1">
      <c r="A54" s="3" t="inlineStr">
        <is>
          <t>How NPL's share reaches NPL</t>
        </is>
      </c>
      <c r="C54" s="8" t="inlineStr">
        <is>
          <t>kept for NPL at the partner</t>
        </is>
      </c>
      <c r="E54" s="17" t="inlineStr">
        <is>
          <t>kept for NPL at the partner / paid back monthly / held by the client, paid monthly / NPL's own wallet</t>
        </is>
      </c>
    </row>
    <row r="55" ht="16" customHeight="1">
      <c r="A55" s="3" t="inlineStr">
        <is>
          <t>% of the partner's fee paid back (rebate)</t>
        </is>
      </c>
      <c r="C55" s="21" t="n">
        <v>0</v>
      </c>
      <c r="E55" s="17" t="inlineStr">
        <is>
          <t>NPL's alone; 0 where there is none</t>
        </is>
      </c>
    </row>
    <row r="56" ht="30" customHeight="1">
      <c r="A56" s="3" t="inlineStr">
        <is>
          <t>Share paid to someone else %</t>
        </is>
      </c>
      <c r="C56" s="21" t="n">
        <v>0</v>
      </c>
      <c r="E56" s="17" t="inlineStr">
        <is>
          <t>of the amount × market; an introducer, or the customer who provides the sub-account</t>
        </is>
      </c>
    </row>
    <row r="58">
      <c r="A58" s="15" t="inlineStr">
        <is>
          <t>C · Worked calculation — what the system works out</t>
        </is>
      </c>
    </row>
    <row r="59">
      <c r="A59" s="16" t="inlineStr">
        <is>
          <t>Figure</t>
        </is>
      </c>
      <c r="B59" s="16" t="inlineStr">
        <is>
          <t>How it is worked out</t>
        </is>
      </c>
      <c r="C59" s="16" t="inlineStr">
        <is>
          <t>Value</t>
        </is>
      </c>
      <c r="E59" s="16" t="inlineStr">
        <is>
          <t>Note</t>
        </is>
      </c>
    </row>
    <row r="60">
      <c r="A60" s="3" t="inlineStr">
        <is>
          <t>Rate the fee is applied to</t>
        </is>
      </c>
      <c r="B60" s="17" t="inlineStr">
        <is>
          <t>the market rate, or the agent rate</t>
        </is>
      </c>
      <c r="C60" s="23">
        <f>IF($C$47="market rate",$C$41,$C$42)</f>
        <v/>
      </c>
      <c r="E60" s="17" t="inlineStr"/>
    </row>
    <row r="61">
      <c r="A61" s="3" t="inlineStr">
        <is>
          <t>Rate quoted to the sender</t>
        </is>
      </c>
      <c r="B61" s="17" t="inlineStr">
        <is>
          <t>that rate less the sender's fee — or, when the fee is added to what the sender pays, that rate ÷ (1 + fee)</t>
        </is>
      </c>
      <c r="C61" s="23">
        <f>IF($C$49="added to what the sender pays",$C$60/(1+$C$45),$C$60*(1-$C$45))</f>
        <v/>
      </c>
      <c r="E61" s="17" t="inlineStr"/>
    </row>
    <row r="62">
      <c r="A62" s="3" t="inlineStr">
        <is>
          <t>Amount the sender is promised</t>
        </is>
      </c>
      <c r="B62" s="17" t="inlineStr">
        <is>
          <t>amount sent × rate quoted to the sender</t>
        </is>
      </c>
      <c r="C62" s="24">
        <f>$C$37*$C$61</f>
        <v/>
      </c>
      <c r="E62" s="17" t="inlineStr">
        <is>
          <t>before any receiver-side fee</t>
        </is>
      </c>
    </row>
    <row r="63">
      <c r="A63" s="3" t="inlineStr">
        <is>
          <t>Receiver-side fee</t>
        </is>
      </c>
      <c r="B63" s="17" t="inlineStr">
        <is>
          <t>amount promised × receiver's fee</t>
        </is>
      </c>
      <c r="C63" s="24">
        <f>$C$62*$C$46</f>
        <v/>
      </c>
      <c r="E63" s="17" t="inlineStr">
        <is>
          <t>taken from the client's balance when the money is converted</t>
        </is>
      </c>
    </row>
    <row r="64">
      <c r="A64" s="3" t="inlineStr">
        <is>
          <t>Amount the receiver is owed</t>
        </is>
      </c>
      <c r="B64" s="17" t="inlineStr">
        <is>
          <t>amount promised − receiver-side fee</t>
        </is>
      </c>
      <c r="C64" s="24">
        <f>$C$62-$C$63</f>
        <v/>
      </c>
      <c r="E64" s="17" t="inlineStr">
        <is>
          <t>what the client's balance must deliver</t>
        </is>
      </c>
    </row>
    <row r="65">
      <c r="A65" s="3" t="inlineStr">
        <is>
          <t>What the partner delivers</t>
        </is>
      </c>
      <c r="B65" s="17" t="inlineStr">
        <is>
          <t>amount × agent rate · or amount × market less the partner's fee · or amount × market when NPL converts itself</t>
        </is>
      </c>
      <c r="C65" s="24">
        <f>IF($C$48="NPL's own wallet",$C$37*$C$41,IF($C$48="fee on top of market",$C$37*$C$41*(1-$C$43),$C$37*$C$42))</f>
        <v/>
      </c>
      <c r="E65" s="17" t="inlineStr"/>
    </row>
    <row r="66">
      <c r="A66" s="3" t="inlineStr">
        <is>
          <t>Partner / agent cost</t>
        </is>
      </c>
      <c r="B66" s="17" t="inlineStr">
        <is>
          <t>amount × market − what the partner delivers (nil when NPL converts itself)</t>
        </is>
      </c>
      <c r="C66" s="24">
        <f>$C$37*$C$41-$C$65</f>
        <v/>
      </c>
      <c r="E66" s="17" t="inlineStr"/>
    </row>
    <row r="67">
      <c r="A67" s="3" t="inlineStr">
        <is>
          <t>NPL earns on this deal</t>
        </is>
      </c>
      <c r="B67" s="17" t="inlineStr">
        <is>
          <t>what the partner delivers − what the receiver is owed</t>
        </is>
      </c>
      <c r="C67" s="24">
        <f>$C$65-$C$64</f>
        <v/>
      </c>
      <c r="E67" s="17" t="inlineStr">
        <is>
          <t>locked in when the money is converted; the partner's rebate is NOT in this figure</t>
        </is>
      </c>
    </row>
    <row r="68">
      <c r="A68" s="3" t="inlineStr">
        <is>
          <t>NPL margin %</t>
        </is>
      </c>
      <c r="B68" s="17" t="inlineStr">
        <is>
          <t>NPL earns ÷ (amount × market)</t>
        </is>
      </c>
      <c r="C68" s="25">
        <f>IF($C$37*$C$41=0,0,$C$67/($C$37*$C$41))</f>
        <v/>
      </c>
      <c r="E68" s="17" t="inlineStr"/>
    </row>
    <row r="69">
      <c r="A69" s="3" t="inlineStr">
        <is>
          <t>Below the minimum margin?</t>
        </is>
      </c>
      <c r="B69" s="17" t="inlineStr">
        <is>
          <t>if so, the quote needs Finance approval</t>
        </is>
      </c>
      <c r="C69" s="6">
        <f>IF($C$68&lt;$C$52,"YES — Finance must approve","no")</f>
        <v/>
      </c>
      <c r="E69" s="17" t="inlineStr"/>
    </row>
    <row r="70">
      <c r="A70" s="3" t="inlineStr">
        <is>
          <t>Amount actually paid out</t>
        </is>
      </c>
      <c r="B70" s="17" t="inlineStr">
        <is>
          <t>amount owed, rounded as agreed</t>
        </is>
      </c>
      <c r="C70" s="24">
        <f>IF($C$50="round up",CEILING($C$64,$C$51),IF($C$50="nearest unit",MROUND($C$64,$C$51),IF($C$50="nearest 1,000",MROUND($C$64,$C$51),FLOOR($C$64,$C$51))))</f>
        <v/>
      </c>
      <c r="E70" s="17" t="inlineStr">
        <is>
          <t>only 'drop the cents' exists today; the other options need a system change (proposal F)</t>
        </is>
      </c>
    </row>
    <row r="71">
      <c r="A71" s="3" t="inlineStr">
        <is>
          <t>Cents left in the client's balance (negative = NPL's cost)</t>
        </is>
      </c>
      <c r="B71" s="17" t="inlineStr">
        <is>
          <t>amount owed − amount paid out</t>
        </is>
      </c>
      <c r="C71" s="24">
        <f>$C$64-$C$70</f>
        <v/>
      </c>
      <c r="E71" s="17" t="inlineStr"/>
    </row>
    <row r="72">
      <c r="A72" s="3" t="inlineStr">
        <is>
          <t>Rate printed on the customer's quote</t>
        </is>
      </c>
      <c r="B72" s="17" t="inlineStr">
        <is>
          <t>rate quoted to the sender ÷ (1 − fee shown) — the 'market rate' your customer-facing calculation prints</t>
        </is>
      </c>
      <c r="C72" s="23">
        <f>IF($C$53="",$C$60,$C$61/(1-$C$53))</f>
        <v/>
      </c>
      <c r="E72" s="17" t="inlineStr">
        <is>
          <t>needs a system change when it differs from the true rate (proposal C)</t>
        </is>
      </c>
    </row>
    <row r="73">
      <c r="A73" s="3" t="inlineStr">
        <is>
          <t>Rebate owed back to NPL by the partner</t>
        </is>
      </c>
      <c r="B73" s="17" t="inlineStr">
        <is>
          <t>partner's fee × % paid back — NPL's alone, never shared, tracked on its own</t>
        </is>
      </c>
      <c r="C73" s="24">
        <f>$C$66*$C$55</f>
        <v/>
      </c>
      <c r="E73" s="17" t="inlineStr">
        <is>
          <t>0 where the partner pays no rebate</t>
        </is>
      </c>
    </row>
    <row r="74">
      <c r="A74" s="3" t="inlineStr">
        <is>
          <t>Share owed to someone else</t>
        </is>
      </c>
      <c r="B74" s="17" t="inlineStr">
        <is>
          <t>amount × market × share % (the share is of NPL's earnings, not of the rebate)</t>
        </is>
      </c>
      <c r="C74" s="24">
        <f>$C$37*$C$41*$C$56</f>
        <v/>
      </c>
      <c r="E74" s="17" t="inlineStr">
        <is>
          <t>paid out of NPL's earnings</t>
        </is>
      </c>
    </row>
    <row r="75">
      <c r="A75" s="3" t="inlineStr">
        <is>
          <t>NPL keeps</t>
        </is>
      </c>
      <c r="B75" s="17" t="inlineStr">
        <is>
          <t>NPL earns − share owed + rebate</t>
        </is>
      </c>
      <c r="C75" s="24">
        <f>$C$67-$C$74+$C$73</f>
        <v/>
      </c>
      <c r="E75" s="17" t="inlineStr"/>
    </row>
    <row r="76">
      <c r="A76" s="3" t="inlineStr">
        <is>
          <t>Check: receiver + partner cost + NPL = amount × market</t>
        </is>
      </c>
      <c r="B76" s="17" t="inlineStr">
        <is>
          <t>must be zero</t>
        </is>
      </c>
      <c r="C76" s="24">
        <f>ROUND($C$64+$C$66+$C$67-$C$37*$C$41,6)</f>
        <v/>
      </c>
      <c r="E76" s="17" t="inlineStr">
        <is>
          <t>every unit sent is accounted for</t>
        </is>
      </c>
    </row>
    <row r="78">
      <c r="A78" s="15" t="inlineStr">
        <is>
          <t>D · Bookkeeping entries the system would write</t>
        </is>
      </c>
    </row>
    <row r="79">
      <c r="A79" s="16" t="inlineStr">
        <is>
          <t>Entry</t>
        </is>
      </c>
      <c r="B79" s="16" t="inlineStr">
        <is>
          <t>In / out</t>
        </is>
      </c>
      <c r="C79" s="16" t="inlineStr">
        <is>
          <t>Amount</t>
        </is>
      </c>
      <c r="D79" s="16" t="inlineStr">
        <is>
          <t>Whose money · what kind</t>
        </is>
      </c>
      <c r="E79" s="16" t="inlineStr">
        <is>
          <t>When</t>
        </is>
      </c>
    </row>
    <row r="80" ht="16" customHeight="1">
      <c r="A80" s="6">
        <f>"Client money received at "&amp;$C$40&amp;" ("&amp;$C$38&amp;")"</f>
        <v/>
      </c>
      <c r="B80" s="6" t="inlineStr">
        <is>
          <t>in</t>
        </is>
      </c>
      <c r="C80" s="24">
        <f>$C$37</f>
        <v/>
      </c>
      <c r="D80" s="17" t="inlineStr">
        <is>
          <t>client's money · the amount itself</t>
        </is>
      </c>
      <c r="E80" s="17" t="inlineStr">
        <is>
          <t>when the money arrives</t>
        </is>
      </c>
    </row>
    <row r="81" ht="16" customHeight="1">
      <c r="A81" s="6">
        <f>"Owed to the client's receivers ("&amp;$C$38&amp;")"</f>
        <v/>
      </c>
      <c r="B81" s="6" t="inlineStr">
        <is>
          <t>out</t>
        </is>
      </c>
      <c r="C81" s="24">
        <f>$C$37</f>
        <v/>
      </c>
      <c r="D81" s="17" t="inlineStr">
        <is>
          <t>client's money · the amount itself</t>
        </is>
      </c>
      <c r="E81" s="17" t="inlineStr">
        <is>
          <t>when the money arrives</t>
        </is>
      </c>
    </row>
    <row r="82" ht="16" customHeight="1">
      <c r="A82" s="6">
        <f>"Owed to the client's receivers ("&amp;$C$38&amp;")"</f>
        <v/>
      </c>
      <c r="B82" s="6" t="inlineStr">
        <is>
          <t>in</t>
        </is>
      </c>
      <c r="C82" s="24">
        <f>$C$37</f>
        <v/>
      </c>
      <c r="D82" s="17" t="inlineStr">
        <is>
          <t>client's money · the amount itself</t>
        </is>
      </c>
      <c r="E82" s="17" t="inlineStr">
        <is>
          <t>conversion — currency sent</t>
        </is>
      </c>
    </row>
    <row r="83" ht="16" customHeight="1">
      <c r="A83" s="6">
        <f>"Client money received at "&amp;$C$40&amp;" ("&amp;$C$38&amp;")"</f>
        <v/>
      </c>
      <c r="B83" s="6" t="inlineStr">
        <is>
          <t>out</t>
        </is>
      </c>
      <c r="C83" s="24">
        <f>$C$37</f>
        <v/>
      </c>
      <c r="D83" s="17" t="inlineStr">
        <is>
          <t>client's money · the amount itself</t>
        </is>
      </c>
      <c r="E83" s="17" t="inlineStr">
        <is>
          <t>conversion — currency sent</t>
        </is>
      </c>
    </row>
    <row r="84" ht="16" customHeight="1">
      <c r="A84" s="6">
        <f>"Client money ready to pay out at "&amp;$C$40&amp;" ("&amp;$C$39&amp;")"</f>
        <v/>
      </c>
      <c r="B84" s="6" t="inlineStr">
        <is>
          <t>in</t>
        </is>
      </c>
      <c r="C84" s="24">
        <f>$C$64</f>
        <v/>
      </c>
      <c r="D84" s="17" t="inlineStr">
        <is>
          <t>client's money · the amount itself (cents included)</t>
        </is>
      </c>
      <c r="E84" s="17" t="inlineStr">
        <is>
          <t>conversion — currency paid out</t>
        </is>
      </c>
    </row>
    <row r="85" ht="30" customHeight="1">
      <c r="A85" s="6">
        <f>"NPL's earnings kept at "&amp;$C$40&amp;" ("&amp;$C$39&amp;")"</f>
        <v/>
      </c>
      <c r="B85" s="6" t="inlineStr">
        <is>
          <t>in</t>
        </is>
      </c>
      <c r="C85" s="24">
        <f>IF(OR($C$54="paid back monthly",$C$54="held by the client, paid monthly"),0,$C$67)</f>
        <v/>
      </c>
      <c r="D85" s="17" t="inlineStr">
        <is>
          <t>NPL's money · earnings</t>
        </is>
      </c>
      <c r="E85" s="17" t="inlineStr">
        <is>
          <t>conversion — NPL's share left with the partner (or in NPL's own wallet)</t>
        </is>
      </c>
    </row>
    <row r="86" ht="30" customHeight="1">
      <c r="A86" s="6">
        <f>"Owed to NPL by the client ("&amp;$C$39&amp;")"</f>
        <v/>
      </c>
      <c r="B86" s="6" t="inlineStr">
        <is>
          <t>in</t>
        </is>
      </c>
      <c r="C86" s="24">
        <f>IF($C$54="held by the client, paid monthly",$C$67,0)</f>
        <v/>
      </c>
      <c r="D86" s="17" t="inlineStr">
        <is>
          <t>NPL's money · earnings</t>
        </is>
      </c>
      <c r="E86" s="17" t="inlineStr">
        <is>
          <t>conversion — the converted money went to the client's own account; NPL's share is owed by the client</t>
        </is>
      </c>
    </row>
    <row r="87" ht="16" customHeight="1">
      <c r="A87" s="6">
        <f>"Rebate owed to NPL by "&amp;$C$40&amp;" ("&amp;$C$39&amp;")"</f>
        <v/>
      </c>
      <c r="B87" s="6" t="inlineStr">
        <is>
          <t>in</t>
        </is>
      </c>
      <c r="C87" s="24">
        <f>$C$73</f>
        <v/>
      </c>
      <c r="D87" s="17" t="inlineStr">
        <is>
          <t>NPL's money · rebate (kept apart from earnings)</t>
        </is>
      </c>
      <c r="E87" s="17" t="inlineStr">
        <is>
          <t>conversion — the partner's monthly rebate</t>
        </is>
      </c>
    </row>
    <row r="88" ht="16" customHeight="1">
      <c r="A88" s="6">
        <f>"Owed to the client's receivers ("&amp;$C$39&amp;")"</f>
        <v/>
      </c>
      <c r="B88" s="6" t="inlineStr">
        <is>
          <t>out</t>
        </is>
      </c>
      <c r="C88" s="24">
        <f>$C$64</f>
        <v/>
      </c>
      <c r="D88" s="17" t="inlineStr">
        <is>
          <t>client's money · the amount itself</t>
        </is>
      </c>
      <c r="E88" s="17" t="inlineStr">
        <is>
          <t>conversion — currency paid out</t>
        </is>
      </c>
    </row>
    <row r="89" ht="16" customHeight="1">
      <c r="A89" s="6">
        <f>"NPL's earnings ("&amp;$C$39&amp;")"</f>
        <v/>
      </c>
      <c r="B89" s="6" t="inlineStr">
        <is>
          <t>out</t>
        </is>
      </c>
      <c r="C89" s="24">
        <f>$C$67</f>
        <v/>
      </c>
      <c r="D89" s="17" t="inlineStr">
        <is>
          <t>NPL's money · earnings</t>
        </is>
      </c>
      <c r="E89" s="17" t="inlineStr">
        <is>
          <t>margin recognised</t>
        </is>
      </c>
    </row>
    <row r="90" ht="16" customHeight="1">
      <c r="A90" s="6">
        <f>"NPL's rebate income ("&amp;$C$39&amp;")"</f>
        <v/>
      </c>
      <c r="B90" s="6" t="inlineStr">
        <is>
          <t>out</t>
        </is>
      </c>
      <c r="C90" s="24">
        <f>$C$73</f>
        <v/>
      </c>
      <c r="D90" s="17" t="inlineStr">
        <is>
          <t>NPL's money · rebate</t>
        </is>
      </c>
      <c r="E90" s="17" t="inlineStr">
        <is>
          <t>rebate expected — reported separately from earnings</t>
        </is>
      </c>
    </row>
    <row r="91" ht="16" customHeight="1">
      <c r="A91" s="6">
        <f>"Client money in transit from "&amp;$C$40&amp;" ("&amp;$C$39&amp;")"</f>
        <v/>
      </c>
      <c r="B91" s="6" t="inlineStr">
        <is>
          <t>in</t>
        </is>
      </c>
      <c r="C91" s="24">
        <f>$C$70</f>
        <v/>
      </c>
      <c r="D91" s="17" t="inlineStr">
        <is>
          <t>client's money · the amount itself</t>
        </is>
      </c>
      <c r="E91" s="17" t="inlineStr">
        <is>
          <t>payout released (rounded as agreed)</t>
        </is>
      </c>
    </row>
    <row r="92" ht="16" customHeight="1">
      <c r="A92" s="6">
        <f>"Client money ready to pay out at "&amp;$C$40&amp;" ("&amp;$C$39&amp;")"</f>
        <v/>
      </c>
      <c r="B92" s="6" t="inlineStr">
        <is>
          <t>out</t>
        </is>
      </c>
      <c r="C92" s="24">
        <f>$C$70</f>
        <v/>
      </c>
      <c r="D92" s="17" t="inlineStr">
        <is>
          <t>client's money · the amount itself</t>
        </is>
      </c>
      <c r="E92" s="17" t="inlineStr">
        <is>
          <t>payout released</t>
        </is>
      </c>
    </row>
    <row r="93" ht="16" customHeight="1">
      <c r="A93" s="6">
        <f>"Owed to the client's receivers ("&amp;$C$39&amp;")"</f>
        <v/>
      </c>
      <c r="B93" s="6" t="inlineStr">
        <is>
          <t>in</t>
        </is>
      </c>
      <c r="C93" s="24">
        <f>$C$70</f>
        <v/>
      </c>
      <c r="D93" s="17" t="inlineStr">
        <is>
          <t>client's money · the amount itself</t>
        </is>
      </c>
      <c r="E93" s="17" t="inlineStr">
        <is>
          <t>receiver confirms in full</t>
        </is>
      </c>
    </row>
    <row r="94" ht="16" customHeight="1">
      <c r="A94" s="6">
        <f>"Client money in transit from "&amp;$C$40&amp;" ("&amp;$C$39&amp;")"</f>
        <v/>
      </c>
      <c r="B94" s="6" t="inlineStr">
        <is>
          <t>out</t>
        </is>
      </c>
      <c r="C94" s="24">
        <f>$C$70</f>
        <v/>
      </c>
      <c r="D94" s="17" t="inlineStr">
        <is>
          <t>client's money · the amount itself</t>
        </is>
      </c>
      <c r="E94" s="17" t="inlineStr">
        <is>
          <t>receiver confirms in full</t>
        </is>
      </c>
    </row>
    <row r="95" ht="16" customHeight="1">
      <c r="A95" s="6">
        <f>"NPL's earnings ("&amp;$C$39&amp;")"</f>
        <v/>
      </c>
      <c r="B95" s="6" t="inlineStr">
        <is>
          <t>in</t>
        </is>
      </c>
      <c r="C95" s="24">
        <f>$C$74</f>
        <v/>
      </c>
      <c r="D95" s="17" t="inlineStr">
        <is>
          <t>NPL's money · share paid to someone else</t>
        </is>
      </c>
      <c r="E95" s="17" t="inlineStr">
        <is>
          <t>share accrued (if any)</t>
        </is>
      </c>
    </row>
    <row r="96" ht="16" customHeight="1">
      <c r="A96" s="6">
        <f>"Owed to the other party ("&amp;$C$39&amp;")"</f>
        <v/>
      </c>
      <c r="B96" s="6" t="inlineStr">
        <is>
          <t>out</t>
        </is>
      </c>
      <c r="C96" s="24">
        <f>$C$74</f>
        <v/>
      </c>
      <c r="D96" s="17" t="inlineStr">
        <is>
          <t>NPL's money · share paid to someone else</t>
        </is>
      </c>
      <c r="E96" s="17" t="inlineStr">
        <is>
          <t>share accrued</t>
        </is>
      </c>
    </row>
    <row r="97" ht="30" customHeight="1">
      <c r="A97" s="6">
        <f>"Owed to the other party ("&amp;$C$39&amp;")"</f>
        <v/>
      </c>
      <c r="B97" s="6" t="inlineStr">
        <is>
          <t>in</t>
        </is>
      </c>
      <c r="C97" s="24">
        <f>IF($C$54="held by the client, paid monthly",$C$74,0)</f>
        <v/>
      </c>
      <c r="D97" s="17" t="inlineStr">
        <is>
          <t>NPL's money · share</t>
        </is>
      </c>
      <c r="E97" s="17" t="inlineStr">
        <is>
          <t>netted: the client keeps its share out of the money in its account</t>
        </is>
      </c>
    </row>
    <row r="98" ht="16" customHeight="1">
      <c r="A98" s="6">
        <f>"Owed to NPL by the client ("&amp;$C$39&amp;")"</f>
        <v/>
      </c>
      <c r="B98" s="6" t="inlineStr">
        <is>
          <t>out</t>
        </is>
      </c>
      <c r="C98" s="24">
        <f>IF($C$54="held by the client, paid monthly",$C$74,0)</f>
        <v/>
      </c>
      <c r="D98" s="17" t="inlineStr">
        <is>
          <t>NPL's money · earnings</t>
        </is>
      </c>
      <c r="E98" s="17" t="inlineStr">
        <is>
          <t>netted: what the client pays NPL monthly is the rest</t>
        </is>
      </c>
    </row>
    <row r="99" ht="30" customHeight="1">
      <c r="A99" s="26" t="inlineStr">
        <is>
          <t>Check: in = out in the currency paid out</t>
        </is>
      </c>
      <c r="C99" s="27">
        <f>ROUND(SUMIF($B$84:$B$98,"in",$C$84:$C$98)-SUMIF($B$84:$B$98,"out",$C$84:$C$98),6)</f>
        <v/>
      </c>
      <c r="E99" s="17" t="inlineStr">
        <is>
          <t>money never appears or disappears: every entry moves it from one place to another</t>
        </is>
      </c>
    </row>
    <row r="101">
      <c r="A101" s="15" t="inlineStr">
        <is>
          <t>E · Compare with your sheet</t>
        </is>
      </c>
    </row>
    <row r="102">
      <c r="A102" s="16" t="inlineStr">
        <is>
          <t>Figure in your sheet</t>
        </is>
      </c>
      <c r="B102" s="16" t="inlineStr">
        <is>
          <t>Your value</t>
        </is>
      </c>
      <c r="C102" s="16" t="inlineStr">
        <is>
          <t>Worked out here</t>
        </is>
      </c>
      <c r="D102" s="16" t="inlineStr">
        <is>
          <t>Difference</t>
        </is>
      </c>
      <c r="E102" s="16" t="inlineStr">
        <is>
          <t>Comment</t>
        </is>
      </c>
    </row>
    <row r="103" ht="16" customHeight="1">
      <c r="A103" s="3" t="inlineStr">
        <is>
          <t>USD delivered</t>
        </is>
      </c>
      <c r="B103" s="18" t="n">
        <v>9960</v>
      </c>
      <c r="C103" s="24">
        <f>$C$62</f>
        <v/>
      </c>
      <c r="D103" s="27">
        <f>ROUND(C103-B103,2)</f>
        <v/>
      </c>
      <c r="E103" s="17" t="inlineStr">
        <is>
          <t>sheet row 47: USDT 10,000 × 0.996</t>
        </is>
      </c>
    </row>
    <row r="105">
      <c r="A105" s="15" t="inlineStr">
        <is>
          <t>F · Please confirm</t>
        </is>
      </c>
    </row>
    <row r="106" ht="32" customHeight="1">
      <c r="A106" s="14" t="inlineStr">
        <is>
          <t>•</t>
        </is>
      </c>
      <c r="B106" s="28" t="inlineStr">
        <is>
          <t>A 0 % fee with a 0 % minimum margin means every quote passes the margin check; confirm that is intended for this stakeholder account rather than a per-deal Finance approval.</t>
        </is>
      </c>
    </row>
    <row r="107" ht="32" customHeight="1">
      <c r="A107" s="14" t="inlineStr">
        <is>
          <t>•</t>
        </is>
      </c>
      <c r="B107" s="28" t="inlineStr">
        <is>
          <t>When a conversion waits for the next business morning, the rate used is that morning's partner rate — please confirm.</t>
        </is>
      </c>
    </row>
    <row r="108" ht="32" customHeight="1">
      <c r="A108" s="14" t="inlineStr">
        <is>
          <t>•</t>
        </is>
      </c>
      <c r="B108" s="28" t="inlineStr">
        <is>
          <t>INR variant (row 46): INR 8,735,000 ÷ 100.80 — which pair and partner rate version?</t>
        </is>
      </c>
    </row>
  </sheetData>
  <mergeCells count="3">
    <mergeCell ref="B106:E106"/>
    <mergeCell ref="B107:E107"/>
    <mergeCell ref="B108:E10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cols>
    <col width="40" customWidth="1" min="1" max="1"/>
    <col width="40" customWidth="1" min="2" max="2"/>
    <col width="22" customWidth="1" min="3" max="3"/>
    <col width="18" customWidth="1" min="4" max="4"/>
    <col width="48" customWidth="1" min="5" max="5"/>
  </cols>
  <sheetData>
    <row r="1">
      <c r="A1" s="1" t="inlineStr">
        <is>
          <t>12 Same currency — Same-currency bank transfer</t>
        </is>
      </c>
    </row>
    <row r="2">
      <c r="A2" s="13" t="inlineStr">
        <is>
          <t>Example taken from your sheet, rows</t>
        </is>
      </c>
      <c r="B2" s="14" t="inlineStr">
        <is>
          <t>27</t>
        </is>
      </c>
    </row>
    <row r="4">
      <c r="A4" s="15" t="inlineStr">
        <is>
          <t>A · The set-up for this kind of deal</t>
        </is>
      </c>
    </row>
    <row r="5">
      <c r="A5" s="16" t="inlineStr">
        <is>
          <t>Item</t>
        </is>
      </c>
      <c r="B5" s="16" t="inlineStr">
        <is>
          <t>Value</t>
        </is>
      </c>
      <c r="C5" s="16" t="inlineStr">
        <is>
          <t>Where it comes from</t>
        </is>
      </c>
      <c r="D5" s="16" t="inlineStr">
        <is>
          <t>Note</t>
        </is>
      </c>
    </row>
    <row r="6" ht="42" customHeight="1">
      <c r="A6" s="3" t="inlineStr">
        <is>
          <t>Client</t>
        </is>
      </c>
      <c r="B6" s="10" t="inlineStr">
        <is>
          <t>Evolution USD, EUR, GBP (bank transfers)</t>
        </is>
      </c>
      <c r="C6" s="3" t="inlineStr">
        <is>
          <t>your sheet</t>
        </is>
      </c>
      <c r="D6" s="17" t="inlineStr">
        <is>
          <t>One set-up per client.</t>
        </is>
      </c>
    </row>
    <row r="7" ht="42" customHeight="1">
      <c r="A7" s="3" t="inlineStr">
        <is>
          <t>Who sends the money</t>
        </is>
      </c>
      <c r="B7" s="11" t="inlineStr"/>
      <c r="C7" s="3" t="inlineStr">
        <is>
          <t>please fill in</t>
        </is>
      </c>
      <c r="D7" s="17" t="inlineStr">
        <is>
          <t>The sender(s). Each must be on the list of who may pay this client's receivers.</t>
        </is>
      </c>
    </row>
    <row r="8" ht="42" customHeight="1">
      <c r="A8" s="3" t="inlineStr">
        <is>
          <t>Who gets paid</t>
        </is>
      </c>
      <c r="B8" s="10" t="inlineStr">
        <is>
          <t>Evolution (receiver side pays 1.4 %)</t>
        </is>
      </c>
      <c r="C8" s="3" t="inlineStr">
        <is>
          <t>your sheet</t>
        </is>
      </c>
      <c r="D8" s="17" t="inlineStr">
        <is>
          <t>The receiver, or the vendor. A refund goes back to the sender's own account.</t>
        </is>
      </c>
    </row>
    <row r="9" ht="54" customHeight="1">
      <c r="A9" s="3" t="inlineStr">
        <is>
          <t>Their account</t>
        </is>
      </c>
      <c r="B9" s="11" t="inlineStr"/>
      <c r="C9" s="3" t="inlineStr">
        <is>
          <t>please fill in</t>
        </is>
      </c>
      <c r="D9" s="17" t="inlineStr">
        <is>
          <t>Currency, bank account or wallet, and the route: EUR by SEPA and EUR by SWIFT count as two accounts; a wallet needs its network and address; a transfer inside the partner's own platform is its own route.</t>
        </is>
      </c>
    </row>
    <row r="10" ht="42" customHeight="1">
      <c r="A10" s="3" t="inlineStr">
        <is>
          <t>How the money comes in</t>
        </is>
      </c>
      <c r="B10" s="10" t="inlineStr">
        <is>
          <t>bank</t>
        </is>
      </c>
      <c r="C10" s="3" t="inlineStr">
        <is>
          <t>your sheet</t>
        </is>
      </c>
      <c r="D10" s="17" t="inlineStr">
        <is>
          <t>crypto, bank transfer, cash, or a one-time local bank deposit.</t>
        </is>
      </c>
    </row>
    <row r="11" ht="54" customHeight="1">
      <c r="A11" s="3" t="inlineStr">
        <is>
          <t>Where it comes in</t>
        </is>
      </c>
      <c r="B11" s="10" t="inlineStr">
        <is>
          <t>Ali vehicle · bank · route?</t>
        </is>
      </c>
      <c r="C11" s="3" t="inlineStr">
        <is>
          <t>your sheet</t>
        </is>
      </c>
      <c r="D11" s="17" t="inlineStr">
        <is>
          <t>Which partner company's wallet or bank account the sender pays into. It must be live, belong to that partner company, and be a wallet for crypto or a bank account for bank transfers.</t>
        </is>
      </c>
    </row>
    <row r="12" ht="16" customHeight="1">
      <c r="A12" s="3" t="inlineStr">
        <is>
          <t>Partner / agent</t>
        </is>
      </c>
      <c r="B12" s="10" t="inlineStr">
        <is>
          <t>Ali</t>
        </is>
      </c>
      <c r="C12" s="3" t="inlineStr">
        <is>
          <t>your sheet</t>
        </is>
      </c>
      <c r="D12" s="17" t="inlineStr"/>
    </row>
    <row r="13" ht="54" customHeight="1">
      <c r="A13" s="3" t="inlineStr">
        <is>
          <t>How the partner prices</t>
        </is>
      </c>
      <c r="B13" s="10" t="inlineStr">
        <is>
          <t>fee inside its rate</t>
        </is>
      </c>
      <c r="C13" s="3" t="inlineStr">
        <is>
          <t>your sheet</t>
        </is>
      </c>
      <c r="D13" s="17" t="inlineStr">
        <is>
          <t>'fee on top of market': the partner converts at market and states its fee separately. 'fee inside its rate': the partner's margin is built into the rate it gives.</t>
        </is>
      </c>
    </row>
    <row r="14" ht="42" customHeight="1">
      <c r="A14" s="3" t="inlineStr">
        <is>
          <t>Exchange pair</t>
        </is>
      </c>
      <c r="B14" s="10" t="inlineStr">
        <is>
          <t>EUR → EUR (also USD → EUR, GBP → EUR)</t>
        </is>
      </c>
      <c r="C14" s="3" t="inlineStr">
        <is>
          <t>your sheet</t>
        </is>
      </c>
      <c r="D14" s="17" t="inlineStr">
        <is>
          <t>currency sent → currency paid out.</t>
        </is>
      </c>
    </row>
    <row r="15" ht="54" customHeight="1">
      <c r="A15" s="3" t="inlineStr">
        <is>
          <t>Fee taken how</t>
        </is>
      </c>
      <c r="B15" s="10" t="inlineStr">
        <is>
          <t>off the rate the sender gets</t>
        </is>
      </c>
      <c r="C15" s="3" t="inlineStr">
        <is>
          <t>your sheet</t>
        </is>
      </c>
      <c r="D15" s="17" t="inlineStr">
        <is>
          <t>'off the rate the sender gets': the sender receives a lower rate. 'added to what the sender pays': the sender pays more per unit received (e.g. 7 % added to the INR-per-USD rate).</t>
        </is>
      </c>
    </row>
    <row r="16" ht="16" customHeight="1">
      <c r="A16" s="3" t="inlineStr">
        <is>
          <t>Fee applied to</t>
        </is>
      </c>
      <c r="B16" s="10" t="inlineStr">
        <is>
          <t>market rate</t>
        </is>
      </c>
      <c r="C16" s="3" t="inlineStr">
        <is>
          <t>your sheet</t>
        </is>
      </c>
      <c r="D16" s="17" t="inlineStr">
        <is>
          <t>the market rate, or the agent's rate.</t>
        </is>
      </c>
    </row>
    <row r="17" ht="42" customHeight="1">
      <c r="A17" s="3" t="inlineStr">
        <is>
          <t>Fee is</t>
        </is>
      </c>
      <c r="B17" s="10" t="inlineStr">
        <is>
          <t>fixed</t>
        </is>
      </c>
      <c r="C17" s="3" t="inlineStr">
        <is>
          <t>your sheet</t>
        </is>
      </c>
      <c r="D17" s="17" t="inlineStr">
        <is>
          <t>fixed, or decided per deal between a lowest and a highest markup.</t>
        </is>
      </c>
    </row>
    <row r="18" ht="16" customHeight="1">
      <c r="A18" s="3" t="inlineStr">
        <is>
          <t>Total fee %</t>
        </is>
      </c>
      <c r="B18" s="12" t="n">
        <v>0.028</v>
      </c>
      <c r="C18" s="3" t="inlineStr">
        <is>
          <t>your sheet</t>
        </is>
      </c>
      <c r="D18" s="17" t="inlineStr">
        <is>
          <t>sender's part + receiver's part.</t>
        </is>
      </c>
    </row>
    <row r="19" ht="16" customHeight="1">
      <c r="A19" s="3" t="inlineStr">
        <is>
          <t>Sender pays %</t>
        </is>
      </c>
      <c r="B19" s="12" t="n">
        <v>0.014</v>
      </c>
      <c r="C19" s="3" t="inlineStr">
        <is>
          <t>your sheet</t>
        </is>
      </c>
      <c r="D19" s="17" t="inlineStr"/>
    </row>
    <row r="20" ht="16" customHeight="1">
      <c r="A20" s="3" t="inlineStr">
        <is>
          <t>Receiver pays %</t>
        </is>
      </c>
      <c r="B20" s="12" t="n">
        <v>0.014</v>
      </c>
      <c r="C20" s="3" t="inlineStr">
        <is>
          <t>your sheet</t>
        </is>
      </c>
      <c r="D20" s="17" t="inlineStr">
        <is>
          <t>Taken from the client's balance when the money is converted.</t>
        </is>
      </c>
    </row>
    <row r="21" ht="16" customHeight="1">
      <c r="A21" s="3" t="inlineStr">
        <is>
          <t>Lowest markup %</t>
        </is>
      </c>
      <c r="B21" s="3" t="inlineStr"/>
      <c r="C21" s="3" t="inlineStr">
        <is>
          <t>not needed here</t>
        </is>
      </c>
      <c r="D21" s="17" t="inlineStr">
        <is>
          <t>only when the fee is decided per deal — the least NPL adds</t>
        </is>
      </c>
    </row>
    <row r="22" ht="42" customHeight="1">
      <c r="A22" s="3" t="inlineStr">
        <is>
          <t>Highest markup %</t>
        </is>
      </c>
      <c r="B22" s="3" t="inlineStr"/>
      <c r="C22" s="3" t="inlineStr">
        <is>
          <t>not needed here</t>
        </is>
      </c>
      <c r="D22" s="17" t="inlineStr">
        <is>
          <t>only when the fee is decided per deal — the most NPL adds (your 'max markup')</t>
        </is>
      </c>
    </row>
    <row r="23" ht="16" customHeight="1">
      <c r="A23" s="3" t="inlineStr">
        <is>
          <t>Minimum NPL margin %</t>
        </is>
      </c>
      <c r="B23" s="11" t="inlineStr"/>
      <c r="C23" s="3" t="inlineStr">
        <is>
          <t>please fill in</t>
        </is>
      </c>
      <c r="D23" s="17" t="inlineStr">
        <is>
          <t>A quote that earns less needs Finance's approval.</t>
        </is>
      </c>
    </row>
    <row r="24" ht="42" customHeight="1">
      <c r="A24" s="3" t="inlineStr">
        <is>
          <t>Fee shown to the customer %</t>
        </is>
      </c>
      <c r="B24" s="11" t="inlineStr"/>
      <c r="C24" s="3" t="inlineStr">
        <is>
          <t>not needed here</t>
        </is>
      </c>
      <c r="D24" s="17" t="inlineStr">
        <is>
          <t>Only when the customer-facing calculation shows a different fee from the true total. Needs a system change.</t>
        </is>
      </c>
    </row>
    <row r="25" ht="54" customHeight="1">
      <c r="A25" s="3" t="inlineStr">
        <is>
          <t>How NPL's share reaches NPL</t>
        </is>
      </c>
      <c r="B25" s="10" t="inlineStr">
        <is>
          <t>kept for NPL at the partner</t>
        </is>
      </c>
      <c r="C25" s="3" t="inlineStr">
        <is>
          <t>your sheet</t>
        </is>
      </c>
      <c r="D25" s="17" t="inlineStr">
        <is>
          <t>'kept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is>
      </c>
    </row>
    <row r="26" ht="42" customHeight="1">
      <c r="A26" s="3" t="inlineStr">
        <is>
          <t>% of the partner's fee paid back to NPL (rebate)</t>
        </is>
      </c>
      <c r="B26" s="11" t="inlineStr"/>
      <c r="C26" s="3" t="inlineStr">
        <is>
          <t>not needed here</t>
        </is>
      </c>
      <c r="D26" s="17" t="inlineStr">
        <is>
          <t>NPL's alone: never shared with anyone and counted apart from NPL's earnings on the deal (proposal H).</t>
        </is>
      </c>
    </row>
    <row r="27" ht="54" customHeight="1">
      <c r="A27" s="3" t="inlineStr">
        <is>
          <t>Markup shared with someone else</t>
        </is>
      </c>
      <c r="B27" s="3" t="inlineStr"/>
      <c r="C27" s="3" t="inlineStr">
        <is>
          <t>not needed here</t>
        </is>
      </c>
      <c r="D27" s="17" t="inlineStr">
        <is>
          <t>Who, their share of the markup after the partner's fee, and whether NPL pays it out or they keep it and pay NPL. Several parties with different shares are possible — list each.</t>
        </is>
      </c>
    </row>
    <row r="28" ht="54" customHeight="1">
      <c r="A28" s="3" t="inlineStr">
        <is>
          <t>Rounding</t>
        </is>
      </c>
      <c r="B28" s="10" t="inlineStr">
        <is>
          <t>drop the cents</t>
        </is>
      </c>
      <c r="C28" s="3" t="inlineStr">
        <is>
          <t>your sheet</t>
        </is>
      </c>
      <c r="D28" s="17" t="inlineStr">
        <is>
          <t>'drop the cents' is the rule the system has; your answer: round up to the nearest 1,000 for Asian currencies, nearest unit for USD, SGD, HKD — needs a system change.</t>
        </is>
      </c>
    </row>
    <row r="29" ht="16" customHeight="1">
      <c r="A29" s="3" t="inlineStr">
        <is>
          <t>Bank or EMI that pays out</t>
        </is>
      </c>
      <c r="B29" s="11" t="inlineStr"/>
      <c r="C29" s="3" t="inlineStr">
        <is>
          <t>please fill in</t>
        </is>
      </c>
      <c r="D29" s="17" t="inlineStr">
        <is>
          <t>and the bank fee you expect on it</t>
        </is>
      </c>
    </row>
    <row r="30" ht="42" customHeight="1">
      <c r="A30" s="3" t="inlineStr">
        <is>
          <t>Name shown on the transfer</t>
        </is>
      </c>
      <c r="B30" s="11" t="inlineStr"/>
      <c r="C30" s="3" t="inlineStr">
        <is>
          <t>please fill in</t>
        </is>
      </c>
      <c r="D30" s="17" t="inlineStr">
        <is>
          <t>what the receiver's bank statement shows — often the customer's own entity or NPL's own entity</t>
        </is>
      </c>
    </row>
    <row r="31" ht="42" customHeight="1">
      <c r="A31" s="3" t="inlineStr">
        <is>
          <t>Has the partner approved the receiver's account? (yes / pending)</t>
        </is>
      </c>
      <c r="B31" s="11" t="inlineStr"/>
      <c r="C31" s="3" t="inlineStr">
        <is>
          <t>please fill in</t>
        </is>
      </c>
      <c r="D31" s="17" t="inlineStr">
        <is>
          <t>A quote cannot be sent until the partner has approved at least one account of the receivers it will pay.</t>
        </is>
      </c>
    </row>
    <row r="33">
      <c r="A33" s="15" t="inlineStr">
        <is>
          <t>B · Worked calculation — the deal (change any value)</t>
        </is>
      </c>
    </row>
    <row r="34">
      <c r="A34" s="16" t="inlineStr">
        <is>
          <t>Item</t>
        </is>
      </c>
      <c r="B34" s="16" t="inlineStr"/>
      <c r="C34" s="16" t="inlineStr">
        <is>
          <t>Value</t>
        </is>
      </c>
      <c r="D34" s="16" t="inlineStr"/>
      <c r="E34" s="16" t="inlineStr">
        <is>
          <t>Meaning</t>
        </is>
      </c>
    </row>
    <row r="35" ht="16" customHeight="1">
      <c r="A35" s="3" t="inlineStr">
        <is>
          <t>Amount sent</t>
        </is>
      </c>
      <c r="C35" s="18" t="n">
        <v>100000</v>
      </c>
      <c r="E35" s="17" t="inlineStr">
        <is>
          <t>what the sender pays in, in the currency sent</t>
        </is>
      </c>
    </row>
    <row r="36" ht="16" customHeight="1">
      <c r="A36" s="3" t="inlineStr">
        <is>
          <t>Currency sent</t>
        </is>
      </c>
      <c r="C36" s="8" t="inlineStr">
        <is>
          <t>EUR</t>
        </is>
      </c>
      <c r="E36" s="17" t="inlineStr"/>
    </row>
    <row r="37" ht="16" customHeight="1">
      <c r="A37" s="3" t="inlineStr">
        <is>
          <t>Currency paid out</t>
        </is>
      </c>
      <c r="C37" s="8" t="inlineStr">
        <is>
          <t>EUR</t>
        </is>
      </c>
      <c r="E37" s="17" t="inlineStr"/>
    </row>
    <row r="38" ht="16" customHeight="1">
      <c r="A38" s="3" t="inlineStr">
        <is>
          <t>Partner (short name)</t>
        </is>
      </c>
      <c r="C38" s="8" t="inlineStr">
        <is>
          <t>ALI</t>
        </is>
      </c>
      <c r="E38" s="17" t="inlineStr">
        <is>
          <t>used in the bookkeeping entries below</t>
        </is>
      </c>
    </row>
    <row r="39" ht="16" customHeight="1">
      <c r="A39" s="3" t="inlineStr">
        <is>
          <t>Market rate</t>
        </is>
      </c>
      <c r="C39" s="19" t="n">
        <v>1</v>
      </c>
      <c r="E39" s="17" t="inlineStr">
        <is>
          <t>units received per 1 unit sent, at the time of the quote</t>
        </is>
      </c>
    </row>
    <row r="40" ht="30" customHeight="1">
      <c r="A40" s="3" t="inlineStr">
        <is>
          <t>Agent rate (partners whose fee is inside the rate)</t>
        </is>
      </c>
      <c r="C40" s="19" t="n">
        <v>1</v>
      </c>
      <c r="E40" s="17" t="inlineStr">
        <is>
          <t>units received per 1 unit sent, as the partner offers it; leave blank for partners that state their fee separately. If the partner quotes the other way round (e.g. 1.1738), enter 1 ÷ that</t>
        </is>
      </c>
    </row>
    <row r="41" ht="30" customHeight="1">
      <c r="A41" s="3" t="inlineStr">
        <is>
          <t>Partner's fee on top of market</t>
        </is>
      </c>
      <c r="C41" s="21" t="n">
        <v>0</v>
      </c>
      <c r="E41" s="17" t="inlineStr">
        <is>
          <t>only for partners that state their fee separately; 0 otherwise</t>
        </is>
      </c>
    </row>
    <row r="42" ht="16" customHeight="1">
      <c r="A42" s="3" t="inlineStr">
        <is>
          <t>Total fee</t>
        </is>
      </c>
      <c r="C42" s="21" t="n">
        <v>0.028</v>
      </c>
      <c r="E42" s="17" t="inlineStr"/>
    </row>
    <row r="43" ht="16" customHeight="1">
      <c r="A43" s="3" t="inlineStr">
        <is>
          <t>Sender pays</t>
        </is>
      </c>
      <c r="C43" s="21" t="n">
        <v>0.014</v>
      </c>
      <c r="E43" s="17" t="inlineStr"/>
    </row>
    <row r="44" ht="16" customHeight="1">
      <c r="A44" s="3" t="inlineStr">
        <is>
          <t>Receiver pays</t>
        </is>
      </c>
      <c r="C44" s="21" t="n">
        <v>0.014</v>
      </c>
      <c r="E44" s="17" t="inlineStr"/>
    </row>
    <row r="45" ht="16" customHeight="1">
      <c r="A45" s="3" t="inlineStr">
        <is>
          <t>Fee applied to</t>
        </is>
      </c>
      <c r="C45" s="8" t="inlineStr">
        <is>
          <t>market rate</t>
        </is>
      </c>
      <c r="E45" s="17" t="inlineStr">
        <is>
          <t>market rate / agent rate</t>
        </is>
      </c>
    </row>
    <row r="46" ht="30" customHeight="1">
      <c r="A46" s="3" t="inlineStr">
        <is>
          <t>How the partner prices</t>
        </is>
      </c>
      <c r="C46" s="8" t="inlineStr">
        <is>
          <t>fee inside its rate</t>
        </is>
      </c>
      <c r="E46" s="17" t="inlineStr">
        <is>
          <t>fee on top of market / fee inside its rate / NPL's own wallet</t>
        </is>
      </c>
    </row>
    <row r="47" ht="16" customHeight="1">
      <c r="A47" s="3" t="inlineStr">
        <is>
          <t>Fee taken how</t>
        </is>
      </c>
      <c r="C47" s="8" t="inlineStr">
        <is>
          <t>off the rate the sender gets</t>
        </is>
      </c>
      <c r="E47" s="17" t="inlineStr">
        <is>
          <t>off the rate the sender gets / added to what the sender pays</t>
        </is>
      </c>
    </row>
    <row r="48" ht="16" customHeight="1">
      <c r="A48" s="3" t="inlineStr">
        <is>
          <t>Rounding</t>
        </is>
      </c>
      <c r="C48" s="8" t="inlineStr">
        <is>
          <t>drop the cents</t>
        </is>
      </c>
      <c r="E48" s="17" t="inlineStr">
        <is>
          <t>drop the cents / nearest unit / round up / nearest 1,000</t>
        </is>
      </c>
    </row>
    <row r="49" ht="16" customHeight="1">
      <c r="A49" s="3" t="inlineStr">
        <is>
          <t>Rounding unit</t>
        </is>
      </c>
      <c r="C49" s="18" t="n">
        <v>1</v>
      </c>
      <c r="E49" s="17" t="inlineStr">
        <is>
          <t>1 for whole units; 1000 for the nearest thousand</t>
        </is>
      </c>
    </row>
    <row r="50" ht="16" customHeight="1">
      <c r="A50" s="3" t="inlineStr">
        <is>
          <t>Minimum NPL margin</t>
        </is>
      </c>
      <c r="C50" s="21" t="n">
        <v>0</v>
      </c>
      <c r="E50" s="17" t="inlineStr"/>
    </row>
    <row r="51" ht="16" customHeight="1">
      <c r="A51" s="3" t="inlineStr">
        <is>
          <t>Fee shown to the customer (blank = the true fee)</t>
        </is>
      </c>
      <c r="C51" s="22" t="inlineStr"/>
      <c r="E51" s="17" t="inlineStr">
        <is>
          <t>needs a system change when it differs</t>
        </is>
      </c>
    </row>
    <row r="52" ht="30" customHeight="1">
      <c r="A52" s="3" t="inlineStr">
        <is>
          <t>How NPL's share reaches NPL</t>
        </is>
      </c>
      <c r="C52" s="8" t="inlineStr">
        <is>
          <t>kept for NPL at the partner</t>
        </is>
      </c>
      <c r="E52" s="17" t="inlineStr">
        <is>
          <t>kept for NPL at the partner / paid back monthly / held by the client, paid monthly / NPL's own wallet</t>
        </is>
      </c>
    </row>
    <row r="53" ht="16" customHeight="1">
      <c r="A53" s="3" t="inlineStr">
        <is>
          <t>% of the partner's fee paid back (rebate)</t>
        </is>
      </c>
      <c r="C53" s="21" t="n">
        <v>0</v>
      </c>
      <c r="E53" s="17" t="inlineStr">
        <is>
          <t>NPL's alone; 0 where there is none</t>
        </is>
      </c>
    </row>
    <row r="54" ht="30" customHeight="1">
      <c r="A54" s="3" t="inlineStr">
        <is>
          <t>Share paid to someone else %</t>
        </is>
      </c>
      <c r="C54" s="21" t="n">
        <v>0</v>
      </c>
      <c r="E54" s="17" t="inlineStr">
        <is>
          <t>of the amount × market; an introducer, or the customer who provides the sub-account</t>
        </is>
      </c>
    </row>
    <row r="56">
      <c r="A56" s="15" t="inlineStr">
        <is>
          <t>C · Worked calculation — what the system works out</t>
        </is>
      </c>
    </row>
    <row r="57">
      <c r="A57" s="16" t="inlineStr">
        <is>
          <t>Figure</t>
        </is>
      </c>
      <c r="B57" s="16" t="inlineStr">
        <is>
          <t>How it is worked out</t>
        </is>
      </c>
      <c r="C57" s="16" t="inlineStr">
        <is>
          <t>Value</t>
        </is>
      </c>
      <c r="E57" s="16" t="inlineStr">
        <is>
          <t>Note</t>
        </is>
      </c>
    </row>
    <row r="58">
      <c r="A58" s="3" t="inlineStr">
        <is>
          <t>Rate the fee is applied to</t>
        </is>
      </c>
      <c r="B58" s="17" t="inlineStr">
        <is>
          <t>the market rate, or the agent rate</t>
        </is>
      </c>
      <c r="C58" s="23">
        <f>IF($C$45="market rate",$C$39,$C$40)</f>
        <v/>
      </c>
      <c r="E58" s="17" t="inlineStr"/>
    </row>
    <row r="59">
      <c r="A59" s="3" t="inlineStr">
        <is>
          <t>Rate quoted to the sender</t>
        </is>
      </c>
      <c r="B59" s="17" t="inlineStr">
        <is>
          <t>that rate less the sender's fee — or, when the fee is added to what the sender pays, that rate ÷ (1 + fee)</t>
        </is>
      </c>
      <c r="C59" s="23">
        <f>IF($C$47="added to what the sender pays",$C$58/(1+$C$43),$C$58*(1-$C$43))</f>
        <v/>
      </c>
      <c r="E59" s="17" t="inlineStr"/>
    </row>
    <row r="60">
      <c r="A60" s="3" t="inlineStr">
        <is>
          <t>Amount the sender is promised</t>
        </is>
      </c>
      <c r="B60" s="17" t="inlineStr">
        <is>
          <t>amount sent × rate quoted to the sender</t>
        </is>
      </c>
      <c r="C60" s="24">
        <f>$C$35*$C$59</f>
        <v/>
      </c>
      <c r="E60" s="17" t="inlineStr">
        <is>
          <t>before any receiver-side fee</t>
        </is>
      </c>
    </row>
    <row r="61">
      <c r="A61" s="3" t="inlineStr">
        <is>
          <t>Receiver-side fee</t>
        </is>
      </c>
      <c r="B61" s="17" t="inlineStr">
        <is>
          <t>amount promised × receiver's fee</t>
        </is>
      </c>
      <c r="C61" s="24">
        <f>$C$60*$C$44</f>
        <v/>
      </c>
      <c r="E61" s="17" t="inlineStr">
        <is>
          <t>taken from the client's balance when the money is converted</t>
        </is>
      </c>
    </row>
    <row r="62">
      <c r="A62" s="3" t="inlineStr">
        <is>
          <t>Amount the receiver is owed</t>
        </is>
      </c>
      <c r="B62" s="17" t="inlineStr">
        <is>
          <t>amount promised − receiver-side fee</t>
        </is>
      </c>
      <c r="C62" s="24">
        <f>$C$60-$C$61</f>
        <v/>
      </c>
      <c r="E62" s="17" t="inlineStr">
        <is>
          <t>what the client's balance must deliver</t>
        </is>
      </c>
    </row>
    <row r="63">
      <c r="A63" s="3" t="inlineStr">
        <is>
          <t>What the partner delivers</t>
        </is>
      </c>
      <c r="B63" s="17" t="inlineStr">
        <is>
          <t>amount × agent rate · or amount × market less the partner's fee · or amount × market when NPL converts itself</t>
        </is>
      </c>
      <c r="C63" s="24">
        <f>IF($C$46="NPL's own wallet",$C$35*$C$39,IF($C$46="fee on top of market",$C$35*$C$39*(1-$C$41),$C$35*$C$40))</f>
        <v/>
      </c>
      <c r="E63" s="17" t="inlineStr"/>
    </row>
    <row r="64">
      <c r="A64" s="3" t="inlineStr">
        <is>
          <t>Partner / agent cost</t>
        </is>
      </c>
      <c r="B64" s="17" t="inlineStr">
        <is>
          <t>amount × market − what the partner delivers (nil when NPL converts itself)</t>
        </is>
      </c>
      <c r="C64" s="24">
        <f>$C$35*$C$39-$C$63</f>
        <v/>
      </c>
      <c r="E64" s="17" t="inlineStr"/>
    </row>
    <row r="65">
      <c r="A65" s="3" t="inlineStr">
        <is>
          <t>NPL earns on this deal</t>
        </is>
      </c>
      <c r="B65" s="17" t="inlineStr">
        <is>
          <t>what the partner delivers − what the receiver is owed</t>
        </is>
      </c>
      <c r="C65" s="24">
        <f>$C$63-$C$62</f>
        <v/>
      </c>
      <c r="E65" s="17" t="inlineStr">
        <is>
          <t>locked in when the money is converted; the partner's rebate is NOT in this figure</t>
        </is>
      </c>
    </row>
    <row r="66">
      <c r="A66" s="3" t="inlineStr">
        <is>
          <t>NPL margin %</t>
        </is>
      </c>
      <c r="B66" s="17" t="inlineStr">
        <is>
          <t>NPL earns ÷ (amount × market)</t>
        </is>
      </c>
      <c r="C66" s="25">
        <f>IF($C$35*$C$39=0,0,$C$65/($C$35*$C$39))</f>
        <v/>
      </c>
      <c r="E66" s="17" t="inlineStr"/>
    </row>
    <row r="67">
      <c r="A67" s="3" t="inlineStr">
        <is>
          <t>Below the minimum margin?</t>
        </is>
      </c>
      <c r="B67" s="17" t="inlineStr">
        <is>
          <t>if so, the quote needs Finance approval</t>
        </is>
      </c>
      <c r="C67" s="6">
        <f>IF($C$66&lt;$C$50,"YES — Finance must approve","no")</f>
        <v/>
      </c>
      <c r="E67" s="17" t="inlineStr"/>
    </row>
    <row r="68">
      <c r="A68" s="3" t="inlineStr">
        <is>
          <t>Amount actually paid out</t>
        </is>
      </c>
      <c r="B68" s="17" t="inlineStr">
        <is>
          <t>amount owed, rounded as agreed</t>
        </is>
      </c>
      <c r="C68" s="24">
        <f>IF($C$48="round up",CEILING($C$62,$C$49),IF($C$48="nearest unit",MROUND($C$62,$C$49),IF($C$48="nearest 1,000",MROUND($C$62,$C$49),FLOOR($C$62,$C$49))))</f>
        <v/>
      </c>
      <c r="E68" s="17" t="inlineStr">
        <is>
          <t>only 'drop the cents' exists today; the other options need a system change (proposal F)</t>
        </is>
      </c>
    </row>
    <row r="69">
      <c r="A69" s="3" t="inlineStr">
        <is>
          <t>Cents left in the client's balance (negative = NPL's cost)</t>
        </is>
      </c>
      <c r="B69" s="17" t="inlineStr">
        <is>
          <t>amount owed − amount paid out</t>
        </is>
      </c>
      <c r="C69" s="24">
        <f>$C$62-$C$68</f>
        <v/>
      </c>
      <c r="E69" s="17" t="inlineStr"/>
    </row>
    <row r="70">
      <c r="A70" s="3" t="inlineStr">
        <is>
          <t>Rate printed on the customer's quote</t>
        </is>
      </c>
      <c r="B70" s="17" t="inlineStr">
        <is>
          <t>rate quoted to the sender ÷ (1 − fee shown) — the 'market rate' your customer-facing calculation prints</t>
        </is>
      </c>
      <c r="C70" s="23">
        <f>IF($C$51="",$C$58,$C$59/(1-$C$51))</f>
        <v/>
      </c>
      <c r="E70" s="17" t="inlineStr">
        <is>
          <t>needs a system change when it differs from the true rate (proposal C)</t>
        </is>
      </c>
    </row>
    <row r="71">
      <c r="A71" s="3" t="inlineStr">
        <is>
          <t>Rebate owed back to NPL by the partner</t>
        </is>
      </c>
      <c r="B71" s="17" t="inlineStr">
        <is>
          <t>partner's fee × % paid back — NPL's alone, never shared, tracked on its own</t>
        </is>
      </c>
      <c r="C71" s="24">
        <f>$C$64*$C$53</f>
        <v/>
      </c>
      <c r="E71" s="17" t="inlineStr">
        <is>
          <t>0 where the partner pays no rebate</t>
        </is>
      </c>
    </row>
    <row r="72">
      <c r="A72" s="3" t="inlineStr">
        <is>
          <t>Share owed to someone else</t>
        </is>
      </c>
      <c r="B72" s="17" t="inlineStr">
        <is>
          <t>amount × market × share % (the share is of NPL's earnings, not of the rebate)</t>
        </is>
      </c>
      <c r="C72" s="24">
        <f>$C$35*$C$39*$C$54</f>
        <v/>
      </c>
      <c r="E72" s="17" t="inlineStr">
        <is>
          <t>paid out of NPL's earnings</t>
        </is>
      </c>
    </row>
    <row r="73">
      <c r="A73" s="3" t="inlineStr">
        <is>
          <t>NPL keeps</t>
        </is>
      </c>
      <c r="B73" s="17" t="inlineStr">
        <is>
          <t>NPL earns − share owed + rebate</t>
        </is>
      </c>
      <c r="C73" s="24">
        <f>$C$65-$C$72+$C$71</f>
        <v/>
      </c>
      <c r="E73" s="17" t="inlineStr"/>
    </row>
    <row r="74">
      <c r="A74" s="3" t="inlineStr">
        <is>
          <t>Check: receiver + partner cost + NPL = amount × market</t>
        </is>
      </c>
      <c r="B74" s="17" t="inlineStr">
        <is>
          <t>must be zero</t>
        </is>
      </c>
      <c r="C74" s="24">
        <f>ROUND($C$62+$C$64+$C$65-$C$35*$C$39,6)</f>
        <v/>
      </c>
      <c r="E74" s="17" t="inlineStr">
        <is>
          <t>every unit sent is accounted for</t>
        </is>
      </c>
    </row>
    <row r="76">
      <c r="A76" s="15" t="inlineStr">
        <is>
          <t>D · Bookkeeping entries the system would write</t>
        </is>
      </c>
    </row>
    <row r="77">
      <c r="A77" s="16" t="inlineStr">
        <is>
          <t>Entry</t>
        </is>
      </c>
      <c r="B77" s="16" t="inlineStr">
        <is>
          <t>In / out</t>
        </is>
      </c>
      <c r="C77" s="16" t="inlineStr">
        <is>
          <t>Amount</t>
        </is>
      </c>
      <c r="D77" s="16" t="inlineStr">
        <is>
          <t>Whose money · what kind</t>
        </is>
      </c>
      <c r="E77" s="16" t="inlineStr">
        <is>
          <t>When</t>
        </is>
      </c>
    </row>
    <row r="78" ht="16" customHeight="1">
      <c r="A78" s="6">
        <f>"Client money received at "&amp;$C$38&amp;" ("&amp;$C$36&amp;")"</f>
        <v/>
      </c>
      <c r="B78" s="6" t="inlineStr">
        <is>
          <t>in</t>
        </is>
      </c>
      <c r="C78" s="24">
        <f>$C$35</f>
        <v/>
      </c>
      <c r="D78" s="17" t="inlineStr">
        <is>
          <t>client's money · the amount itself</t>
        </is>
      </c>
      <c r="E78" s="17" t="inlineStr">
        <is>
          <t>when the money arrives</t>
        </is>
      </c>
    </row>
    <row r="79" ht="16" customHeight="1">
      <c r="A79" s="6">
        <f>"Owed to the client's receivers ("&amp;$C$36&amp;")"</f>
        <v/>
      </c>
      <c r="B79" s="6" t="inlineStr">
        <is>
          <t>out</t>
        </is>
      </c>
      <c r="C79" s="24">
        <f>$C$35</f>
        <v/>
      </c>
      <c r="D79" s="17" t="inlineStr">
        <is>
          <t>client's money · the amount itself</t>
        </is>
      </c>
      <c r="E79" s="17" t="inlineStr">
        <is>
          <t>when the money arrives</t>
        </is>
      </c>
    </row>
    <row r="80" ht="16" customHeight="1">
      <c r="A80" s="6">
        <f>"Owed to the client's receivers ("&amp;$C$36&amp;")"</f>
        <v/>
      </c>
      <c r="B80" s="6" t="inlineStr">
        <is>
          <t>in</t>
        </is>
      </c>
      <c r="C80" s="24">
        <f>$C$35</f>
        <v/>
      </c>
      <c r="D80" s="17" t="inlineStr">
        <is>
          <t>client's money · the amount itself</t>
        </is>
      </c>
      <c r="E80" s="17" t="inlineStr">
        <is>
          <t>conversion — currency sent</t>
        </is>
      </c>
    </row>
    <row r="81" ht="16" customHeight="1">
      <c r="A81" s="6">
        <f>"Client money received at "&amp;$C$38&amp;" ("&amp;$C$36&amp;")"</f>
        <v/>
      </c>
      <c r="B81" s="6" t="inlineStr">
        <is>
          <t>out</t>
        </is>
      </c>
      <c r="C81" s="24">
        <f>$C$35</f>
        <v/>
      </c>
      <c r="D81" s="17" t="inlineStr">
        <is>
          <t>client's money · the amount itself</t>
        </is>
      </c>
      <c r="E81" s="17" t="inlineStr">
        <is>
          <t>conversion — currency sent</t>
        </is>
      </c>
    </row>
    <row r="82" ht="16" customHeight="1">
      <c r="A82" s="6">
        <f>"Client money ready to pay out at "&amp;$C$38&amp;" ("&amp;$C$37&amp;")"</f>
        <v/>
      </c>
      <c r="B82" s="6" t="inlineStr">
        <is>
          <t>in</t>
        </is>
      </c>
      <c r="C82" s="24">
        <f>$C$62</f>
        <v/>
      </c>
      <c r="D82" s="17" t="inlineStr">
        <is>
          <t>client's money · the amount itself (cents included)</t>
        </is>
      </c>
      <c r="E82" s="17" t="inlineStr">
        <is>
          <t>conversion — currency paid out</t>
        </is>
      </c>
    </row>
    <row r="83" ht="30" customHeight="1">
      <c r="A83" s="6">
        <f>"NPL's earnings kept at "&amp;$C$38&amp;" ("&amp;$C$37&amp;")"</f>
        <v/>
      </c>
      <c r="B83" s="6" t="inlineStr">
        <is>
          <t>in</t>
        </is>
      </c>
      <c r="C83" s="24">
        <f>IF(OR($C$52="paid back monthly",$C$52="held by the client, paid monthly"),0,$C$65)</f>
        <v/>
      </c>
      <c r="D83" s="17" t="inlineStr">
        <is>
          <t>NPL's money · earnings</t>
        </is>
      </c>
      <c r="E83" s="17" t="inlineStr">
        <is>
          <t>conversion — NPL's share left with the partner (or in NPL's own wallet)</t>
        </is>
      </c>
    </row>
    <row r="84" ht="30" customHeight="1">
      <c r="A84" s="6">
        <f>"Owed to NPL by the client ("&amp;$C$37&amp;")"</f>
        <v/>
      </c>
      <c r="B84" s="6" t="inlineStr">
        <is>
          <t>in</t>
        </is>
      </c>
      <c r="C84" s="24">
        <f>IF($C$52="held by the client, paid monthly",$C$65,0)</f>
        <v/>
      </c>
      <c r="D84" s="17" t="inlineStr">
        <is>
          <t>NPL's money · earnings</t>
        </is>
      </c>
      <c r="E84" s="17" t="inlineStr">
        <is>
          <t>conversion — the converted money went to the client's own account; NPL's share is owed by the client</t>
        </is>
      </c>
    </row>
    <row r="85" ht="16" customHeight="1">
      <c r="A85" s="6">
        <f>"Rebate owed to NPL by "&amp;$C$38&amp;" ("&amp;$C$37&amp;")"</f>
        <v/>
      </c>
      <c r="B85" s="6" t="inlineStr">
        <is>
          <t>in</t>
        </is>
      </c>
      <c r="C85" s="24">
        <f>$C$71</f>
        <v/>
      </c>
      <c r="D85" s="17" t="inlineStr">
        <is>
          <t>NPL's money · rebate (kept apart from earnings)</t>
        </is>
      </c>
      <c r="E85" s="17" t="inlineStr">
        <is>
          <t>conversion — the partner's monthly rebate</t>
        </is>
      </c>
    </row>
    <row r="86" ht="16" customHeight="1">
      <c r="A86" s="6">
        <f>"Owed to the client's receivers ("&amp;$C$37&amp;")"</f>
        <v/>
      </c>
      <c r="B86" s="6" t="inlineStr">
        <is>
          <t>out</t>
        </is>
      </c>
      <c r="C86" s="24">
        <f>$C$62</f>
        <v/>
      </c>
      <c r="D86" s="17" t="inlineStr">
        <is>
          <t>client's money · the amount itself</t>
        </is>
      </c>
      <c r="E86" s="17" t="inlineStr">
        <is>
          <t>conversion — currency paid out</t>
        </is>
      </c>
    </row>
    <row r="87" ht="16" customHeight="1">
      <c r="A87" s="6">
        <f>"NPL's earnings ("&amp;$C$37&amp;")"</f>
        <v/>
      </c>
      <c r="B87" s="6" t="inlineStr">
        <is>
          <t>out</t>
        </is>
      </c>
      <c r="C87" s="24">
        <f>$C$65</f>
        <v/>
      </c>
      <c r="D87" s="17" t="inlineStr">
        <is>
          <t>NPL's money · earnings</t>
        </is>
      </c>
      <c r="E87" s="17" t="inlineStr">
        <is>
          <t>margin recognised</t>
        </is>
      </c>
    </row>
    <row r="88" ht="16" customHeight="1">
      <c r="A88" s="6">
        <f>"NPL's rebate income ("&amp;$C$37&amp;")"</f>
        <v/>
      </c>
      <c r="B88" s="6" t="inlineStr">
        <is>
          <t>out</t>
        </is>
      </c>
      <c r="C88" s="24">
        <f>$C$71</f>
        <v/>
      </c>
      <c r="D88" s="17" t="inlineStr">
        <is>
          <t>NPL's money · rebate</t>
        </is>
      </c>
      <c r="E88" s="17" t="inlineStr">
        <is>
          <t>rebate expected — reported separately from earnings</t>
        </is>
      </c>
    </row>
    <row r="89" ht="16" customHeight="1">
      <c r="A89" s="6">
        <f>"Client money in transit from "&amp;$C$38&amp;" ("&amp;$C$37&amp;")"</f>
        <v/>
      </c>
      <c r="B89" s="6" t="inlineStr">
        <is>
          <t>in</t>
        </is>
      </c>
      <c r="C89" s="24">
        <f>$C$68</f>
        <v/>
      </c>
      <c r="D89" s="17" t="inlineStr">
        <is>
          <t>client's money · the amount itself</t>
        </is>
      </c>
      <c r="E89" s="17" t="inlineStr">
        <is>
          <t>payout released (rounded as agreed)</t>
        </is>
      </c>
    </row>
    <row r="90" ht="16" customHeight="1">
      <c r="A90" s="6">
        <f>"Client money ready to pay out at "&amp;$C$38&amp;" ("&amp;$C$37&amp;")"</f>
        <v/>
      </c>
      <c r="B90" s="6" t="inlineStr">
        <is>
          <t>out</t>
        </is>
      </c>
      <c r="C90" s="24">
        <f>$C$68</f>
        <v/>
      </c>
      <c r="D90" s="17" t="inlineStr">
        <is>
          <t>client's money · the amount itself</t>
        </is>
      </c>
      <c r="E90" s="17" t="inlineStr">
        <is>
          <t>payout released</t>
        </is>
      </c>
    </row>
    <row r="91" ht="16" customHeight="1">
      <c r="A91" s="6">
        <f>"Owed to the client's receivers ("&amp;$C$37&amp;")"</f>
        <v/>
      </c>
      <c r="B91" s="6" t="inlineStr">
        <is>
          <t>in</t>
        </is>
      </c>
      <c r="C91" s="24">
        <f>$C$68</f>
        <v/>
      </c>
      <c r="D91" s="17" t="inlineStr">
        <is>
          <t>client's money · the amount itself</t>
        </is>
      </c>
      <c r="E91" s="17" t="inlineStr">
        <is>
          <t>receiver confirms in full</t>
        </is>
      </c>
    </row>
    <row r="92" ht="16" customHeight="1">
      <c r="A92" s="6">
        <f>"Client money in transit from "&amp;$C$38&amp;" ("&amp;$C$37&amp;")"</f>
        <v/>
      </c>
      <c r="B92" s="6" t="inlineStr">
        <is>
          <t>out</t>
        </is>
      </c>
      <c r="C92" s="24">
        <f>$C$68</f>
        <v/>
      </c>
      <c r="D92" s="17" t="inlineStr">
        <is>
          <t>client's money · the amount itself</t>
        </is>
      </c>
      <c r="E92" s="17" t="inlineStr">
        <is>
          <t>receiver confirms in full</t>
        </is>
      </c>
    </row>
    <row r="93" ht="16" customHeight="1">
      <c r="A93" s="6">
        <f>"NPL's earnings ("&amp;$C$37&amp;")"</f>
        <v/>
      </c>
      <c r="B93" s="6" t="inlineStr">
        <is>
          <t>in</t>
        </is>
      </c>
      <c r="C93" s="24">
        <f>$C$72</f>
        <v/>
      </c>
      <c r="D93" s="17" t="inlineStr">
        <is>
          <t>NPL's money · share paid to someone else</t>
        </is>
      </c>
      <c r="E93" s="17" t="inlineStr">
        <is>
          <t>share accrued (if any)</t>
        </is>
      </c>
    </row>
    <row r="94" ht="16" customHeight="1">
      <c r="A94" s="6">
        <f>"Owed to the other party ("&amp;$C$37&amp;")"</f>
        <v/>
      </c>
      <c r="B94" s="6" t="inlineStr">
        <is>
          <t>out</t>
        </is>
      </c>
      <c r="C94" s="24">
        <f>$C$72</f>
        <v/>
      </c>
      <c r="D94" s="17" t="inlineStr">
        <is>
          <t>NPL's money · share paid to someone else</t>
        </is>
      </c>
      <c r="E94" s="17" t="inlineStr">
        <is>
          <t>share accrued</t>
        </is>
      </c>
    </row>
    <row r="95" ht="30" customHeight="1">
      <c r="A95" s="6">
        <f>"Owed to the other party ("&amp;$C$37&amp;")"</f>
        <v/>
      </c>
      <c r="B95" s="6" t="inlineStr">
        <is>
          <t>in</t>
        </is>
      </c>
      <c r="C95" s="24">
        <f>IF($C$52="held by the client, paid monthly",$C$72,0)</f>
        <v/>
      </c>
      <c r="D95" s="17" t="inlineStr">
        <is>
          <t>NPL's money · share</t>
        </is>
      </c>
      <c r="E95" s="17" t="inlineStr">
        <is>
          <t>netted: the client keeps its share out of the money in its account</t>
        </is>
      </c>
    </row>
    <row r="96" ht="16" customHeight="1">
      <c r="A96" s="6">
        <f>"Owed to NPL by the client ("&amp;$C$37&amp;")"</f>
        <v/>
      </c>
      <c r="B96" s="6" t="inlineStr">
        <is>
          <t>out</t>
        </is>
      </c>
      <c r="C96" s="24">
        <f>IF($C$52="held by the client, paid monthly",$C$72,0)</f>
        <v/>
      </c>
      <c r="D96" s="17" t="inlineStr">
        <is>
          <t>NPL's money · earnings</t>
        </is>
      </c>
      <c r="E96" s="17" t="inlineStr">
        <is>
          <t>netted: what the client pays NPL monthly is the rest</t>
        </is>
      </c>
    </row>
    <row r="97" ht="30" customHeight="1">
      <c r="A97" s="26" t="inlineStr">
        <is>
          <t>Check: in = out in the currency paid out</t>
        </is>
      </c>
      <c r="C97" s="27">
        <f>ROUND(SUMIF($B$82:$B$96,"in",$C$82:$C$96)-SUMIF($B$82:$B$96,"out",$C$82:$C$96),6)</f>
        <v/>
      </c>
      <c r="E97" s="17" t="inlineStr">
        <is>
          <t>money never appears or disappears: every entry moves it from one place to another</t>
        </is>
      </c>
    </row>
    <row r="99">
      <c r="A99" s="15" t="inlineStr">
        <is>
          <t>E · Compare with your sheet</t>
        </is>
      </c>
    </row>
    <row r="100">
      <c r="A100" s="16" t="inlineStr">
        <is>
          <t>Figure in your sheet</t>
        </is>
      </c>
      <c r="B100" s="16" t="inlineStr">
        <is>
          <t>Your value</t>
        </is>
      </c>
      <c r="C100" s="16" t="inlineStr">
        <is>
          <t>Worked out here</t>
        </is>
      </c>
      <c r="D100" s="16" t="inlineStr">
        <is>
          <t>Difference</t>
        </is>
      </c>
      <c r="E100" s="16" t="inlineStr">
        <is>
          <t>Comment</t>
        </is>
      </c>
    </row>
    <row r="101" ht="30" customHeight="1">
      <c r="A101" s="3" t="inlineStr">
        <is>
          <t>EUR delivered after both shares (no sheet example)</t>
        </is>
      </c>
      <c r="B101" s="18" t="n">
        <v>97219.60000000001</v>
      </c>
      <c r="C101" s="24">
        <f>$C$62</f>
        <v/>
      </c>
      <c r="D101" s="27">
        <f>ROUND(C101-B101,2)</f>
        <v/>
      </c>
      <c r="E101" s="17" t="inlineStr">
        <is>
          <t>100,000 × 0.986 × 0.986 — illustrative; the sheet has no worked example and the pair has not run for years</t>
        </is>
      </c>
    </row>
    <row r="103">
      <c r="A103" s="15" t="inlineStr">
        <is>
          <t>F · Please confirm</t>
        </is>
      </c>
    </row>
    <row r="104" ht="32" customHeight="1">
      <c r="A104" s="14" t="inlineStr">
        <is>
          <t>•</t>
        </is>
      </c>
      <c r="B104" s="28" t="inlineStr">
        <is>
          <t>Not answered in v0.1 — please confirm whether same-currency pass-through should remain in scope; if yes, the system must allow a pair with the same currency on both sides.</t>
        </is>
      </c>
    </row>
    <row r="105" ht="32" customHeight="1">
      <c r="A105" s="14" t="inlineStr">
        <is>
          <t>•</t>
        </is>
      </c>
      <c r="B105" s="28" t="inlineStr">
        <is>
          <t>Partner cost and route for EUR bank-in at Ali (no recent data in the sheet).</t>
        </is>
      </c>
    </row>
  </sheetData>
  <mergeCells count="2">
    <mergeCell ref="B104:E104"/>
    <mergeCell ref="B105:E10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0" customWidth="1" min="1" max="1"/>
    <col width="22" customWidth="1" min="2" max="2"/>
    <col width="120" customWidth="1" min="3" max="3"/>
  </cols>
  <sheetData>
    <row r="1" ht="16" customHeight="1">
      <c r="A1" s="34" t="inlineStr">
        <is>
          <t>Context  — your tab from 8 October, carried over unchanged</t>
        </is>
      </c>
    </row>
    <row r="2" ht="16" customHeight="1">
      <c r="A2" s="34" t="inlineStr">
        <is>
          <t>The below projects are just based on what NPL uses today</t>
        </is>
      </c>
    </row>
    <row r="3" ht="16" customHeight="1"/>
    <row r="4" ht="16" customHeight="1">
      <c r="A4" s="34" t="inlineStr">
        <is>
          <t>Projects</t>
        </is>
      </c>
      <c r="B4" s="34" t="inlineStr">
        <is>
          <t>Category</t>
        </is>
      </c>
      <c r="C4" s="34" t="inlineStr">
        <is>
          <t>Context</t>
        </is>
      </c>
    </row>
    <row r="5" ht="377" customHeight="1">
      <c r="A5" s="35" t="inlineStr">
        <is>
          <t>BF</t>
        </is>
      </c>
      <c r="B5" s="35" t="inlineStr">
        <is>
          <t>BF</t>
        </is>
      </c>
      <c r="C5" s="35" t="inlineStr">
        <is>
          <t>BF project is where the senders are customers of Betfair and they need to fund their own accounts with Betfair. These senders typically would send USDT which needs to be converted to EUR and sent to BF's receiving bank account. The collection methods are - USDT (but few years ago the collections also happened via INR cash and THB cash). For now its USDT only and additional currency pairs will be enabled if needed. The fund coversion is USDT to EUR. EUR gets sent to BF's receiving account (called Sporting Exchange). 
In case of Raeen (for the standard flow), they collect funds from their downlines (instead of funding on their own), as such, they NPL applies a markup in the sender facing calculation - ie 1% whereas the cost of sending the funds via Aquanow is 0.8%. This arrangement is only applicable for Aquanow because the cost of sending the funds is less than 1%. however if they did it via Ali or Jeton, then the actual cost is already be 1% so there is no room for markup.
Partners - 
NPL uses Jeton (although currently inactive), Ali and Aquanow. Aquanow is the most preferred partner right now (all transactions are happening via Aquanow currently) because they have the lowest fee for the customers. The process is also much faster as both the customers and BF has accounts within Aquanow platform and thus the EUR payment happens as an internal transfer within the platform, which is instantly recognized by BF. In contrast, a transfer from Ali's route (SWIFT) may take 1-2 days. 
Fee structure - 
for Jeton, the fee structure was straightforward i.e. Jeton applies 1% fee for most senders (for Novi the fee was 0.9%) and there is an arrangement that Jeton will pay NPL 0.4% for each transaction given as rebate (i.e. the earnings for NPL)
for Ali, NPL been calculating a revised base rate to match Jeton's 1% fee but still generate 0.3% to 0.4% margin. this is because Ali's rates are higher, so effectively the total fee applicable (against market rate) ends up around 1.5%.
for Aquanow, they charge a flat 0.8% (with 0.3% rebate for NPL, paid monthly)</t>
        </is>
      </c>
    </row>
    <row r="6" ht="338" customHeight="1">
      <c r="A6" s="35" t="inlineStr">
        <is>
          <t>BF Sub (e.g. Raeen Sub type of cases</t>
        </is>
      </c>
      <c r="B6" s="35" t="inlineStr">
        <is>
          <t>BF</t>
        </is>
      </c>
      <c r="C6" s="35" t="inlineStr">
        <is>
          <t>In case of Sub Accounts (also BF) Senders get a sub account from another customer. So they fund these accounts at a premium. NPL works out an arrangement with the customer providing the sub account to share the margin from the collections. As such, the sender facing rate is higher than what it actually costs to remit the funds. 
Partners - 
NPL will utilize either Aquanow or Ali for BF Sub type of transactions.
If its Ali, then the bank transfer is sent to BF under the narrative of the actual customer who is providing the sub accounts (e.g. Raeen). once the funds are received at Betfair, they are allocated into the sub account by the customer (ie Raeen)
If its Aquanow, then the funds go into Raeen's aquanow account and they allocate the funds into the sub account accordingly.
Fee structure - 
The sender collection computation will be similar for both Ali and Aquanow
first deduct the markup % from the sent amount 
then get the rest converted as per partner rate
then for customer, recompute using the converted EUR value.
if this was done via Aquanow, for a USDT 50K transfer, the actual amount being converted would be 48,500 (i.e. minus 3%) which yielded 48,500 x 0.856086 = EUR 41,520.71. So then for the customer, the calculation is reversed to show 50,000 x new_rate = EUR 41,520.71</t>
        </is>
      </c>
    </row>
    <row r="7" ht="78" customHeight="1">
      <c r="A7" s="35" t="inlineStr">
        <is>
          <t>BF withdrawal</t>
        </is>
      </c>
      <c r="B7" s="35" t="inlineStr">
        <is>
          <t>BF</t>
        </is>
      </c>
      <c r="C7" s="35" t="inlineStr">
        <is>
          <t xml:space="preserve">BF Withdrawal project is where the BF customers take funds back from their BF accounts. In this case BF sends the bank transfer to the partner that can receive bank transfer on behalf of the customer. Currently only partner that can do this is Jeton. The process is that customer requests BF to initiate the withdrawal to the Jeton provided bank account. NPL is notified that the transfer is initiated (and occasionally they may provide a transfer slip - mostly they dont). When Jeton receives the incoming wire transfer, they notify NPL. NPL then asks for the amount to be converted to USDT (Jeton applies their 1% fee over market rate) and the USDT is subsequently sent to the customer. </t>
        </is>
      </c>
    </row>
    <row r="8" ht="409" customHeight="1">
      <c r="A8" s="35" t="inlineStr">
        <is>
          <t>Evo</t>
        </is>
      </c>
      <c r="B8" s="35" t="inlineStr">
        <is>
          <t>Evo</t>
        </is>
      </c>
      <c r="C8" s="35" t="inlineStr">
        <is>
          <t xml:space="preserve">Evo has multiple senders and 2 receiver groups - Bplay and Tbet. 
Bplay has 3 receiving entities:
-- Babylon (sending narrative is Bplay paying Babylon - invoice reference)
-- Bplay (sending narrative is Bplay transferring from its account with partner to its own bank account - self transfer)
-- Lex (sending narrative is Bplay transferring from its account with partner to its subsidiary - self transfer)
TBet has 1 receiving entity:
-- TBet (sending narrative is Tbet transferring from its account with partner to its own bank account - self transfer)
Senders are designated per group - i.e. some senders will belong to Bplay group and some will belong to TBet group. Senders are essentially customers of Evo and are paying their invoices to Evo. Some senders may pay what they can (collect-convert) and others pay exact invoice value (quote-collect-convert)
Partners:
Ali - can send to Babylon and TBet (SWIFT transfers). Ali can collect USDT as well as other currencies.
Jeton - can send to Bplay, Lex (not being used currently) and TBet. Jeton can only collect USDT
Fee Structure:
All conversions are done into EUR.
- Most collections are in USDT - where standard fee structure is sender 1.4% and receiver 0.6%. both sides of the calculation are applied at the time of conversion (a few senders have a discounted "sender" rate of 1%). The sender only sees the sender rate &amp; sender-facing calculation. If the collection is done via Ali, then rate comparison is done in the morning and anything before 2.30pm GMT+8 can be converted instantly. For collections initiated after 2.30pm GMT+8 Ali can't lock in the rate and thus, the collection is done and the sender-facing calculation is done as per the original approach, however the actual conversion only happens on the next business day. 
- for other currencies, the rate is taken from Ali in the morning and the deal is confirmed before 2.30pm GMT+8. the sender is required to complete the transfer during the day and the conversion is done once the collection is indicated as completed. The 2.30pm gmt+8 is essentially a bank cutoff where any currency pair that is dependent on the banking channel has to be locked in (since in Evo's case all conversions are to EUR, this condition is enforced). Even if the transaction happens later in the day, as long as the rate / deal is locked with the partner, the transaction can be converted on that day's Partner rate). </t>
        </is>
      </c>
    </row>
    <row r="9" ht="403" customHeight="1">
      <c r="A9" s="35" t="inlineStr">
        <is>
          <t>Game Reseller</t>
        </is>
      </c>
      <c r="B9" s="35" t="inlineStr">
        <is>
          <t>Game Reseller</t>
        </is>
      </c>
      <c r="C9" s="35" t="inlineStr">
        <is>
          <t>Game reseller is where NPL resells games to different customers (gets wholesale rate from vendors and sells at retail - thus an arbitrage play). From remittance standpoint, NPL needs to collect its invoice receivables from its customers, so that it can pay its vendors.
Partners:
Ali only (for THB cash), otherwise USDT collections happen directly into NPL's own wallet. Occassionally NPL can receive the USDT into Ali's wallet for holding (from the system standpoint, this wallet from Ali, in this case, can be considered as NPL's wallet). 
Fee structure:
For one customer (27 Group), they pay via THB cash, so in this case theTHB needs to be collected by Ali. Customer always pays based on an EUR value (either against an invoice or advance against a future invoice). As such, the customer is given a EUR&gt;THB rate (based on market rate + 2% markup). Consideration for this is that Ali will be required to convert the THB to USDT and that rate should be below 1.5% of market rate - this is to make sure NPL has a 0.5% margin (minimum). If Ali's rate is not acceptable, no collection will be arranged. Once the collection and subsequent conversion happens. the USDT is either moved to NPL's wallet or kept with Ali (NPL-as-a-client's balance). 
For all other customers, they pay in USDT itself, so they are given EUR&gt;USDT calculation and the USDT amount is collected by NPL.
After USDT accumulates in NPL's wallet, the funds are used to pay the vendors (different days).  Please note that the market rate for EUR&gt;USDT used at the time of collection (i.e. collecting USDT equivalent to the EUR invoice value) may have a positive/negative movement to the USDT&gt;EUR rate at the time of actual vendor invoice payment. While NPL's is collecting the EUR value based on retail invoice and paying vendor based on wholesale invoice value, the forex gain/loss from rate variance shouldn't eat into the reseller revenue. This is why the markup of 2% is charged on all collections. The 2% remittance markup needs to handle the forex variance without losing reseller revenue. 
There is a possibility that one of these customers may choose to pay in INR (cash). In such a scenario, the process will be same as THB Cash.</t>
        </is>
      </c>
    </row>
    <row r="10" ht="65" customHeight="1">
      <c r="A10" s="35" t="inlineStr">
        <is>
          <t>JTN-JPY Cash</t>
        </is>
      </c>
      <c r="B10" s="35" t="inlineStr">
        <is>
          <t>JTN-JPY Cash</t>
        </is>
      </c>
      <c r="C10" s="35" t="inlineStr">
        <is>
          <t>JTN-JPY cash is where JTN sends USDT to Ali (NPL faciliates) and USDT is converted to JPY cash and handed over to them. So the sender and receiver are essentially the same party (we can just use the same names in both fields). The rate for the day is taken from Ali, compared, and then quoted with a variable markup. the markup differs based on how high or low the partner rate is. There is a max markup of 0.5%. Generally, the total fee = agent fee + 0.2% to 0.5% is between 1% to 1.8%</t>
        </is>
      </c>
    </row>
    <row r="11" ht="156" customHeight="1">
      <c r="A11" s="35" t="inlineStr">
        <is>
          <t>YN Remit</t>
        </is>
      </c>
      <c r="B11" s="35" t="inlineStr">
        <is>
          <t>YN Remit</t>
        </is>
      </c>
      <c r="C11" s="35" t="inlineStr">
        <is>
          <t>YN Group has multiple third party invoice payments that they ask for NPL's help with. Usually they will have a clear sending entity and receiving entity relationship including the invoice that needs to be paid + KYC of the sending entity that can be onboarded on to Ali's PT channels. Once the route is reviewed and approved based on the provided documentation, NPL faciliates the collection based on quote first approach (the fee used is partner rate + 0.5% markup) - YN sends the required USDT to cover the invoice value to be transferred via bank transfer.
The common currency pairs are USDT&gt;USD, USDT&gt;EUR, USDT&gt;GBP
When sending the outgoing bank transfer (settlement), the sending entity and receiving entity are defined as per the invoice and KYC. Occassionally NPL's own entity may be used as a declared sender (if a route was not possible using the actual documentation).</t>
        </is>
      </c>
    </row>
    <row r="12" ht="195" customHeight="1">
      <c r="A12" s="35" t="inlineStr">
        <is>
          <t>GDC</t>
        </is>
      </c>
      <c r="B12" s="35" t="inlineStr">
        <is>
          <t>GDC</t>
        </is>
      </c>
      <c r="C12" s="35" t="inlineStr">
        <is>
          <t xml:space="preserve">GDC needs to convert USDT to USD and wants the funds in their bank account. Similar to JTN-JPY Cash, the sender and receiver are the same. However GDC has multiple receiving entities and they specify how much needs to be sent to which receiving account.
few of the receiving entity accounts they use are:
- Adu Ads
- Ad Fusion
- TDC
- Pixel Labs
The process is straightforward - i.e. they specify the amount they need to transfer to receiver (bank transfer). Based on that NPL quotes the USDT value (USD-USDT rate is considered as 1:1 + 2.5% fee). The Fee is lowered to 2.25% if their monthly processing volume is more than USD 500,000 (as per calendar month). Their usual monthly volumes are less than 200k, but they have hit the 500K limit once few months ago. </t>
        </is>
      </c>
    </row>
    <row r="13" ht="26" customHeight="1">
      <c r="A13" s="35" t="inlineStr">
        <is>
          <t>66 Group</t>
        </is>
      </c>
      <c r="B13" s="35" t="inlineStr">
        <is>
          <t>66 Group</t>
        </is>
      </c>
      <c r="C13" s="35" t="inlineStr">
        <is>
          <t>66 Group sometimes requires their invoices to be paid in different currencies - exactly similar to YN Remit. However sometimes they may do the collections payment in INR (cash)</t>
        </is>
      </c>
    </row>
    <row r="14" ht="169" customHeight="1">
      <c r="A14" s="35" t="inlineStr">
        <is>
          <t>AK Personal</t>
        </is>
      </c>
      <c r="B14" s="35" t="inlineStr">
        <is>
          <t>AK Personal</t>
        </is>
      </c>
      <c r="C14" s="35" t="inlineStr">
        <is>
          <t xml:space="preserve">AK personal is the account of one of the NPL stakeholder. This account is operated with Ali and while collection &amp; conversions happen normally the settlement is not done immediately. The balance simply sits with the partner (the balance holding threshold is refreshed/updated from time to time - but for the time being we can assume it to USD 400K equivalent). While the balances sit in the account, the stakeholder may request different payments/withdrawals (via local bank payment, SWIFT bank transfers, USDT transfers or cash withdrawals). There is no markup on these transactions, so the conversion simply happens as per the partner rate.
Also the currencies in which the balance is maintained (currently) are USD, SGD, USDT, however may change in the future. 
The USD, SGD conversion are dependent on bank cutoff as these are banking-ready balances. So if a collection of 10K USDT happens at night and it needs to be converted to SGD, the conversion will only happen next business day morning. </t>
        </is>
      </c>
    </row>
    <row r="15" ht="39" customHeight="1">
      <c r="A15" s="35" t="inlineStr">
        <is>
          <t>Peru Remittance</t>
        </is>
      </c>
      <c r="B15" s="35" t="inlineStr">
        <is>
          <t>Peru Remittance</t>
        </is>
      </c>
      <c r="C15" s="35" t="inlineStr">
        <is>
          <t xml:space="preserve">Peru Remittance is a project where the client sends bank transfers to Ali's receiving entity (a production company in Indonesia - PT Silver Lining Production) and the amounts are subsequently converted to USDT. Ali's rate for this specific remittance USD&gt;USDT is 3% and NPL applies a 1% markup so total fee applied to the the client is 4%.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0" customWidth="1" min="2" max="2"/>
  </cols>
  <sheetData>
    <row r="1" ht="16" customHeight="1">
      <c r="A1" s="34" t="inlineStr">
        <is>
          <t>Following Payment methods are possible (current)  — your tab from 8 October, carried over unchanged</t>
        </is>
      </c>
    </row>
    <row r="2" ht="16" customHeight="1">
      <c r="A2" s="34" t="inlineStr">
        <is>
          <t>Methods</t>
        </is>
      </c>
      <c r="B2" s="34" t="inlineStr">
        <is>
          <t>Process</t>
        </is>
      </c>
    </row>
    <row r="3" ht="16" customHeight="1">
      <c r="A3" s="35" t="inlineStr">
        <is>
          <t>With Ali:</t>
        </is>
      </c>
    </row>
    <row r="4" ht="364" customHeight="1">
      <c r="A4" s="35" t="inlineStr">
        <is>
          <t>Cash</t>
        </is>
      </c>
      <c r="B4" s="35" t="inlineStr">
        <is>
          <t xml:space="preserve">1. NPL shares the rate from the partner with the sender by afternoon HK time (depending on whether the conversion type involves bank route, this will likely happen before the 2.30pm GMT+8 cutoff time)
2. once the rate is confirmed by sender, NPL arranges the cash collection. This is done in the form of a "token" (a token is a local currency bill and the receiving party shares the serial number of the token and their contact details in advance)
3. NPL gets the token # + contact details of the receiving agent (from the partner) and shares it with sender.
4. Sender's point of contact communicates with the receiving agent and figures out the location/meeting time
5. at the meet, the receiving agent shows the token (since every currency bill has a unique serial #, this verifies that the receiving agent is the right person). 
6. the sender then gives the cash to the receiving agent. The receiving agent hands over the token as a proof of collection.
7. since the sender now has the physical token, they share a photo of the token with NPL team.
8. NPL team shares the token photo with the partner to close the loop.
9. once they count the funds, the partner confirms with NPL that the funds are accounted for. after this NPL arranges the settlement.
Note - the process for cash collection and cash settlement are exactly same, just that the sender and receiver roles are switched. 
For Cash collection/settlement, the general location needs to be known before the token can be arranged. The rates may also vary based on location. For eg. INR collection via Cash in Delhi vs. Mumbai will mean 2 different rates. USD cash in Bangkok vs. Singapore will equally be handled by different local agents, different rates, etc. </t>
        </is>
      </c>
    </row>
    <row r="5" ht="286" customHeight="1">
      <c r="A5" s="35" t="inlineStr">
        <is>
          <t>USDT</t>
        </is>
      </c>
      <c r="B5" s="35" t="inlineStr">
        <is>
          <t>Collection:
1. NPL asks the sender to declare their sending wallet.
2. NPL team does a screening of the source wallet
3. If the wallet risk profile is acceptable they share the appropriate partner's receiving wallet (where the collection will happen) with the sender. If the risk profile is high (but can still be accepted, there are alternate receiving wallets where the funds are sent. If the risk profile is not acceptable, then the sender is requested to arrange a different wallet. 
4. the sender sends the transfer and shares the Tx hash
5. NPL team verifies the Tx Hash on the blockchain (tronscan or etherscan)
6. if the funds are shown as confirmed on blockchain, the hash is shared with the partner
7. Partner confirms the funds are received. 
Note - for Evo, the upfront sender wallet screening is not done across all senders (as not all of them are okay with the friction).
Note - for settlement, NPL verifies the receiver's wallet and screens it and then proceeds to get the partner to execute the settlement transfer. Once the partner provides the hash, it is shared with the receiver and once the receiver confirms that the funds are received, the process is considered as completed.</t>
        </is>
      </c>
    </row>
    <row r="6" ht="409" customHeight="1">
      <c r="A6" s="35" t="inlineStr">
        <is>
          <t>Bank Transfer (International - SWIFT, maybe SEPA in the future)</t>
        </is>
      </c>
      <c r="B6" s="35" t="inlineStr">
        <is>
          <t xml:space="preserve">For Collection:
1. NPL gets the sender's bank account and company profile (company name, address, nature of business) and asks the partner for a receiving account. NPL also asks for additional KYC docs if the partner requires it.
2. If the partner approves the sender and arranges a collection receiving account, then the details are shared with the sender.
3. Sender executes the transfer and shares the proof of transfer with NPL team.
4. NPL team then shares the transfer proof/slip with the partner
5. once the partner gets the incoming transfer, they confirm with NPL team.
6. Based on the currency pair/conversion flow agreed with the sender prior to the transfer, NPL then asks the partner to convert the funds received via bank transfer. 
7. converted value is now available for settlement.
For Settlement:
1. NPL gets the receiver's bank details and company profile + additional KYC if needed. 
2. The partner confirms whether they can send to this destination or not and which route will be utilized. 
3. If the settlement bank details are approved, then the collection is initiated.
4. Once the collection has been completed, the settlement bank transfer is initiated.
5. The partner shares the transfer slip with NPL team.
6. NPL team shares this transfer slip with the client/receiver
7. Once the client/receiver confirms that the bank transfer has been received, the process is marked as complete. Occasionnaly the client/receiver will ask for the fees in the bank transfer to be covered (which will be accepted on special cases)
8. If the receiver doesn't receive the bank transfer, NPL team will ask partner to inquire with the banking channel (e.g. PT Sukses, PT Global). 
9. If the transfer gets returned to sender (i.e. back to the partner), NPL team will coordinate the follow up - either resend, use returned funds for another transfer or reconvert/return the funds to original sender/client. </t>
        </is>
      </c>
    </row>
    <row r="7" ht="377" customHeight="1">
      <c r="A7" s="35" t="inlineStr">
        <is>
          <t>Local Bank deposit/payment</t>
        </is>
      </c>
      <c r="B7" s="35" t="inlineStr">
        <is>
          <t>For collection:
Local bank account deposits utilize ad hoc accounts arranged by the partner. These are not meant to be used perpetually and typically one time use only. 
1. NPL gets the local deposit bank details from the partner
2. NPL shares the local bank account (name, account number, bank name and specific amount to be deposited) with the sender
3. sender makes the payment (either deposit in the branch phyically or local online transfer)
4. sender than shares proof of the transfer/deposit/payment
5. NPL shares this proof of transfer/deposit/payment with the partner. 
6. Partner then confirms whether the funds have been recognized.
7. If there is any follow up issue with the transfer, e.g. the receiving account was frozen by the bank - then the partner will require the sender to confirm if their account is still functional (meaning they didn;t cause the freeze). If such a case happens and the receiver looses the funds due to sender's issue, then this will act as a reversal of collection. 
For settlement:
1. the receiver shares their local bank account (provided the partner confirms this option is possible and in which country it needs to be done). Usually local account payments (settlements) for small amounts are accepted for SG, HK, Indonesia, Thailand, etc. 
2. the NPL team shares the payment instructions (name, account number, bank, amount) with the partner.
3. Partner makes the payment and shares the proof (usually this is via cash deposits or in some cases bank to bank local online transfer)
4. Receiver confirms they received the funds. transaction is complete.</t>
        </is>
      </c>
    </row>
    <row r="8" ht="16" customHeight="1"/>
    <row r="9" ht="16" customHeight="1">
      <c r="A9" s="35" t="inlineStr">
        <is>
          <t>With Jeton:</t>
        </is>
      </c>
    </row>
    <row r="10" ht="16" customHeight="1">
      <c r="A10" s="35" t="inlineStr">
        <is>
          <t>USDT</t>
        </is>
      </c>
      <c r="B10" s="35" t="inlineStr">
        <is>
          <t>Same as above</t>
        </is>
      </c>
    </row>
    <row r="11" ht="16" customHeight="1">
      <c r="A11" s="35" t="inlineStr">
        <is>
          <t>Bank Transfer (International - SWIFT/SEPA)</t>
        </is>
      </c>
      <c r="B11" s="35" t="inlineStr">
        <is>
          <t>Same as above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60"/>
  <sheetViews>
    <sheetView workbookViewId="0">
      <selection activeCell="A1" sqref="A1"/>
    </sheetView>
  </sheetViews>
  <sheetFormatPr baseColWidth="8" defaultRowHeight="15"/>
  <cols>
    <col width="26" customWidth="1" min="1" max="1"/>
    <col width="44" customWidth="1" min="2" max="2"/>
    <col width="70" customWidth="1" min="3" max="3"/>
  </cols>
  <sheetData>
    <row r="1">
      <c r="A1" s="1" t="inlineStr">
        <is>
          <t>For New XP — where each item lands in the data model (ERD v5.2; proposals A–M per 'Model Gaps &amp; Proposals v1.0'). Not for NPL to fill.</t>
        </is>
      </c>
    </row>
    <row r="3">
      <c r="A3" s="16" t="inlineStr">
        <is>
          <t>Pattern sheet</t>
        </is>
      </c>
      <c r="B3" s="16" t="inlineStr">
        <is>
          <t>Item</t>
        </is>
      </c>
      <c r="C3" s="16" t="inlineStr">
        <is>
          <t>Model field / entity</t>
        </is>
      </c>
    </row>
    <row r="4">
      <c r="A4" s="6" t="inlineStr">
        <is>
          <t>1 Market minus fee</t>
        </is>
      </c>
      <c r="B4" s="3" t="inlineStr">
        <is>
          <t>(entities)</t>
        </is>
      </c>
      <c r="C4" s="3" t="inlineStr">
        <is>
          <t>PROJECT, SENDER, RECEIVER, PARTNER_PAIR (market_plus_pct), FEE_STRUCTURE (basis market), PARTNER_REBATE_RULE + PARTNER_REBATE_ACCRUAL, CONVERSION, DISBURSEMENT</t>
        </is>
      </c>
    </row>
    <row r="5">
      <c r="A5" s="6" t="inlineStr">
        <is>
          <t>1 Market minus fee</t>
        </is>
      </c>
      <c r="B5" s="3" t="inlineStr">
        <is>
          <t>Client</t>
        </is>
      </c>
      <c r="C5" s="3" t="inlineStr">
        <is>
          <t>PROJECT.name</t>
        </is>
      </c>
    </row>
    <row r="6">
      <c r="A6" s="6" t="inlineStr">
        <is>
          <t>1 Market minus fee</t>
        </is>
      </c>
      <c r="B6" s="3" t="inlineStr">
        <is>
          <t>Who sends the money</t>
        </is>
      </c>
      <c r="C6" s="3" t="inlineStr">
        <is>
          <t>SENDER + SENDER_RECEIVER_ALLOW</t>
        </is>
      </c>
    </row>
    <row r="7">
      <c r="A7" s="6" t="inlineStr">
        <is>
          <t>1 Market minus fee</t>
        </is>
      </c>
      <c r="B7" s="3" t="inlineStr">
        <is>
          <t>Who gets paid</t>
        </is>
      </c>
      <c r="C7" s="3" t="inlineStr">
        <is>
          <t>RECEIVER → RECEIVING_ENTITY (+ RECEIVER_GROUP)</t>
        </is>
      </c>
    </row>
    <row r="8">
      <c r="A8" s="6" t="inlineStr">
        <is>
          <t>1 Market minus fee</t>
        </is>
      </c>
      <c r="B8" s="3" t="inlineStr">
        <is>
          <t>Their account</t>
        </is>
      </c>
      <c r="C8" s="3" t="inlineStr">
        <is>
          <t>RECEIVING_ENTITY_ACCOUNT (currency, rail, account_kind)</t>
        </is>
      </c>
    </row>
    <row r="9">
      <c r="A9" s="6" t="inlineStr">
        <is>
          <t>1 Market minus fee</t>
        </is>
      </c>
      <c r="B9" s="3" t="inlineStr">
        <is>
          <t>How the money comes in</t>
        </is>
      </c>
      <c r="C9" s="3" t="inlineStr">
        <is>
          <t>DEAL.collection_method</t>
        </is>
      </c>
    </row>
    <row r="10">
      <c r="A10" s="6" t="inlineStr">
        <is>
          <t>1 Market minus fee</t>
        </is>
      </c>
      <c r="B10" s="3" t="inlineStr">
        <is>
          <t>Where it comes in</t>
        </is>
      </c>
      <c r="C10" s="3" t="inlineStr">
        <is>
          <t>PARTNER_ENTITY → COLLECTION_RECEIVING_ENDPOINT</t>
        </is>
      </c>
    </row>
    <row r="11">
      <c r="A11" s="6" t="inlineStr">
        <is>
          <t>1 Market minus fee</t>
        </is>
      </c>
      <c r="B11" s="3" t="inlineStr">
        <is>
          <t>Partner / agent</t>
        </is>
      </c>
      <c r="C11" s="3" t="inlineStr">
        <is>
          <t>PARTNER + PARTNER_CONFIG</t>
        </is>
      </c>
    </row>
    <row r="12">
      <c r="A12" s="6" t="inlineStr">
        <is>
          <t>1 Market minus fee</t>
        </is>
      </c>
      <c r="B12" s="3" t="inlineStr">
        <is>
          <t>How the partner prices</t>
        </is>
      </c>
      <c r="C12" s="3" t="inlineStr">
        <is>
          <t>PARTNER_PAIR.partner_pricing (+ partner_markup_pct)</t>
        </is>
      </c>
    </row>
    <row r="13">
      <c r="A13" s="6" t="inlineStr">
        <is>
          <t>1 Market minus fee</t>
        </is>
      </c>
      <c r="B13" s="3" t="inlineStr">
        <is>
          <t>Exchange pair</t>
        </is>
      </c>
      <c r="C13" s="3" t="inlineStr">
        <is>
          <t>CURRENCY_PAIR (from → to)</t>
        </is>
      </c>
    </row>
    <row r="14">
      <c r="A14" s="6" t="inlineStr">
        <is>
          <t>1 Market minus fee</t>
        </is>
      </c>
      <c r="B14" s="3" t="inlineStr">
        <is>
          <t>Fee taken how</t>
        </is>
      </c>
      <c r="C14" s="3" t="inlineStr">
        <is>
          <t>CURRENCY_PAIR.quote_direction</t>
        </is>
      </c>
    </row>
    <row r="15">
      <c r="A15" s="6" t="inlineStr">
        <is>
          <t>1 Market minus fee</t>
        </is>
      </c>
      <c r="B15" s="3" t="inlineStr">
        <is>
          <t>Fee applied to</t>
        </is>
      </c>
      <c r="C15" s="3" t="inlineStr">
        <is>
          <t>FEE_STRUCTURE.rate_basis</t>
        </is>
      </c>
    </row>
    <row r="16">
      <c r="A16" s="6" t="inlineStr">
        <is>
          <t>1 Market minus fee</t>
        </is>
      </c>
      <c r="B16" s="3" t="inlineStr">
        <is>
          <t>Fee is</t>
        </is>
      </c>
      <c r="C16" s="3" t="inlineStr">
        <is>
          <t>FEE_STRUCTURE.mode</t>
        </is>
      </c>
    </row>
    <row r="17">
      <c r="A17" s="6" t="inlineStr">
        <is>
          <t>1 Market minus fee</t>
        </is>
      </c>
      <c r="B17" s="3" t="inlineStr">
        <is>
          <t>Total fee %</t>
        </is>
      </c>
      <c r="C17" s="3" t="inlineStr">
        <is>
          <t>FEE_STRUCTURE.pct</t>
        </is>
      </c>
    </row>
    <row r="18">
      <c r="A18" s="6" t="inlineStr">
        <is>
          <t>1 Market minus fee</t>
        </is>
      </c>
      <c r="B18" s="3" t="inlineStr">
        <is>
          <t>Sender pays %</t>
        </is>
      </c>
      <c r="C18" s="3" t="inlineStr">
        <is>
          <t>FEE_STRUCTURE.sender_share_pct</t>
        </is>
      </c>
    </row>
    <row r="19">
      <c r="A19" s="6" t="inlineStr">
        <is>
          <t>1 Market minus fee</t>
        </is>
      </c>
      <c r="B19" s="3" t="inlineStr">
        <is>
          <t>Receiver pays %</t>
        </is>
      </c>
      <c r="C19" s="3" t="inlineStr">
        <is>
          <t>FEE_STRUCTURE.receiver_share_pct</t>
        </is>
      </c>
    </row>
    <row r="20">
      <c r="A20" s="6" t="inlineStr">
        <is>
          <t>1 Market minus fee</t>
        </is>
      </c>
      <c r="B20" s="3" t="inlineStr">
        <is>
          <t>Lowest markup %</t>
        </is>
      </c>
      <c r="C20" s="3" t="inlineStr">
        <is>
          <t>FEE_STRUCTURE.floor_pct</t>
        </is>
      </c>
    </row>
    <row r="21">
      <c r="A21" s="6" t="inlineStr">
        <is>
          <t>1 Market minus fee</t>
        </is>
      </c>
      <c r="B21" s="3" t="inlineStr">
        <is>
          <t>Highest markup %</t>
        </is>
      </c>
      <c r="C21" s="3" t="inlineStr">
        <is>
          <t>FEE_STRUCTURE.cap_pct</t>
        </is>
      </c>
    </row>
    <row r="22">
      <c r="A22" s="6" t="inlineStr">
        <is>
          <t>1 Market minus fee</t>
        </is>
      </c>
      <c r="B22" s="3" t="inlineStr">
        <is>
          <t>Minimum NPL margin %</t>
        </is>
      </c>
      <c r="C22" s="3" t="inlineStr">
        <is>
          <t>FEE_STRUCTURE.min_margin_pct</t>
        </is>
      </c>
    </row>
    <row r="23">
      <c r="A23" s="6" t="inlineStr">
        <is>
          <t>1 Market minus fee</t>
        </is>
      </c>
      <c r="B23" s="3" t="inlineStr">
        <is>
          <t>Fee shown to the customer %</t>
        </is>
      </c>
      <c r="C23" s="3" t="inlineStr">
        <is>
          <t>FEE_STRUCTURE.displayed_fee_pct (proposal C)</t>
        </is>
      </c>
    </row>
    <row r="24">
      <c r="A24" s="6" t="inlineStr">
        <is>
          <t>1 Market minus fee</t>
        </is>
      </c>
      <c r="B24" s="3" t="inlineStr">
        <is>
          <t>How NPL's share reaches NPL</t>
        </is>
      </c>
      <c r="C24" s="3" t="inlineStr">
        <is>
          <t>pool at partner / PARTNER_REBATE_RULE / REFERRAL_RULE settled by the client (proposal G) / own desk (proposal D)</t>
        </is>
      </c>
    </row>
    <row r="25">
      <c r="A25" s="6" t="inlineStr">
        <is>
          <t>1 Market minus fee</t>
        </is>
      </c>
      <c r="B25" s="3" t="inlineStr">
        <is>
          <t>% of the partner's fee paid back to NPL (rebate)</t>
        </is>
      </c>
      <c r="C25" s="3" t="inlineStr">
        <is>
          <t>PARTNER_REBATE_RULE.pct_of_partner_fee</t>
        </is>
      </c>
    </row>
    <row r="26">
      <c r="A26" s="6" t="inlineStr">
        <is>
          <t>1 Market minus fee</t>
        </is>
      </c>
      <c r="B26" s="3" t="inlineStr">
        <is>
          <t>Markup shared with someone else</t>
        </is>
      </c>
      <c r="C26" s="3" t="inlineStr">
        <is>
          <t>INTRODUCER + REFERRAL_RULE (basis share of net markup, proposal G)</t>
        </is>
      </c>
    </row>
    <row r="27">
      <c r="A27" s="6" t="inlineStr">
        <is>
          <t>1 Market minus fee</t>
        </is>
      </c>
      <c r="B27" s="3" t="inlineStr">
        <is>
          <t>Rounding</t>
        </is>
      </c>
      <c r="C27" s="3" t="inlineStr">
        <is>
          <t>CURRENCY_PAIR.amount_rounding (+ rounding_unit, proposal F)</t>
        </is>
      </c>
    </row>
    <row r="28">
      <c r="A28" s="6" t="inlineStr">
        <is>
          <t>1 Market minus fee</t>
        </is>
      </c>
      <c r="B28" s="3" t="inlineStr">
        <is>
          <t>Bank or EMI that pays out</t>
        </is>
      </c>
      <c r="C28" s="3" t="inlineStr">
        <is>
          <t>SETTLEMENT_RAIL</t>
        </is>
      </c>
    </row>
    <row r="29">
      <c r="A29" s="6" t="inlineStr">
        <is>
          <t>1 Market minus fee</t>
        </is>
      </c>
      <c r="B29" s="3" t="inlineStr">
        <is>
          <t>Name shown on the transfer</t>
        </is>
      </c>
      <c r="C29" s="3" t="inlineStr">
        <is>
          <t>SETTLEMENT_SENDING_ENTITY.narrative_name</t>
        </is>
      </c>
    </row>
    <row r="30">
      <c r="A30" s="6" t="inlineStr">
        <is>
          <t>1 Market minus fee</t>
        </is>
      </c>
      <c r="B30" s="3" t="inlineStr">
        <is>
          <t>Has the partner approved the receiver's account? (yes / pending)</t>
        </is>
      </c>
      <c r="C30" s="3" t="inlineStr">
        <is>
          <t>SETTLEMENT_REGISTRATION.approval_status (+ details, D16)</t>
        </is>
      </c>
    </row>
    <row r="31">
      <c r="A31" s="6" t="inlineStr">
        <is>
          <t>2 Agent rate</t>
        </is>
      </c>
      <c r="B31" s="3" t="inlineStr">
        <is>
          <t>(entities)</t>
        </is>
      </c>
      <c r="C31" s="3" t="inlineStr">
        <is>
          <t>PARTNER_PAIR (disclosed_rate), FEE_STRUCTURE (basis partner), DEAL_GROUP.displayed_* (proposal C), PARTNER_RATE_VERSION.quoted_direction (proposal I), CO.&lt;PARTNER&gt;.POOL</t>
        </is>
      </c>
    </row>
    <row r="32">
      <c r="A32" s="6" t="inlineStr">
        <is>
          <t>2 Agent rate</t>
        </is>
      </c>
      <c r="B32" s="3" t="inlineStr">
        <is>
          <t>Client</t>
        </is>
      </c>
      <c r="C32" s="3" t="inlineStr">
        <is>
          <t>PROJECT.name</t>
        </is>
      </c>
    </row>
    <row r="33">
      <c r="A33" s="6" t="inlineStr">
        <is>
          <t>2 Agent rate</t>
        </is>
      </c>
      <c r="B33" s="3" t="inlineStr">
        <is>
          <t>Who sends the money</t>
        </is>
      </c>
      <c r="C33" s="3" t="inlineStr">
        <is>
          <t>SENDER + SENDER_RECEIVER_ALLOW</t>
        </is>
      </c>
    </row>
    <row r="34">
      <c r="A34" s="6" t="inlineStr">
        <is>
          <t>2 Agent rate</t>
        </is>
      </c>
      <c r="B34" s="3" t="inlineStr">
        <is>
          <t>Who gets paid</t>
        </is>
      </c>
      <c r="C34" s="3" t="inlineStr">
        <is>
          <t>RECEIVER → RECEIVING_ENTITY (+ RECEIVER_GROUP)</t>
        </is>
      </c>
    </row>
    <row r="35">
      <c r="A35" s="6" t="inlineStr">
        <is>
          <t>2 Agent rate</t>
        </is>
      </c>
      <c r="B35" s="3" t="inlineStr">
        <is>
          <t>Their account</t>
        </is>
      </c>
      <c r="C35" s="3" t="inlineStr">
        <is>
          <t>RECEIVING_ENTITY_ACCOUNT (currency, rail, account_kind)</t>
        </is>
      </c>
    </row>
    <row r="36">
      <c r="A36" s="6" t="inlineStr">
        <is>
          <t>2 Agent rate</t>
        </is>
      </c>
      <c r="B36" s="3" t="inlineStr">
        <is>
          <t>How the money comes in</t>
        </is>
      </c>
      <c r="C36" s="3" t="inlineStr">
        <is>
          <t>DEAL.collection_method</t>
        </is>
      </c>
    </row>
    <row r="37">
      <c r="A37" s="6" t="inlineStr">
        <is>
          <t>2 Agent rate</t>
        </is>
      </c>
      <c r="B37" s="3" t="inlineStr">
        <is>
          <t>Where it comes in</t>
        </is>
      </c>
      <c r="C37" s="3" t="inlineStr">
        <is>
          <t>PARTNER_ENTITY → COLLECTION_RECEIVING_ENDPOINT</t>
        </is>
      </c>
    </row>
    <row r="38">
      <c r="A38" s="6" t="inlineStr">
        <is>
          <t>2 Agent rate</t>
        </is>
      </c>
      <c r="B38" s="3" t="inlineStr">
        <is>
          <t>Partner / agent</t>
        </is>
      </c>
      <c r="C38" s="3" t="inlineStr">
        <is>
          <t>PARTNER + PARTNER_CONFIG</t>
        </is>
      </c>
    </row>
    <row r="39">
      <c r="A39" s="6" t="inlineStr">
        <is>
          <t>2 Agent rate</t>
        </is>
      </c>
      <c r="B39" s="3" t="inlineStr">
        <is>
          <t>How the partner prices</t>
        </is>
      </c>
      <c r="C39" s="3" t="inlineStr">
        <is>
          <t>PARTNER_PAIR.partner_pricing (+ partner_markup_pct)</t>
        </is>
      </c>
    </row>
    <row r="40">
      <c r="A40" s="6" t="inlineStr">
        <is>
          <t>2 Agent rate</t>
        </is>
      </c>
      <c r="B40" s="3" t="inlineStr">
        <is>
          <t>Exchange pair</t>
        </is>
      </c>
      <c r="C40" s="3" t="inlineStr">
        <is>
          <t>CURRENCY_PAIR (from → to)</t>
        </is>
      </c>
    </row>
    <row r="41">
      <c r="A41" s="6" t="inlineStr">
        <is>
          <t>2 Agent rate</t>
        </is>
      </c>
      <c r="B41" s="3" t="inlineStr">
        <is>
          <t>Fee taken how</t>
        </is>
      </c>
      <c r="C41" s="3" t="inlineStr">
        <is>
          <t>CURRENCY_PAIR.quote_direction</t>
        </is>
      </c>
    </row>
    <row r="42">
      <c r="A42" s="6" t="inlineStr">
        <is>
          <t>2 Agent rate</t>
        </is>
      </c>
      <c r="B42" s="3" t="inlineStr">
        <is>
          <t>Fee applied to</t>
        </is>
      </c>
      <c r="C42" s="3" t="inlineStr">
        <is>
          <t>FEE_STRUCTURE.rate_basis</t>
        </is>
      </c>
    </row>
    <row r="43">
      <c r="A43" s="6" t="inlineStr">
        <is>
          <t>2 Agent rate</t>
        </is>
      </c>
      <c r="B43" s="3" t="inlineStr">
        <is>
          <t>Fee is</t>
        </is>
      </c>
      <c r="C43" s="3" t="inlineStr">
        <is>
          <t>FEE_STRUCTURE.mode</t>
        </is>
      </c>
    </row>
    <row r="44">
      <c r="A44" s="6" t="inlineStr">
        <is>
          <t>2 Agent rate</t>
        </is>
      </c>
      <c r="B44" s="3" t="inlineStr">
        <is>
          <t>Total fee %</t>
        </is>
      </c>
      <c r="C44" s="3" t="inlineStr">
        <is>
          <t>FEE_STRUCTURE.pct</t>
        </is>
      </c>
    </row>
    <row r="45">
      <c r="A45" s="6" t="inlineStr">
        <is>
          <t>2 Agent rate</t>
        </is>
      </c>
      <c r="B45" s="3" t="inlineStr">
        <is>
          <t>Sender pays %</t>
        </is>
      </c>
      <c r="C45" s="3" t="inlineStr">
        <is>
          <t>FEE_STRUCTURE.sender_share_pct</t>
        </is>
      </c>
    </row>
    <row r="46">
      <c r="A46" s="6" t="inlineStr">
        <is>
          <t>2 Agent rate</t>
        </is>
      </c>
      <c r="B46" s="3" t="inlineStr">
        <is>
          <t>Receiver pays %</t>
        </is>
      </c>
      <c r="C46" s="3" t="inlineStr">
        <is>
          <t>FEE_STRUCTURE.receiver_share_pct</t>
        </is>
      </c>
    </row>
    <row r="47">
      <c r="A47" s="6" t="inlineStr">
        <is>
          <t>2 Agent rate</t>
        </is>
      </c>
      <c r="B47" s="3" t="inlineStr">
        <is>
          <t>Lowest markup %</t>
        </is>
      </c>
      <c r="C47" s="3" t="inlineStr">
        <is>
          <t>FEE_STRUCTURE.floor_pct</t>
        </is>
      </c>
    </row>
    <row r="48">
      <c r="A48" s="6" t="inlineStr">
        <is>
          <t>2 Agent rate</t>
        </is>
      </c>
      <c r="B48" s="3" t="inlineStr">
        <is>
          <t>Highest markup %</t>
        </is>
      </c>
      <c r="C48" s="3" t="inlineStr">
        <is>
          <t>FEE_STRUCTURE.cap_pct</t>
        </is>
      </c>
    </row>
    <row r="49">
      <c r="A49" s="6" t="inlineStr">
        <is>
          <t>2 Agent rate</t>
        </is>
      </c>
      <c r="B49" s="3" t="inlineStr">
        <is>
          <t>Minimum NPL margin %</t>
        </is>
      </c>
      <c r="C49" s="3" t="inlineStr">
        <is>
          <t>FEE_STRUCTURE.min_margin_pct</t>
        </is>
      </c>
    </row>
    <row r="50">
      <c r="A50" s="6" t="inlineStr">
        <is>
          <t>2 Agent rate</t>
        </is>
      </c>
      <c r="B50" s="3" t="inlineStr">
        <is>
          <t>Fee shown to the customer %</t>
        </is>
      </c>
      <c r="C50" s="3" t="inlineStr">
        <is>
          <t>FEE_STRUCTURE.displayed_fee_pct (proposal C)</t>
        </is>
      </c>
    </row>
    <row r="51">
      <c r="A51" s="6" t="inlineStr">
        <is>
          <t>2 Agent rate</t>
        </is>
      </c>
      <c r="B51" s="3" t="inlineStr">
        <is>
          <t>How NPL's share reaches NPL</t>
        </is>
      </c>
      <c r="C51" s="3" t="inlineStr">
        <is>
          <t>pool at partner / PARTNER_REBATE_RULE / REFERRAL_RULE settled by the client (proposal G) / own desk (proposal D)</t>
        </is>
      </c>
    </row>
    <row r="52">
      <c r="A52" s="6" t="inlineStr">
        <is>
          <t>2 Agent rate</t>
        </is>
      </c>
      <c r="B52" s="3" t="inlineStr">
        <is>
          <t>% of the partner's fee paid back to NPL (rebate)</t>
        </is>
      </c>
      <c r="C52" s="3" t="inlineStr">
        <is>
          <t>PARTNER_REBATE_RULE.pct_of_partner_fee</t>
        </is>
      </c>
    </row>
    <row r="53">
      <c r="A53" s="6" t="inlineStr">
        <is>
          <t>2 Agent rate</t>
        </is>
      </c>
      <c r="B53" s="3" t="inlineStr">
        <is>
          <t>Markup shared with someone else</t>
        </is>
      </c>
      <c r="C53" s="3" t="inlineStr">
        <is>
          <t>INTRODUCER + REFERRAL_RULE (basis share of net markup, proposal G)</t>
        </is>
      </c>
    </row>
    <row r="54">
      <c r="A54" s="6" t="inlineStr">
        <is>
          <t>2 Agent rate</t>
        </is>
      </c>
      <c r="B54" s="3" t="inlineStr">
        <is>
          <t>Rounding</t>
        </is>
      </c>
      <c r="C54" s="3" t="inlineStr">
        <is>
          <t>CURRENCY_PAIR.amount_rounding (+ rounding_unit, proposal F)</t>
        </is>
      </c>
    </row>
    <row r="55">
      <c r="A55" s="6" t="inlineStr">
        <is>
          <t>2 Agent rate</t>
        </is>
      </c>
      <c r="B55" s="3" t="inlineStr">
        <is>
          <t>Bank or EMI that pays out</t>
        </is>
      </c>
      <c r="C55" s="3" t="inlineStr">
        <is>
          <t>SETTLEMENT_RAIL</t>
        </is>
      </c>
    </row>
    <row r="56">
      <c r="A56" s="6" t="inlineStr">
        <is>
          <t>2 Agent rate</t>
        </is>
      </c>
      <c r="B56" s="3" t="inlineStr">
        <is>
          <t>Name shown on the transfer</t>
        </is>
      </c>
      <c r="C56" s="3" t="inlineStr">
        <is>
          <t>SETTLEMENT_SENDING_ENTITY.narrative_name</t>
        </is>
      </c>
    </row>
    <row r="57">
      <c r="A57" s="6" t="inlineStr">
        <is>
          <t>2 Agent rate</t>
        </is>
      </c>
      <c r="B57" s="3" t="inlineStr">
        <is>
          <t>Has the partner approved the receiver's account? (yes / pending)</t>
        </is>
      </c>
      <c r="C57" s="3" t="inlineStr">
        <is>
          <t>SETTLEMENT_REGISTRATION.approval_status (+ details, D16)</t>
        </is>
      </c>
    </row>
    <row r="58">
      <c r="A58" s="6" t="inlineStr">
        <is>
          <t>3 Sender+receiver pay</t>
        </is>
      </c>
      <c r="B58" s="3" t="inlineStr">
        <is>
          <t>(entities)</t>
        </is>
      </c>
      <c r="C58" s="3" t="inlineStr">
        <is>
          <t>RECEIVER_GROUP (Bplay, TBet), FEE_STRUCTURE.sender_share_pct / receiver_share_pct, FEE_OVERRIDE with its own split (proposal A), PARTNER_CONFIG cutoff (proposal J), CONVERSION.fee_receiver_part</t>
        </is>
      </c>
    </row>
    <row r="59">
      <c r="A59" s="6" t="inlineStr">
        <is>
          <t>3 Sender+receiver pay</t>
        </is>
      </c>
      <c r="B59" s="3" t="inlineStr">
        <is>
          <t>Client</t>
        </is>
      </c>
      <c r="C59" s="3" t="inlineStr">
        <is>
          <t>PROJECT.name</t>
        </is>
      </c>
    </row>
    <row r="60">
      <c r="A60" s="6" t="inlineStr">
        <is>
          <t>3 Sender+receiver pay</t>
        </is>
      </c>
      <c r="B60" s="3" t="inlineStr">
        <is>
          <t>Who sends the money</t>
        </is>
      </c>
      <c r="C60" s="3" t="inlineStr">
        <is>
          <t>SENDER + SENDER_RECEIVER_ALLOW</t>
        </is>
      </c>
    </row>
    <row r="61">
      <c r="A61" s="6" t="inlineStr">
        <is>
          <t>3 Sender+receiver pay</t>
        </is>
      </c>
      <c r="B61" s="3" t="inlineStr">
        <is>
          <t>Who gets paid</t>
        </is>
      </c>
      <c r="C61" s="3" t="inlineStr">
        <is>
          <t>RECEIVER → RECEIVING_ENTITY (+ RECEIVER_GROUP)</t>
        </is>
      </c>
    </row>
    <row r="62">
      <c r="A62" s="6" t="inlineStr">
        <is>
          <t>3 Sender+receiver pay</t>
        </is>
      </c>
      <c r="B62" s="3" t="inlineStr">
        <is>
          <t>Their account</t>
        </is>
      </c>
      <c r="C62" s="3" t="inlineStr">
        <is>
          <t>RECEIVING_ENTITY_ACCOUNT (currency, rail, account_kind)</t>
        </is>
      </c>
    </row>
    <row r="63">
      <c r="A63" s="6" t="inlineStr">
        <is>
          <t>3 Sender+receiver pay</t>
        </is>
      </c>
      <c r="B63" s="3" t="inlineStr">
        <is>
          <t>How the money comes in</t>
        </is>
      </c>
      <c r="C63" s="3" t="inlineStr">
        <is>
          <t>DEAL.collection_method</t>
        </is>
      </c>
    </row>
    <row r="64">
      <c r="A64" s="6" t="inlineStr">
        <is>
          <t>3 Sender+receiver pay</t>
        </is>
      </c>
      <c r="B64" s="3" t="inlineStr">
        <is>
          <t>Where it comes in</t>
        </is>
      </c>
      <c r="C64" s="3" t="inlineStr">
        <is>
          <t>PARTNER_ENTITY → COLLECTION_RECEIVING_ENDPOINT</t>
        </is>
      </c>
    </row>
    <row r="65">
      <c r="A65" s="6" t="inlineStr">
        <is>
          <t>3 Sender+receiver pay</t>
        </is>
      </c>
      <c r="B65" s="3" t="inlineStr">
        <is>
          <t>Partner / agent</t>
        </is>
      </c>
      <c r="C65" s="3" t="inlineStr">
        <is>
          <t>PARTNER + PARTNER_CONFIG</t>
        </is>
      </c>
    </row>
    <row r="66">
      <c r="A66" s="6" t="inlineStr">
        <is>
          <t>3 Sender+receiver pay</t>
        </is>
      </c>
      <c r="B66" s="3" t="inlineStr">
        <is>
          <t>How the partner prices</t>
        </is>
      </c>
      <c r="C66" s="3" t="inlineStr">
        <is>
          <t>PARTNER_PAIR.partner_pricing (+ partner_markup_pct)</t>
        </is>
      </c>
    </row>
    <row r="67">
      <c r="A67" s="6" t="inlineStr">
        <is>
          <t>3 Sender+receiver pay</t>
        </is>
      </c>
      <c r="B67" s="3" t="inlineStr">
        <is>
          <t>Exchange pair</t>
        </is>
      </c>
      <c r="C67" s="3" t="inlineStr">
        <is>
          <t>CURRENCY_PAIR (from → to)</t>
        </is>
      </c>
    </row>
    <row r="68">
      <c r="A68" s="6" t="inlineStr">
        <is>
          <t>3 Sender+receiver pay</t>
        </is>
      </c>
      <c r="B68" s="3" t="inlineStr">
        <is>
          <t>Fee taken how</t>
        </is>
      </c>
      <c r="C68" s="3" t="inlineStr">
        <is>
          <t>CURRENCY_PAIR.quote_direction</t>
        </is>
      </c>
    </row>
    <row r="69">
      <c r="A69" s="6" t="inlineStr">
        <is>
          <t>3 Sender+receiver pay</t>
        </is>
      </c>
      <c r="B69" s="3" t="inlineStr">
        <is>
          <t>Fee applied to</t>
        </is>
      </c>
      <c r="C69" s="3" t="inlineStr">
        <is>
          <t>FEE_STRUCTURE.rate_basis</t>
        </is>
      </c>
    </row>
    <row r="70">
      <c r="A70" s="6" t="inlineStr">
        <is>
          <t>3 Sender+receiver pay</t>
        </is>
      </c>
      <c r="B70" s="3" t="inlineStr">
        <is>
          <t>Fee is</t>
        </is>
      </c>
      <c r="C70" s="3" t="inlineStr">
        <is>
          <t>FEE_STRUCTURE.mode</t>
        </is>
      </c>
    </row>
    <row r="71">
      <c r="A71" s="6" t="inlineStr">
        <is>
          <t>3 Sender+receiver pay</t>
        </is>
      </c>
      <c r="B71" s="3" t="inlineStr">
        <is>
          <t>Total fee %</t>
        </is>
      </c>
      <c r="C71" s="3" t="inlineStr">
        <is>
          <t>FEE_STRUCTURE.pct</t>
        </is>
      </c>
    </row>
    <row r="72">
      <c r="A72" s="6" t="inlineStr">
        <is>
          <t>3 Sender+receiver pay</t>
        </is>
      </c>
      <c r="B72" s="3" t="inlineStr">
        <is>
          <t>Sender pays %</t>
        </is>
      </c>
      <c r="C72" s="3" t="inlineStr">
        <is>
          <t>FEE_STRUCTURE.sender_share_pct</t>
        </is>
      </c>
    </row>
    <row r="73">
      <c r="A73" s="6" t="inlineStr">
        <is>
          <t>3 Sender+receiver pay</t>
        </is>
      </c>
      <c r="B73" s="3" t="inlineStr">
        <is>
          <t>Receiver pays %</t>
        </is>
      </c>
      <c r="C73" s="3" t="inlineStr">
        <is>
          <t>FEE_STRUCTURE.receiver_share_pct</t>
        </is>
      </c>
    </row>
    <row r="74">
      <c r="A74" s="6" t="inlineStr">
        <is>
          <t>3 Sender+receiver pay</t>
        </is>
      </c>
      <c r="B74" s="3" t="inlineStr">
        <is>
          <t>Lowest markup %</t>
        </is>
      </c>
      <c r="C74" s="3" t="inlineStr">
        <is>
          <t>FEE_STRUCTURE.floor_pct</t>
        </is>
      </c>
    </row>
    <row r="75">
      <c r="A75" s="6" t="inlineStr">
        <is>
          <t>3 Sender+receiver pay</t>
        </is>
      </c>
      <c r="B75" s="3" t="inlineStr">
        <is>
          <t>Highest markup %</t>
        </is>
      </c>
      <c r="C75" s="3" t="inlineStr">
        <is>
          <t>FEE_STRUCTURE.cap_pct</t>
        </is>
      </c>
    </row>
    <row r="76">
      <c r="A76" s="6" t="inlineStr">
        <is>
          <t>3 Sender+receiver pay</t>
        </is>
      </c>
      <c r="B76" s="3" t="inlineStr">
        <is>
          <t>Minimum NPL margin %</t>
        </is>
      </c>
      <c r="C76" s="3" t="inlineStr">
        <is>
          <t>FEE_STRUCTURE.min_margin_pct</t>
        </is>
      </c>
    </row>
    <row r="77">
      <c r="A77" s="6" t="inlineStr">
        <is>
          <t>3 Sender+receiver pay</t>
        </is>
      </c>
      <c r="B77" s="3" t="inlineStr">
        <is>
          <t>Fee shown to the customer %</t>
        </is>
      </c>
      <c r="C77" s="3" t="inlineStr">
        <is>
          <t>FEE_STRUCTURE.displayed_fee_pct (proposal C)</t>
        </is>
      </c>
    </row>
    <row r="78">
      <c r="A78" s="6" t="inlineStr">
        <is>
          <t>3 Sender+receiver pay</t>
        </is>
      </c>
      <c r="B78" s="3" t="inlineStr">
        <is>
          <t>How NPL's share reaches NPL</t>
        </is>
      </c>
      <c r="C78" s="3" t="inlineStr">
        <is>
          <t>pool at partner / PARTNER_REBATE_RULE / REFERRAL_RULE settled by the client (proposal G) / own desk (proposal D)</t>
        </is>
      </c>
    </row>
    <row r="79">
      <c r="A79" s="6" t="inlineStr">
        <is>
          <t>3 Sender+receiver pay</t>
        </is>
      </c>
      <c r="B79" s="3" t="inlineStr">
        <is>
          <t>% of the partner's fee paid back to NPL (rebate)</t>
        </is>
      </c>
      <c r="C79" s="3" t="inlineStr">
        <is>
          <t>PARTNER_REBATE_RULE.pct_of_partner_fee</t>
        </is>
      </c>
    </row>
    <row r="80">
      <c r="A80" s="6" t="inlineStr">
        <is>
          <t>3 Sender+receiver pay</t>
        </is>
      </c>
      <c r="B80" s="3" t="inlineStr">
        <is>
          <t>Markup shared with someone else</t>
        </is>
      </c>
      <c r="C80" s="3" t="inlineStr">
        <is>
          <t>INTRODUCER + REFERRAL_RULE (basis share of net markup, proposal G)</t>
        </is>
      </c>
    </row>
    <row r="81">
      <c r="A81" s="6" t="inlineStr">
        <is>
          <t>3 Sender+receiver pay</t>
        </is>
      </c>
      <c r="B81" s="3" t="inlineStr">
        <is>
          <t>Rounding</t>
        </is>
      </c>
      <c r="C81" s="3" t="inlineStr">
        <is>
          <t>CURRENCY_PAIR.amount_rounding (+ rounding_unit, proposal F)</t>
        </is>
      </c>
    </row>
    <row r="82">
      <c r="A82" s="6" t="inlineStr">
        <is>
          <t>3 Sender+receiver pay</t>
        </is>
      </c>
      <c r="B82" s="3" t="inlineStr">
        <is>
          <t>Bank or EMI that pays out</t>
        </is>
      </c>
      <c r="C82" s="3" t="inlineStr">
        <is>
          <t>SETTLEMENT_RAIL</t>
        </is>
      </c>
    </row>
    <row r="83">
      <c r="A83" s="6" t="inlineStr">
        <is>
          <t>3 Sender+receiver pay</t>
        </is>
      </c>
      <c r="B83" s="3" t="inlineStr">
        <is>
          <t>Name shown on the transfer</t>
        </is>
      </c>
      <c r="C83" s="3" t="inlineStr">
        <is>
          <t>SETTLEMENT_SENDING_ENTITY.narrative_name</t>
        </is>
      </c>
    </row>
    <row r="84">
      <c r="A84" s="6" t="inlineStr">
        <is>
          <t>3 Sender+receiver pay</t>
        </is>
      </c>
      <c r="B84" s="3" t="inlineStr">
        <is>
          <t>Has the partner approved the receiver's account? (yes / pending)</t>
        </is>
      </c>
      <c r="C84" s="3" t="inlineStr">
        <is>
          <t>SETTLEMENT_REGISTRATION.approval_status (+ details, D16)</t>
        </is>
      </c>
    </row>
    <row r="85">
      <c r="A85" s="6" t="inlineStr">
        <is>
          <t>3 Sender+receiver pay</t>
        </is>
      </c>
      <c r="B85" s="3" t="inlineStr">
        <is>
          <t>Selected senders (GTSI, HG, Komodo)</t>
        </is>
      </c>
      <c r="C85" s="3" t="inlineStr">
        <is>
          <t>FEE_OVERRIDE.sender_share_pct = 1.0 %, receiver_share_pct = 0.6 % (proposal A)</t>
        </is>
      </c>
    </row>
    <row r="86">
      <c r="A86" s="6" t="inlineStr">
        <is>
          <t>3 Sender+receiver pay</t>
        </is>
      </c>
      <c r="B86" s="3" t="inlineStr">
        <is>
          <t>Bank cutoff for same-day conversion</t>
        </is>
      </c>
      <c r="C86" s="3" t="inlineStr">
        <is>
          <t>PARTNER_CONFIG.bank_cutoff_time (proposal J)</t>
        </is>
      </c>
    </row>
    <row r="87">
      <c r="A87" s="6" t="inlineStr">
        <is>
          <t>3 Sender+receiver pay</t>
        </is>
      </c>
      <c r="B87" s="3" t="inlineStr">
        <is>
          <t>Via Jeton instead</t>
        </is>
      </c>
      <c r="C87" s="3" t="inlineStr">
        <is>
          <t>PARTNER_PAIR (market_plus_pct 1.25 %) + PARTNER_REBATE_RULE 0.4 %</t>
        </is>
      </c>
    </row>
    <row r="88">
      <c r="A88" s="6" t="inlineStr">
        <is>
          <t>4 Fee per deal</t>
        </is>
      </c>
      <c r="B88" s="3" t="inlineStr">
        <is>
          <t>(entities)</t>
        </is>
      </c>
      <c r="C88" s="3" t="inlineStr">
        <is>
          <t>FEE_STRUCTURE (mode variable: floor_pct, cap_pct, min_margin_pct), PARTNER_RATE_VERSION per day (+ location for cash, proposal K), RATE_COMPARISON, APPROVAL (below-margin quote)</t>
        </is>
      </c>
    </row>
    <row r="89">
      <c r="A89" s="6" t="inlineStr">
        <is>
          <t>4 Fee per deal</t>
        </is>
      </c>
      <c r="B89" s="3" t="inlineStr">
        <is>
          <t>Client</t>
        </is>
      </c>
      <c r="C89" s="3" t="inlineStr">
        <is>
          <t>PROJECT.name</t>
        </is>
      </c>
    </row>
    <row r="90">
      <c r="A90" s="6" t="inlineStr">
        <is>
          <t>4 Fee per deal</t>
        </is>
      </c>
      <c r="B90" s="3" t="inlineStr">
        <is>
          <t>Who sends the money</t>
        </is>
      </c>
      <c r="C90" s="3" t="inlineStr">
        <is>
          <t>SENDER + SENDER_RECEIVER_ALLOW</t>
        </is>
      </c>
    </row>
    <row r="91">
      <c r="A91" s="6" t="inlineStr">
        <is>
          <t>4 Fee per deal</t>
        </is>
      </c>
      <c r="B91" s="3" t="inlineStr">
        <is>
          <t>Who gets paid</t>
        </is>
      </c>
      <c r="C91" s="3" t="inlineStr">
        <is>
          <t>RECEIVER → RECEIVING_ENTITY (+ RECEIVER_GROUP)</t>
        </is>
      </c>
    </row>
    <row r="92">
      <c r="A92" s="6" t="inlineStr">
        <is>
          <t>4 Fee per deal</t>
        </is>
      </c>
      <c r="B92" s="3" t="inlineStr">
        <is>
          <t>Their account</t>
        </is>
      </c>
      <c r="C92" s="3" t="inlineStr">
        <is>
          <t>RECEIVING_ENTITY_ACCOUNT (currency, rail, account_kind)</t>
        </is>
      </c>
    </row>
    <row r="93">
      <c r="A93" s="6" t="inlineStr">
        <is>
          <t>4 Fee per deal</t>
        </is>
      </c>
      <c r="B93" s="3" t="inlineStr">
        <is>
          <t>How the money comes in</t>
        </is>
      </c>
      <c r="C93" s="3" t="inlineStr">
        <is>
          <t>DEAL.collection_method</t>
        </is>
      </c>
    </row>
    <row r="94">
      <c r="A94" s="6" t="inlineStr">
        <is>
          <t>4 Fee per deal</t>
        </is>
      </c>
      <c r="B94" s="3" t="inlineStr">
        <is>
          <t>Where it comes in</t>
        </is>
      </c>
      <c r="C94" s="3" t="inlineStr">
        <is>
          <t>PARTNER_ENTITY → COLLECTION_RECEIVING_ENDPOINT</t>
        </is>
      </c>
    </row>
    <row r="95">
      <c r="A95" s="6" t="inlineStr">
        <is>
          <t>4 Fee per deal</t>
        </is>
      </c>
      <c r="B95" s="3" t="inlineStr">
        <is>
          <t>Partner / agent</t>
        </is>
      </c>
      <c r="C95" s="3" t="inlineStr">
        <is>
          <t>PARTNER + PARTNER_CONFIG</t>
        </is>
      </c>
    </row>
    <row r="96">
      <c r="A96" s="6" t="inlineStr">
        <is>
          <t>4 Fee per deal</t>
        </is>
      </c>
      <c r="B96" s="3" t="inlineStr">
        <is>
          <t>How the partner prices</t>
        </is>
      </c>
      <c r="C96" s="3" t="inlineStr">
        <is>
          <t>PARTNER_PAIR.partner_pricing (+ partner_markup_pct)</t>
        </is>
      </c>
    </row>
    <row r="97">
      <c r="A97" s="6" t="inlineStr">
        <is>
          <t>4 Fee per deal</t>
        </is>
      </c>
      <c r="B97" s="3" t="inlineStr">
        <is>
          <t>Exchange pair</t>
        </is>
      </c>
      <c r="C97" s="3" t="inlineStr">
        <is>
          <t>CURRENCY_PAIR (from → to)</t>
        </is>
      </c>
    </row>
    <row r="98">
      <c r="A98" s="6" t="inlineStr">
        <is>
          <t>4 Fee per deal</t>
        </is>
      </c>
      <c r="B98" s="3" t="inlineStr">
        <is>
          <t>Fee taken how</t>
        </is>
      </c>
      <c r="C98" s="3" t="inlineStr">
        <is>
          <t>CURRENCY_PAIR.quote_direction</t>
        </is>
      </c>
    </row>
    <row r="99">
      <c r="A99" s="6" t="inlineStr">
        <is>
          <t>4 Fee per deal</t>
        </is>
      </c>
      <c r="B99" s="3" t="inlineStr">
        <is>
          <t>Fee applied to</t>
        </is>
      </c>
      <c r="C99" s="3" t="inlineStr">
        <is>
          <t>FEE_STRUCTURE.rate_basis</t>
        </is>
      </c>
    </row>
    <row r="100">
      <c r="A100" s="6" t="inlineStr">
        <is>
          <t>4 Fee per deal</t>
        </is>
      </c>
      <c r="B100" s="3" t="inlineStr">
        <is>
          <t>Fee is</t>
        </is>
      </c>
      <c r="C100" s="3" t="inlineStr">
        <is>
          <t>FEE_STRUCTURE.mode</t>
        </is>
      </c>
    </row>
    <row r="101">
      <c r="A101" s="6" t="inlineStr">
        <is>
          <t>4 Fee per deal</t>
        </is>
      </c>
      <c r="B101" s="3" t="inlineStr">
        <is>
          <t>Total fee %</t>
        </is>
      </c>
      <c r="C101" s="3" t="inlineStr">
        <is>
          <t>FEE_STRUCTURE.pct</t>
        </is>
      </c>
    </row>
    <row r="102">
      <c r="A102" s="6" t="inlineStr">
        <is>
          <t>4 Fee per deal</t>
        </is>
      </c>
      <c r="B102" s="3" t="inlineStr">
        <is>
          <t>Sender pays %</t>
        </is>
      </c>
      <c r="C102" s="3" t="inlineStr">
        <is>
          <t>FEE_STRUCTURE.sender_share_pct</t>
        </is>
      </c>
    </row>
    <row r="103">
      <c r="A103" s="6" t="inlineStr">
        <is>
          <t>4 Fee per deal</t>
        </is>
      </c>
      <c r="B103" s="3" t="inlineStr">
        <is>
          <t>Receiver pays %</t>
        </is>
      </c>
      <c r="C103" s="3" t="inlineStr">
        <is>
          <t>FEE_STRUCTURE.receiver_share_pct</t>
        </is>
      </c>
    </row>
    <row r="104">
      <c r="A104" s="6" t="inlineStr">
        <is>
          <t>4 Fee per deal</t>
        </is>
      </c>
      <c r="B104" s="3" t="inlineStr">
        <is>
          <t>Lowest markup %</t>
        </is>
      </c>
      <c r="C104" s="3" t="inlineStr">
        <is>
          <t>FEE_STRUCTURE.floor_pct</t>
        </is>
      </c>
    </row>
    <row r="105">
      <c r="A105" s="6" t="inlineStr">
        <is>
          <t>4 Fee per deal</t>
        </is>
      </c>
      <c r="B105" s="3" t="inlineStr">
        <is>
          <t>Highest markup %</t>
        </is>
      </c>
      <c r="C105" s="3" t="inlineStr">
        <is>
          <t>FEE_STRUCTURE.cap_pct</t>
        </is>
      </c>
    </row>
    <row r="106">
      <c r="A106" s="6" t="inlineStr">
        <is>
          <t>4 Fee per deal</t>
        </is>
      </c>
      <c r="B106" s="3" t="inlineStr">
        <is>
          <t>Minimum NPL margin %</t>
        </is>
      </c>
      <c r="C106" s="3" t="inlineStr">
        <is>
          <t>FEE_STRUCTURE.min_margin_pct</t>
        </is>
      </c>
    </row>
    <row r="107">
      <c r="A107" s="6" t="inlineStr">
        <is>
          <t>4 Fee per deal</t>
        </is>
      </c>
      <c r="B107" s="3" t="inlineStr">
        <is>
          <t>Fee shown to the customer %</t>
        </is>
      </c>
      <c r="C107" s="3" t="inlineStr">
        <is>
          <t>FEE_STRUCTURE.displayed_fee_pct (proposal C)</t>
        </is>
      </c>
    </row>
    <row r="108">
      <c r="A108" s="6" t="inlineStr">
        <is>
          <t>4 Fee per deal</t>
        </is>
      </c>
      <c r="B108" s="3" t="inlineStr">
        <is>
          <t>How NPL's share reaches NPL</t>
        </is>
      </c>
      <c r="C108" s="3" t="inlineStr">
        <is>
          <t>pool at partner / PARTNER_REBATE_RULE / REFERRAL_RULE settled by the client (proposal G) / own desk (proposal D)</t>
        </is>
      </c>
    </row>
    <row r="109">
      <c r="A109" s="6" t="inlineStr">
        <is>
          <t>4 Fee per deal</t>
        </is>
      </c>
      <c r="B109" s="3" t="inlineStr">
        <is>
          <t>% of the partner's fee paid back to NPL (rebate)</t>
        </is>
      </c>
      <c r="C109" s="3" t="inlineStr">
        <is>
          <t>PARTNER_REBATE_RULE.pct_of_partner_fee</t>
        </is>
      </c>
    </row>
    <row r="110">
      <c r="A110" s="6" t="inlineStr">
        <is>
          <t>4 Fee per deal</t>
        </is>
      </c>
      <c r="B110" s="3" t="inlineStr">
        <is>
          <t>Markup shared with someone else</t>
        </is>
      </c>
      <c r="C110" s="3" t="inlineStr">
        <is>
          <t>INTRODUCER + REFERRAL_RULE (basis share of net markup, proposal G)</t>
        </is>
      </c>
    </row>
    <row r="111">
      <c r="A111" s="6" t="inlineStr">
        <is>
          <t>4 Fee per deal</t>
        </is>
      </c>
      <c r="B111" s="3" t="inlineStr">
        <is>
          <t>Rounding</t>
        </is>
      </c>
      <c r="C111" s="3" t="inlineStr">
        <is>
          <t>CURRENCY_PAIR.amount_rounding (+ rounding_unit, proposal F)</t>
        </is>
      </c>
    </row>
    <row r="112">
      <c r="A112" s="6" t="inlineStr">
        <is>
          <t>4 Fee per deal</t>
        </is>
      </c>
      <c r="B112" s="3" t="inlineStr">
        <is>
          <t>Bank or EMI that pays out</t>
        </is>
      </c>
      <c r="C112" s="3" t="inlineStr">
        <is>
          <t>SETTLEMENT_RAIL</t>
        </is>
      </c>
    </row>
    <row r="113">
      <c r="A113" s="6" t="inlineStr">
        <is>
          <t>4 Fee per deal</t>
        </is>
      </c>
      <c r="B113" s="3" t="inlineStr">
        <is>
          <t>Name shown on the transfer</t>
        </is>
      </c>
      <c r="C113" s="3" t="inlineStr">
        <is>
          <t>SETTLEMENT_SENDING_ENTITY.narrative_name</t>
        </is>
      </c>
    </row>
    <row r="114">
      <c r="A114" s="6" t="inlineStr">
        <is>
          <t>4 Fee per deal</t>
        </is>
      </c>
      <c r="B114" s="3" t="inlineStr">
        <is>
          <t>Has the partner approved the receiver's account? (yes / pending)</t>
        </is>
      </c>
      <c r="C114" s="3" t="inlineStr">
        <is>
          <t>SETTLEMENT_REGISTRATION.approval_status (+ details, D16)</t>
        </is>
      </c>
    </row>
    <row r="115">
      <c r="A115" s="6" t="inlineStr">
        <is>
          <t>4 Fee per deal</t>
        </is>
      </c>
      <c r="B115" s="3" t="inlineStr">
        <is>
          <t>Where the cash is handed over (city)</t>
        </is>
      </c>
      <c r="C115" s="3" t="inlineStr">
        <is>
          <t>DEAL.cash_location + PARTNER_RATE_VERSION.location (proposal K)</t>
        </is>
      </c>
    </row>
    <row r="116">
      <c r="A116" s="6" t="inlineStr">
        <is>
          <t>5 Fee by volume</t>
        </is>
      </c>
      <c r="B116" s="3" t="inlineStr">
        <is>
          <t>(entities)</t>
        </is>
      </c>
      <c r="C116" s="3" t="inlineStr">
        <is>
          <t>FEE_STRUCTURE + FEE_TIER (proposal B), DEAL.fee_tier_id, sender volume per calendar month</t>
        </is>
      </c>
    </row>
    <row r="117">
      <c r="A117" s="6" t="inlineStr">
        <is>
          <t>5 Fee by volume</t>
        </is>
      </c>
      <c r="B117" s="3" t="inlineStr">
        <is>
          <t>Client</t>
        </is>
      </c>
      <c r="C117" s="3" t="inlineStr">
        <is>
          <t>PROJECT.name</t>
        </is>
      </c>
    </row>
    <row r="118">
      <c r="A118" s="6" t="inlineStr">
        <is>
          <t>5 Fee by volume</t>
        </is>
      </c>
      <c r="B118" s="3" t="inlineStr">
        <is>
          <t>Who sends the money</t>
        </is>
      </c>
      <c r="C118" s="3" t="inlineStr">
        <is>
          <t>SENDER + SENDER_RECEIVER_ALLOW</t>
        </is>
      </c>
    </row>
    <row r="119">
      <c r="A119" s="6" t="inlineStr">
        <is>
          <t>5 Fee by volume</t>
        </is>
      </c>
      <c r="B119" s="3" t="inlineStr">
        <is>
          <t>Who gets paid</t>
        </is>
      </c>
      <c r="C119" s="3" t="inlineStr">
        <is>
          <t>RECEIVER → RECEIVING_ENTITY (+ RECEIVER_GROUP)</t>
        </is>
      </c>
    </row>
    <row r="120">
      <c r="A120" s="6" t="inlineStr">
        <is>
          <t>5 Fee by volume</t>
        </is>
      </c>
      <c r="B120" s="3" t="inlineStr">
        <is>
          <t>Their account</t>
        </is>
      </c>
      <c r="C120" s="3" t="inlineStr">
        <is>
          <t>RECEIVING_ENTITY_ACCOUNT (currency, rail, account_kind)</t>
        </is>
      </c>
    </row>
    <row r="121">
      <c r="A121" s="6" t="inlineStr">
        <is>
          <t>5 Fee by volume</t>
        </is>
      </c>
      <c r="B121" s="3" t="inlineStr">
        <is>
          <t>How the money comes in</t>
        </is>
      </c>
      <c r="C121" s="3" t="inlineStr">
        <is>
          <t>DEAL.collection_method</t>
        </is>
      </c>
    </row>
    <row r="122">
      <c r="A122" s="6" t="inlineStr">
        <is>
          <t>5 Fee by volume</t>
        </is>
      </c>
      <c r="B122" s="3" t="inlineStr">
        <is>
          <t>Where it comes in</t>
        </is>
      </c>
      <c r="C122" s="3" t="inlineStr">
        <is>
          <t>PARTNER_ENTITY → COLLECTION_RECEIVING_ENDPOINT</t>
        </is>
      </c>
    </row>
    <row r="123">
      <c r="A123" s="6" t="inlineStr">
        <is>
          <t>5 Fee by volume</t>
        </is>
      </c>
      <c r="B123" s="3" t="inlineStr">
        <is>
          <t>Partner / agent</t>
        </is>
      </c>
      <c r="C123" s="3" t="inlineStr">
        <is>
          <t>PARTNER + PARTNER_CONFIG</t>
        </is>
      </c>
    </row>
    <row r="124">
      <c r="A124" s="6" t="inlineStr">
        <is>
          <t>5 Fee by volume</t>
        </is>
      </c>
      <c r="B124" s="3" t="inlineStr">
        <is>
          <t>How the partner prices</t>
        </is>
      </c>
      <c r="C124" s="3" t="inlineStr">
        <is>
          <t>PARTNER_PAIR.partner_pricing (+ partner_markup_pct)</t>
        </is>
      </c>
    </row>
    <row r="125">
      <c r="A125" s="6" t="inlineStr">
        <is>
          <t>5 Fee by volume</t>
        </is>
      </c>
      <c r="B125" s="3" t="inlineStr">
        <is>
          <t>Exchange pair</t>
        </is>
      </c>
      <c r="C125" s="3" t="inlineStr">
        <is>
          <t>CURRENCY_PAIR (from → to)</t>
        </is>
      </c>
    </row>
    <row r="126">
      <c r="A126" s="6" t="inlineStr">
        <is>
          <t>5 Fee by volume</t>
        </is>
      </c>
      <c r="B126" s="3" t="inlineStr">
        <is>
          <t>Fee taken how</t>
        </is>
      </c>
      <c r="C126" s="3" t="inlineStr">
        <is>
          <t>CURRENCY_PAIR.quote_direction</t>
        </is>
      </c>
    </row>
    <row r="127">
      <c r="A127" s="6" t="inlineStr">
        <is>
          <t>5 Fee by volume</t>
        </is>
      </c>
      <c r="B127" s="3" t="inlineStr">
        <is>
          <t>Fee applied to</t>
        </is>
      </c>
      <c r="C127" s="3" t="inlineStr">
        <is>
          <t>FEE_STRUCTURE.rate_basis</t>
        </is>
      </c>
    </row>
    <row r="128">
      <c r="A128" s="6" t="inlineStr">
        <is>
          <t>5 Fee by volume</t>
        </is>
      </c>
      <c r="B128" s="3" t="inlineStr">
        <is>
          <t>Fee is</t>
        </is>
      </c>
      <c r="C128" s="3" t="inlineStr">
        <is>
          <t>FEE_STRUCTURE.mode</t>
        </is>
      </c>
    </row>
    <row r="129">
      <c r="A129" s="6" t="inlineStr">
        <is>
          <t>5 Fee by volume</t>
        </is>
      </c>
      <c r="B129" s="3" t="inlineStr">
        <is>
          <t>Total fee %</t>
        </is>
      </c>
      <c r="C129" s="3" t="inlineStr">
        <is>
          <t>FEE_STRUCTURE.pct</t>
        </is>
      </c>
    </row>
    <row r="130">
      <c r="A130" s="6" t="inlineStr">
        <is>
          <t>5 Fee by volume</t>
        </is>
      </c>
      <c r="B130" s="3" t="inlineStr">
        <is>
          <t>Sender pays %</t>
        </is>
      </c>
      <c r="C130" s="3" t="inlineStr">
        <is>
          <t>FEE_STRUCTURE.sender_share_pct</t>
        </is>
      </c>
    </row>
    <row r="131">
      <c r="A131" s="6" t="inlineStr">
        <is>
          <t>5 Fee by volume</t>
        </is>
      </c>
      <c r="B131" s="3" t="inlineStr">
        <is>
          <t>Receiver pays %</t>
        </is>
      </c>
      <c r="C131" s="3" t="inlineStr">
        <is>
          <t>FEE_STRUCTURE.receiver_share_pct</t>
        </is>
      </c>
    </row>
    <row r="132">
      <c r="A132" s="6" t="inlineStr">
        <is>
          <t>5 Fee by volume</t>
        </is>
      </c>
      <c r="B132" s="3" t="inlineStr">
        <is>
          <t>Lowest markup %</t>
        </is>
      </c>
      <c r="C132" s="3" t="inlineStr">
        <is>
          <t>FEE_STRUCTURE.floor_pct</t>
        </is>
      </c>
    </row>
    <row r="133">
      <c r="A133" s="6" t="inlineStr">
        <is>
          <t>5 Fee by volume</t>
        </is>
      </c>
      <c r="B133" s="3" t="inlineStr">
        <is>
          <t>Highest markup %</t>
        </is>
      </c>
      <c r="C133" s="3" t="inlineStr">
        <is>
          <t>FEE_STRUCTURE.cap_pct</t>
        </is>
      </c>
    </row>
    <row r="134">
      <c r="A134" s="6" t="inlineStr">
        <is>
          <t>5 Fee by volume</t>
        </is>
      </c>
      <c r="B134" s="3" t="inlineStr">
        <is>
          <t>Minimum NPL margin %</t>
        </is>
      </c>
      <c r="C134" s="3" t="inlineStr">
        <is>
          <t>FEE_STRUCTURE.min_margin_pct</t>
        </is>
      </c>
    </row>
    <row r="135">
      <c r="A135" s="6" t="inlineStr">
        <is>
          <t>5 Fee by volume</t>
        </is>
      </c>
      <c r="B135" s="3" t="inlineStr">
        <is>
          <t>Fee shown to the customer %</t>
        </is>
      </c>
      <c r="C135" s="3" t="inlineStr">
        <is>
          <t>FEE_STRUCTURE.displayed_fee_pct (proposal C)</t>
        </is>
      </c>
    </row>
    <row r="136">
      <c r="A136" s="6" t="inlineStr">
        <is>
          <t>5 Fee by volume</t>
        </is>
      </c>
      <c r="B136" s="3" t="inlineStr">
        <is>
          <t>How NPL's share reaches NPL</t>
        </is>
      </c>
      <c r="C136" s="3" t="inlineStr">
        <is>
          <t>pool at partner / PARTNER_REBATE_RULE / REFERRAL_RULE settled by the client (proposal G) / own desk (proposal D)</t>
        </is>
      </c>
    </row>
    <row r="137">
      <c r="A137" s="6" t="inlineStr">
        <is>
          <t>5 Fee by volume</t>
        </is>
      </c>
      <c r="B137" s="3" t="inlineStr">
        <is>
          <t>% of the partner's fee paid back to NPL (rebate)</t>
        </is>
      </c>
      <c r="C137" s="3" t="inlineStr">
        <is>
          <t>PARTNER_REBATE_RULE.pct_of_partner_fee</t>
        </is>
      </c>
    </row>
    <row r="138">
      <c r="A138" s="6" t="inlineStr">
        <is>
          <t>5 Fee by volume</t>
        </is>
      </c>
      <c r="B138" s="3" t="inlineStr">
        <is>
          <t>Markup shared with someone else</t>
        </is>
      </c>
      <c r="C138" s="3" t="inlineStr">
        <is>
          <t>INTRODUCER + REFERRAL_RULE (basis share of net markup, proposal G)</t>
        </is>
      </c>
    </row>
    <row r="139">
      <c r="A139" s="6" t="inlineStr">
        <is>
          <t>5 Fee by volume</t>
        </is>
      </c>
      <c r="B139" s="3" t="inlineStr">
        <is>
          <t>Rounding</t>
        </is>
      </c>
      <c r="C139" s="3" t="inlineStr">
        <is>
          <t>CURRENCY_PAIR.amount_rounding (+ rounding_unit, proposal F)</t>
        </is>
      </c>
    </row>
    <row r="140">
      <c r="A140" s="6" t="inlineStr">
        <is>
          <t>5 Fee by volume</t>
        </is>
      </c>
      <c r="B140" s="3" t="inlineStr">
        <is>
          <t>Bank or EMI that pays out</t>
        </is>
      </c>
      <c r="C140" s="3" t="inlineStr">
        <is>
          <t>SETTLEMENT_RAIL</t>
        </is>
      </c>
    </row>
    <row r="141">
      <c r="A141" s="6" t="inlineStr">
        <is>
          <t>5 Fee by volume</t>
        </is>
      </c>
      <c r="B141" s="3" t="inlineStr">
        <is>
          <t>Name shown on the transfer</t>
        </is>
      </c>
      <c r="C141" s="3" t="inlineStr">
        <is>
          <t>SETTLEMENT_SENDING_ENTITY.narrative_name</t>
        </is>
      </c>
    </row>
    <row r="142">
      <c r="A142" s="6" t="inlineStr">
        <is>
          <t>5 Fee by volume</t>
        </is>
      </c>
      <c r="B142" s="3" t="inlineStr">
        <is>
          <t>Has the partner approved the receiver's account? (yes / pending)</t>
        </is>
      </c>
      <c r="C142" s="3" t="inlineStr">
        <is>
          <t>SETTLEMENT_REGISTRATION.approval_status (+ details, D16)</t>
        </is>
      </c>
    </row>
    <row r="143">
      <c r="A143" s="6" t="inlineStr">
        <is>
          <t>6 Shared with client</t>
        </is>
      </c>
      <c r="B143" s="3" t="inlineStr">
        <is>
          <t>(entities)</t>
        </is>
      </c>
      <c r="C143" s="3" t="inlineStr">
        <is>
          <t>INTRODUCER (= the customer providing the sub-account), REFERRAL_RULE (basis share of net markup, settled by the party — proposal G), REFERRAL_ACCRUAL, PARTNER_REBATE_RULE (NPL's alone — proposal H), FEE_STRUCTURE, PARTNER_PAIR (market_plus_pct)</t>
        </is>
      </c>
    </row>
    <row r="144">
      <c r="A144" s="6" t="inlineStr">
        <is>
          <t>6 Shared with client</t>
        </is>
      </c>
      <c r="B144" s="3" t="inlineStr">
        <is>
          <t>Client</t>
        </is>
      </c>
      <c r="C144" s="3" t="inlineStr">
        <is>
          <t>PROJECT.name</t>
        </is>
      </c>
    </row>
    <row r="145">
      <c r="A145" s="6" t="inlineStr">
        <is>
          <t>6 Shared with client</t>
        </is>
      </c>
      <c r="B145" s="3" t="inlineStr">
        <is>
          <t>Who sends the money</t>
        </is>
      </c>
      <c r="C145" s="3" t="inlineStr">
        <is>
          <t>SENDER + SENDER_RECEIVER_ALLOW</t>
        </is>
      </c>
    </row>
    <row r="146">
      <c r="A146" s="6" t="inlineStr">
        <is>
          <t>6 Shared with client</t>
        </is>
      </c>
      <c r="B146" s="3" t="inlineStr">
        <is>
          <t>Who gets paid</t>
        </is>
      </c>
      <c r="C146" s="3" t="inlineStr">
        <is>
          <t>RECEIVER → RECEIVING_ENTITY (+ RECEIVER_GROUP)</t>
        </is>
      </c>
    </row>
    <row r="147">
      <c r="A147" s="6" t="inlineStr">
        <is>
          <t>6 Shared with client</t>
        </is>
      </c>
      <c r="B147" s="3" t="inlineStr">
        <is>
          <t>Their account</t>
        </is>
      </c>
      <c r="C147" s="3" t="inlineStr">
        <is>
          <t>RECEIVING_ENTITY_ACCOUNT (currency, rail, account_kind)</t>
        </is>
      </c>
    </row>
    <row r="148">
      <c r="A148" s="6" t="inlineStr">
        <is>
          <t>6 Shared with client</t>
        </is>
      </c>
      <c r="B148" s="3" t="inlineStr">
        <is>
          <t>How the money comes in</t>
        </is>
      </c>
      <c r="C148" s="3" t="inlineStr">
        <is>
          <t>DEAL.collection_method</t>
        </is>
      </c>
    </row>
    <row r="149">
      <c r="A149" s="6" t="inlineStr">
        <is>
          <t>6 Shared with client</t>
        </is>
      </c>
      <c r="B149" s="3" t="inlineStr">
        <is>
          <t>Where it comes in</t>
        </is>
      </c>
      <c r="C149" s="3" t="inlineStr">
        <is>
          <t>PARTNER_ENTITY → COLLECTION_RECEIVING_ENDPOINT</t>
        </is>
      </c>
    </row>
    <row r="150">
      <c r="A150" s="6" t="inlineStr">
        <is>
          <t>6 Shared with client</t>
        </is>
      </c>
      <c r="B150" s="3" t="inlineStr">
        <is>
          <t>Partner / agent</t>
        </is>
      </c>
      <c r="C150" s="3" t="inlineStr">
        <is>
          <t>PARTNER + PARTNER_CONFIG</t>
        </is>
      </c>
    </row>
    <row r="151">
      <c r="A151" s="6" t="inlineStr">
        <is>
          <t>6 Shared with client</t>
        </is>
      </c>
      <c r="B151" s="3" t="inlineStr">
        <is>
          <t>How the partner prices</t>
        </is>
      </c>
      <c r="C151" s="3" t="inlineStr">
        <is>
          <t>PARTNER_PAIR.partner_pricing (+ partner_markup_pct)</t>
        </is>
      </c>
    </row>
    <row r="152">
      <c r="A152" s="6" t="inlineStr">
        <is>
          <t>6 Shared with client</t>
        </is>
      </c>
      <c r="B152" s="3" t="inlineStr">
        <is>
          <t>Exchange pair</t>
        </is>
      </c>
      <c r="C152" s="3" t="inlineStr">
        <is>
          <t>CURRENCY_PAIR (from → to)</t>
        </is>
      </c>
    </row>
    <row r="153">
      <c r="A153" s="6" t="inlineStr">
        <is>
          <t>6 Shared with client</t>
        </is>
      </c>
      <c r="B153" s="3" t="inlineStr">
        <is>
          <t>Fee taken how</t>
        </is>
      </c>
      <c r="C153" s="3" t="inlineStr">
        <is>
          <t>CURRENCY_PAIR.quote_direction</t>
        </is>
      </c>
    </row>
    <row r="154">
      <c r="A154" s="6" t="inlineStr">
        <is>
          <t>6 Shared with client</t>
        </is>
      </c>
      <c r="B154" s="3" t="inlineStr">
        <is>
          <t>Fee applied to</t>
        </is>
      </c>
      <c r="C154" s="3" t="inlineStr">
        <is>
          <t>FEE_STRUCTURE.rate_basis</t>
        </is>
      </c>
    </row>
    <row r="155">
      <c r="A155" s="6" t="inlineStr">
        <is>
          <t>6 Shared with client</t>
        </is>
      </c>
      <c r="B155" s="3" t="inlineStr">
        <is>
          <t>Fee is</t>
        </is>
      </c>
      <c r="C155" s="3" t="inlineStr">
        <is>
          <t>FEE_STRUCTURE.mode</t>
        </is>
      </c>
    </row>
    <row r="156">
      <c r="A156" s="6" t="inlineStr">
        <is>
          <t>6 Shared with client</t>
        </is>
      </c>
      <c r="B156" s="3" t="inlineStr">
        <is>
          <t>Total fee %</t>
        </is>
      </c>
      <c r="C156" s="3" t="inlineStr">
        <is>
          <t>FEE_STRUCTURE.pct</t>
        </is>
      </c>
    </row>
    <row r="157">
      <c r="A157" s="6" t="inlineStr">
        <is>
          <t>6 Shared with client</t>
        </is>
      </c>
      <c r="B157" s="3" t="inlineStr">
        <is>
          <t>Sender pays %</t>
        </is>
      </c>
      <c r="C157" s="3" t="inlineStr">
        <is>
          <t>FEE_STRUCTURE.sender_share_pct</t>
        </is>
      </c>
    </row>
    <row r="158">
      <c r="A158" s="6" t="inlineStr">
        <is>
          <t>6 Shared with client</t>
        </is>
      </c>
      <c r="B158" s="3" t="inlineStr">
        <is>
          <t>Receiver pays %</t>
        </is>
      </c>
      <c r="C158" s="3" t="inlineStr">
        <is>
          <t>FEE_STRUCTURE.receiver_share_pct</t>
        </is>
      </c>
    </row>
    <row r="159">
      <c r="A159" s="6" t="inlineStr">
        <is>
          <t>6 Shared with client</t>
        </is>
      </c>
      <c r="B159" s="3" t="inlineStr">
        <is>
          <t>Lowest markup %</t>
        </is>
      </c>
      <c r="C159" s="3" t="inlineStr">
        <is>
          <t>FEE_STRUCTURE.floor_pct</t>
        </is>
      </c>
    </row>
    <row r="160">
      <c r="A160" s="6" t="inlineStr">
        <is>
          <t>6 Shared with client</t>
        </is>
      </c>
      <c r="B160" s="3" t="inlineStr">
        <is>
          <t>Highest markup %</t>
        </is>
      </c>
      <c r="C160" s="3" t="inlineStr">
        <is>
          <t>FEE_STRUCTURE.cap_pct</t>
        </is>
      </c>
    </row>
    <row r="161">
      <c r="A161" s="6" t="inlineStr">
        <is>
          <t>6 Shared with client</t>
        </is>
      </c>
      <c r="B161" s="3" t="inlineStr">
        <is>
          <t>Minimum NPL margin %</t>
        </is>
      </c>
      <c r="C161" s="3" t="inlineStr">
        <is>
          <t>FEE_STRUCTURE.min_margin_pct</t>
        </is>
      </c>
    </row>
    <row r="162">
      <c r="A162" s="6" t="inlineStr">
        <is>
          <t>6 Shared with client</t>
        </is>
      </c>
      <c r="B162" s="3" t="inlineStr">
        <is>
          <t>Fee shown to the customer %</t>
        </is>
      </c>
      <c r="C162" s="3" t="inlineStr">
        <is>
          <t>FEE_STRUCTURE.displayed_fee_pct (proposal C)</t>
        </is>
      </c>
    </row>
    <row r="163">
      <c r="A163" s="6" t="inlineStr">
        <is>
          <t>6 Shared with client</t>
        </is>
      </c>
      <c r="B163" s="3" t="inlineStr">
        <is>
          <t>How NPL's share reaches NPL</t>
        </is>
      </c>
      <c r="C163" s="3" t="inlineStr">
        <is>
          <t>pool at partner / PARTNER_REBATE_RULE / REFERRAL_RULE settled by the client (proposal G) / own desk (proposal D)</t>
        </is>
      </c>
    </row>
    <row r="164">
      <c r="A164" s="6" t="inlineStr">
        <is>
          <t>6 Shared with client</t>
        </is>
      </c>
      <c r="B164" s="3" t="inlineStr">
        <is>
          <t>% of the partner's fee paid back to NPL (rebate)</t>
        </is>
      </c>
      <c r="C164" s="3" t="inlineStr">
        <is>
          <t>PARTNER_REBATE_RULE.pct_of_partner_fee</t>
        </is>
      </c>
    </row>
    <row r="165">
      <c r="A165" s="6" t="inlineStr">
        <is>
          <t>6 Shared with client</t>
        </is>
      </c>
      <c r="B165" s="3" t="inlineStr">
        <is>
          <t>Markup shared with someone else</t>
        </is>
      </c>
      <c r="C165" s="3" t="inlineStr">
        <is>
          <t>INTRODUCER + REFERRAL_RULE (basis share of net markup, proposal G)</t>
        </is>
      </c>
    </row>
    <row r="166">
      <c r="A166" s="6" t="inlineStr">
        <is>
          <t>6 Shared with client</t>
        </is>
      </c>
      <c r="B166" s="3" t="inlineStr">
        <is>
          <t>Rounding</t>
        </is>
      </c>
      <c r="C166" s="3" t="inlineStr">
        <is>
          <t>CURRENCY_PAIR.amount_rounding (+ rounding_unit, proposal F)</t>
        </is>
      </c>
    </row>
    <row r="167">
      <c r="A167" s="6" t="inlineStr">
        <is>
          <t>6 Shared with client</t>
        </is>
      </c>
      <c r="B167" s="3" t="inlineStr">
        <is>
          <t>Bank or EMI that pays out</t>
        </is>
      </c>
      <c r="C167" s="3" t="inlineStr">
        <is>
          <t>SETTLEMENT_RAIL</t>
        </is>
      </c>
    </row>
    <row r="168">
      <c r="A168" s="6" t="inlineStr">
        <is>
          <t>6 Shared with client</t>
        </is>
      </c>
      <c r="B168" s="3" t="inlineStr">
        <is>
          <t>Name shown on the transfer</t>
        </is>
      </c>
      <c r="C168" s="3" t="inlineStr">
        <is>
          <t>SETTLEMENT_SENDING_ENTITY.narrative_name</t>
        </is>
      </c>
    </row>
    <row r="169">
      <c r="A169" s="6" t="inlineStr">
        <is>
          <t>6 Shared with client</t>
        </is>
      </c>
      <c r="B169" s="3" t="inlineStr">
        <is>
          <t>Has the partner approved the receiver's account? (yes / pending)</t>
        </is>
      </c>
      <c r="C169" s="3" t="inlineStr">
        <is>
          <t>SETTLEMENT_REGISTRATION.approval_status (+ details, D16)</t>
        </is>
      </c>
    </row>
    <row r="170">
      <c r="A170" s="6" t="inlineStr">
        <is>
          <t>7 NPL own wallet</t>
        </is>
      </c>
      <c r="B170" s="3" t="inlineStr">
        <is>
          <t>(entities)</t>
        </is>
      </c>
      <c r="C170" s="3" t="inlineStr">
        <is>
          <t>PROJECT NPL-GR (NPL as its own client — your suggestion), OWN_WALLET (LT Sub) as collection endpoint, own-desk PARTNER_CONFIG (proposal D), INVOICE + per-line discharge (proposal E), round up (proposal F), invariant 3</t>
        </is>
      </c>
    </row>
    <row r="171">
      <c r="A171" s="6" t="inlineStr">
        <is>
          <t>7 NPL own wallet</t>
        </is>
      </c>
      <c r="B171" s="3" t="inlineStr">
        <is>
          <t>Client</t>
        </is>
      </c>
      <c r="C171" s="3" t="inlineStr">
        <is>
          <t>PROJECT.name</t>
        </is>
      </c>
    </row>
    <row r="172">
      <c r="A172" s="6" t="inlineStr">
        <is>
          <t>7 NPL own wallet</t>
        </is>
      </c>
      <c r="B172" s="3" t="inlineStr">
        <is>
          <t>Who sends the money</t>
        </is>
      </c>
      <c r="C172" s="3" t="inlineStr">
        <is>
          <t>SENDER + SENDER_RECEIVER_ALLOW</t>
        </is>
      </c>
    </row>
    <row r="173">
      <c r="A173" s="6" t="inlineStr">
        <is>
          <t>7 NPL own wallet</t>
        </is>
      </c>
      <c r="B173" s="3" t="inlineStr">
        <is>
          <t>Who gets paid</t>
        </is>
      </c>
      <c r="C173" s="3" t="inlineStr">
        <is>
          <t>RECEIVER → RECEIVING_ENTITY (+ RECEIVER_GROUP)</t>
        </is>
      </c>
    </row>
    <row r="174">
      <c r="A174" s="6" t="inlineStr">
        <is>
          <t>7 NPL own wallet</t>
        </is>
      </c>
      <c r="B174" s="3" t="inlineStr">
        <is>
          <t>Their account</t>
        </is>
      </c>
      <c r="C174" s="3" t="inlineStr">
        <is>
          <t>RECEIVING_ENTITY_ACCOUNT (currency, rail, account_kind)</t>
        </is>
      </c>
    </row>
    <row r="175">
      <c r="A175" s="6" t="inlineStr">
        <is>
          <t>7 NPL own wallet</t>
        </is>
      </c>
      <c r="B175" s="3" t="inlineStr">
        <is>
          <t>How the money comes in</t>
        </is>
      </c>
      <c r="C175" s="3" t="inlineStr">
        <is>
          <t>DEAL.collection_method</t>
        </is>
      </c>
    </row>
    <row r="176">
      <c r="A176" s="6" t="inlineStr">
        <is>
          <t>7 NPL own wallet</t>
        </is>
      </c>
      <c r="B176" s="3" t="inlineStr">
        <is>
          <t>Where it comes in</t>
        </is>
      </c>
      <c r="C176" s="3" t="inlineStr">
        <is>
          <t>PARTNER_ENTITY → COLLECTION_RECEIVING_ENDPOINT</t>
        </is>
      </c>
    </row>
    <row r="177">
      <c r="A177" s="6" t="inlineStr">
        <is>
          <t>7 NPL own wallet</t>
        </is>
      </c>
      <c r="B177" s="3" t="inlineStr">
        <is>
          <t>Partner / agent</t>
        </is>
      </c>
      <c r="C177" s="3" t="inlineStr">
        <is>
          <t>PARTNER + PARTNER_CONFIG</t>
        </is>
      </c>
    </row>
    <row r="178">
      <c r="A178" s="6" t="inlineStr">
        <is>
          <t>7 NPL own wallet</t>
        </is>
      </c>
      <c r="B178" s="3" t="inlineStr">
        <is>
          <t>How the partner prices</t>
        </is>
      </c>
      <c r="C178" s="3" t="inlineStr">
        <is>
          <t>PARTNER_PAIR.partner_pricing (+ partner_markup_pct)</t>
        </is>
      </c>
    </row>
    <row r="179">
      <c r="A179" s="6" t="inlineStr">
        <is>
          <t>7 NPL own wallet</t>
        </is>
      </c>
      <c r="B179" s="3" t="inlineStr">
        <is>
          <t>Exchange pair</t>
        </is>
      </c>
      <c r="C179" s="3" t="inlineStr">
        <is>
          <t>CURRENCY_PAIR (from → to)</t>
        </is>
      </c>
    </row>
    <row r="180">
      <c r="A180" s="6" t="inlineStr">
        <is>
          <t>7 NPL own wallet</t>
        </is>
      </c>
      <c r="B180" s="3" t="inlineStr">
        <is>
          <t>Fee taken how</t>
        </is>
      </c>
      <c r="C180" s="3" t="inlineStr">
        <is>
          <t>CURRENCY_PAIR.quote_direction</t>
        </is>
      </c>
    </row>
    <row r="181">
      <c r="A181" s="6" t="inlineStr">
        <is>
          <t>7 NPL own wallet</t>
        </is>
      </c>
      <c r="B181" s="3" t="inlineStr">
        <is>
          <t>Fee applied to</t>
        </is>
      </c>
      <c r="C181" s="3" t="inlineStr">
        <is>
          <t>FEE_STRUCTURE.rate_basis</t>
        </is>
      </c>
    </row>
    <row r="182">
      <c r="A182" s="6" t="inlineStr">
        <is>
          <t>7 NPL own wallet</t>
        </is>
      </c>
      <c r="B182" s="3" t="inlineStr">
        <is>
          <t>Fee is</t>
        </is>
      </c>
      <c r="C182" s="3" t="inlineStr">
        <is>
          <t>FEE_STRUCTURE.mode</t>
        </is>
      </c>
    </row>
    <row r="183">
      <c r="A183" s="6" t="inlineStr">
        <is>
          <t>7 NPL own wallet</t>
        </is>
      </c>
      <c r="B183" s="3" t="inlineStr">
        <is>
          <t>Total fee %</t>
        </is>
      </c>
      <c r="C183" s="3" t="inlineStr">
        <is>
          <t>FEE_STRUCTURE.pct</t>
        </is>
      </c>
    </row>
    <row r="184">
      <c r="A184" s="6" t="inlineStr">
        <is>
          <t>7 NPL own wallet</t>
        </is>
      </c>
      <c r="B184" s="3" t="inlineStr">
        <is>
          <t>Sender pays %</t>
        </is>
      </c>
      <c r="C184" s="3" t="inlineStr">
        <is>
          <t>FEE_STRUCTURE.sender_share_pct</t>
        </is>
      </c>
    </row>
    <row r="185">
      <c r="A185" s="6" t="inlineStr">
        <is>
          <t>7 NPL own wallet</t>
        </is>
      </c>
      <c r="B185" s="3" t="inlineStr">
        <is>
          <t>Receiver pays %</t>
        </is>
      </c>
      <c r="C185" s="3" t="inlineStr">
        <is>
          <t>FEE_STRUCTURE.receiver_share_pct</t>
        </is>
      </c>
    </row>
    <row r="186">
      <c r="A186" s="6" t="inlineStr">
        <is>
          <t>7 NPL own wallet</t>
        </is>
      </c>
      <c r="B186" s="3" t="inlineStr">
        <is>
          <t>Lowest markup %</t>
        </is>
      </c>
      <c r="C186" s="3" t="inlineStr">
        <is>
          <t>FEE_STRUCTURE.floor_pct</t>
        </is>
      </c>
    </row>
    <row r="187">
      <c r="A187" s="6" t="inlineStr">
        <is>
          <t>7 NPL own wallet</t>
        </is>
      </c>
      <c r="B187" s="3" t="inlineStr">
        <is>
          <t>Highest markup %</t>
        </is>
      </c>
      <c r="C187" s="3" t="inlineStr">
        <is>
          <t>FEE_STRUCTURE.cap_pct</t>
        </is>
      </c>
    </row>
    <row r="188">
      <c r="A188" s="6" t="inlineStr">
        <is>
          <t>7 NPL own wallet</t>
        </is>
      </c>
      <c r="B188" s="3" t="inlineStr">
        <is>
          <t>Minimum NPL margin %</t>
        </is>
      </c>
      <c r="C188" s="3" t="inlineStr">
        <is>
          <t>FEE_STRUCTURE.min_margin_pct</t>
        </is>
      </c>
    </row>
    <row r="189">
      <c r="A189" s="6" t="inlineStr">
        <is>
          <t>7 NPL own wallet</t>
        </is>
      </c>
      <c r="B189" s="3" t="inlineStr">
        <is>
          <t>Fee shown to the customer %</t>
        </is>
      </c>
      <c r="C189" s="3" t="inlineStr">
        <is>
          <t>FEE_STRUCTURE.displayed_fee_pct (proposal C)</t>
        </is>
      </c>
    </row>
    <row r="190">
      <c r="A190" s="6" t="inlineStr">
        <is>
          <t>7 NPL own wallet</t>
        </is>
      </c>
      <c r="B190" s="3" t="inlineStr">
        <is>
          <t>How NPL's share reaches NPL</t>
        </is>
      </c>
      <c r="C190" s="3" t="inlineStr">
        <is>
          <t>pool at partner / PARTNER_REBATE_RULE / REFERRAL_RULE settled by the client (proposal G) / own desk (proposal D)</t>
        </is>
      </c>
    </row>
    <row r="191">
      <c r="A191" s="6" t="inlineStr">
        <is>
          <t>7 NPL own wallet</t>
        </is>
      </c>
      <c r="B191" s="3" t="inlineStr">
        <is>
          <t>% of the partner's fee paid back to NPL (rebate)</t>
        </is>
      </c>
      <c r="C191" s="3" t="inlineStr">
        <is>
          <t>PARTNER_REBATE_RULE.pct_of_partner_fee</t>
        </is>
      </c>
    </row>
    <row r="192">
      <c r="A192" s="6" t="inlineStr">
        <is>
          <t>7 NPL own wallet</t>
        </is>
      </c>
      <c r="B192" s="3" t="inlineStr">
        <is>
          <t>Markup shared with someone else</t>
        </is>
      </c>
      <c r="C192" s="3" t="inlineStr">
        <is>
          <t>INTRODUCER + REFERRAL_RULE (basis share of net markup, proposal G)</t>
        </is>
      </c>
    </row>
    <row r="193">
      <c r="A193" s="6" t="inlineStr">
        <is>
          <t>7 NPL own wallet</t>
        </is>
      </c>
      <c r="B193" s="3" t="inlineStr">
        <is>
          <t>Rounding</t>
        </is>
      </c>
      <c r="C193" s="3" t="inlineStr">
        <is>
          <t>CURRENCY_PAIR.amount_rounding (+ rounding_unit, proposal F)</t>
        </is>
      </c>
    </row>
    <row r="194">
      <c r="A194" s="6" t="inlineStr">
        <is>
          <t>7 NPL own wallet</t>
        </is>
      </c>
      <c r="B194" s="3" t="inlineStr">
        <is>
          <t>Bank or EMI that pays out</t>
        </is>
      </c>
      <c r="C194" s="3" t="inlineStr">
        <is>
          <t>SETTLEMENT_RAIL</t>
        </is>
      </c>
    </row>
    <row r="195">
      <c r="A195" s="6" t="inlineStr">
        <is>
          <t>7 NPL own wallet</t>
        </is>
      </c>
      <c r="B195" s="3" t="inlineStr">
        <is>
          <t>Name shown on the transfer</t>
        </is>
      </c>
      <c r="C195" s="3" t="inlineStr">
        <is>
          <t>SETTLEMENT_SENDING_ENTITY.narrative_name</t>
        </is>
      </c>
    </row>
    <row r="196">
      <c r="A196" s="6" t="inlineStr">
        <is>
          <t>7 NPL own wallet</t>
        </is>
      </c>
      <c r="B196" s="3" t="inlineStr">
        <is>
          <t>Has the partner approved the receiver's account? (yes / pending)</t>
        </is>
      </c>
      <c r="C196" s="3" t="inlineStr">
        <is>
          <t>SETTLEMENT_REGISTRATION.approval_status (+ details, D16)</t>
        </is>
      </c>
    </row>
    <row r="197">
      <c r="A197" s="6" t="inlineStr">
        <is>
          <t>8 THB cash to vendors</t>
        </is>
      </c>
      <c r="B197" s="3" t="inlineStr">
        <is>
          <t>(entities)</t>
        </is>
      </c>
      <c r="C197" s="3" t="inlineStr">
        <is>
          <t>DEAL_GROUP with one forward leg (THB → USDT at Ali, cash collection with token and city — proposal K), INVOICE obligation in EUR (proposal E), payout lines in USDT to several vendors with deal_id and discharge fields, rounding (proposal F)</t>
        </is>
      </c>
    </row>
    <row r="198">
      <c r="A198" s="6" t="inlineStr">
        <is>
          <t>8 THB cash to vendors</t>
        </is>
      </c>
      <c r="B198" s="3" t="inlineStr">
        <is>
          <t>Client</t>
        </is>
      </c>
      <c r="C198" s="3" t="inlineStr">
        <is>
          <t>PROJECT.name</t>
        </is>
      </c>
    </row>
    <row r="199">
      <c r="A199" s="6" t="inlineStr">
        <is>
          <t>8 THB cash to vendors</t>
        </is>
      </c>
      <c r="B199" s="3" t="inlineStr">
        <is>
          <t>Who sends the money</t>
        </is>
      </c>
      <c r="C199" s="3" t="inlineStr">
        <is>
          <t>SENDER + SENDER_RECEIVER_ALLOW</t>
        </is>
      </c>
    </row>
    <row r="200">
      <c r="A200" s="6" t="inlineStr">
        <is>
          <t>8 THB cash to vendors</t>
        </is>
      </c>
      <c r="B200" s="3" t="inlineStr">
        <is>
          <t>Who gets paid</t>
        </is>
      </c>
      <c r="C200" s="3" t="inlineStr">
        <is>
          <t>RECEIVER → RECEIVING_ENTITY (+ RECEIVER_GROUP)</t>
        </is>
      </c>
    </row>
    <row r="201">
      <c r="A201" s="6" t="inlineStr">
        <is>
          <t>8 THB cash to vendors</t>
        </is>
      </c>
      <c r="B201" s="3" t="inlineStr">
        <is>
          <t>Their account</t>
        </is>
      </c>
      <c r="C201" s="3" t="inlineStr">
        <is>
          <t>RECEIVING_ENTITY_ACCOUNT (currency, rail, account_kind)</t>
        </is>
      </c>
    </row>
    <row r="202">
      <c r="A202" s="6" t="inlineStr">
        <is>
          <t>8 THB cash to vendors</t>
        </is>
      </c>
      <c r="B202" s="3" t="inlineStr">
        <is>
          <t>How the money comes in</t>
        </is>
      </c>
      <c r="C202" s="3" t="inlineStr">
        <is>
          <t>DEAL.collection_method</t>
        </is>
      </c>
    </row>
    <row r="203">
      <c r="A203" s="6" t="inlineStr">
        <is>
          <t>8 THB cash to vendors</t>
        </is>
      </c>
      <c r="B203" s="3" t="inlineStr">
        <is>
          <t>Where it comes in</t>
        </is>
      </c>
      <c r="C203" s="3" t="inlineStr">
        <is>
          <t>PARTNER_ENTITY → COLLECTION_RECEIVING_ENDPOINT</t>
        </is>
      </c>
    </row>
    <row r="204">
      <c r="A204" s="6" t="inlineStr">
        <is>
          <t>8 THB cash to vendors</t>
        </is>
      </c>
      <c r="B204" s="3" t="inlineStr">
        <is>
          <t>Partner / agent</t>
        </is>
      </c>
      <c r="C204" s="3" t="inlineStr">
        <is>
          <t>PARTNER + PARTNER_CONFIG</t>
        </is>
      </c>
    </row>
    <row r="205">
      <c r="A205" s="6" t="inlineStr">
        <is>
          <t>8 THB cash to vendors</t>
        </is>
      </c>
      <c r="B205" s="3" t="inlineStr">
        <is>
          <t>How the partner prices</t>
        </is>
      </c>
      <c r="C205" s="3" t="inlineStr">
        <is>
          <t>PARTNER_PAIR.partner_pricing (+ partner_markup_pct)</t>
        </is>
      </c>
    </row>
    <row r="206">
      <c r="A206" s="6" t="inlineStr">
        <is>
          <t>8 THB cash to vendors</t>
        </is>
      </c>
      <c r="B206" s="3" t="inlineStr">
        <is>
          <t>Exchange pair</t>
        </is>
      </c>
      <c r="C206" s="3" t="inlineStr">
        <is>
          <t>CURRENCY_PAIR (from → to)</t>
        </is>
      </c>
    </row>
    <row r="207">
      <c r="A207" s="6" t="inlineStr">
        <is>
          <t>8 THB cash to vendors</t>
        </is>
      </c>
      <c r="B207" s="3" t="inlineStr">
        <is>
          <t>Fee taken how</t>
        </is>
      </c>
      <c r="C207" s="3" t="inlineStr">
        <is>
          <t>CURRENCY_PAIR.quote_direction</t>
        </is>
      </c>
    </row>
    <row r="208">
      <c r="A208" s="6" t="inlineStr">
        <is>
          <t>8 THB cash to vendors</t>
        </is>
      </c>
      <c r="B208" s="3" t="inlineStr">
        <is>
          <t>Fee applied to</t>
        </is>
      </c>
      <c r="C208" s="3" t="inlineStr">
        <is>
          <t>FEE_STRUCTURE.rate_basis</t>
        </is>
      </c>
    </row>
    <row r="209">
      <c r="A209" s="6" t="inlineStr">
        <is>
          <t>8 THB cash to vendors</t>
        </is>
      </c>
      <c r="B209" s="3" t="inlineStr">
        <is>
          <t>Fee is</t>
        </is>
      </c>
      <c r="C209" s="3" t="inlineStr">
        <is>
          <t>FEE_STRUCTURE.mode</t>
        </is>
      </c>
    </row>
    <row r="210">
      <c r="A210" s="6" t="inlineStr">
        <is>
          <t>8 THB cash to vendors</t>
        </is>
      </c>
      <c r="B210" s="3" t="inlineStr">
        <is>
          <t>Total fee %</t>
        </is>
      </c>
      <c r="C210" s="3" t="inlineStr">
        <is>
          <t>FEE_STRUCTURE.pct</t>
        </is>
      </c>
    </row>
    <row r="211">
      <c r="A211" s="6" t="inlineStr">
        <is>
          <t>8 THB cash to vendors</t>
        </is>
      </c>
      <c r="B211" s="3" t="inlineStr">
        <is>
          <t>Sender pays %</t>
        </is>
      </c>
      <c r="C211" s="3" t="inlineStr">
        <is>
          <t>FEE_STRUCTURE.sender_share_pct</t>
        </is>
      </c>
    </row>
    <row r="212">
      <c r="A212" s="6" t="inlineStr">
        <is>
          <t>8 THB cash to vendors</t>
        </is>
      </c>
      <c r="B212" s="3" t="inlineStr">
        <is>
          <t>Receiver pays %</t>
        </is>
      </c>
      <c r="C212" s="3" t="inlineStr">
        <is>
          <t>FEE_STRUCTURE.receiver_share_pct</t>
        </is>
      </c>
    </row>
    <row r="213">
      <c r="A213" s="6" t="inlineStr">
        <is>
          <t>8 THB cash to vendors</t>
        </is>
      </c>
      <c r="B213" s="3" t="inlineStr">
        <is>
          <t>Lowest markup %</t>
        </is>
      </c>
      <c r="C213" s="3" t="inlineStr">
        <is>
          <t>FEE_STRUCTURE.floor_pct</t>
        </is>
      </c>
    </row>
    <row r="214">
      <c r="A214" s="6" t="inlineStr">
        <is>
          <t>8 THB cash to vendors</t>
        </is>
      </c>
      <c r="B214" s="3" t="inlineStr">
        <is>
          <t>Highest markup %</t>
        </is>
      </c>
      <c r="C214" s="3" t="inlineStr">
        <is>
          <t>FEE_STRUCTURE.cap_pct</t>
        </is>
      </c>
    </row>
    <row r="215">
      <c r="A215" s="6" t="inlineStr">
        <is>
          <t>8 THB cash to vendors</t>
        </is>
      </c>
      <c r="B215" s="3" t="inlineStr">
        <is>
          <t>Minimum NPL margin %</t>
        </is>
      </c>
      <c r="C215" s="3" t="inlineStr">
        <is>
          <t>FEE_STRUCTURE.min_margin_pct</t>
        </is>
      </c>
    </row>
    <row r="216">
      <c r="A216" s="6" t="inlineStr">
        <is>
          <t>8 THB cash to vendors</t>
        </is>
      </c>
      <c r="B216" s="3" t="inlineStr">
        <is>
          <t>Fee shown to the customer %</t>
        </is>
      </c>
      <c r="C216" s="3" t="inlineStr">
        <is>
          <t>FEE_STRUCTURE.displayed_fee_pct (proposal C)</t>
        </is>
      </c>
    </row>
    <row r="217">
      <c r="A217" s="6" t="inlineStr">
        <is>
          <t>8 THB cash to vendors</t>
        </is>
      </c>
      <c r="B217" s="3" t="inlineStr">
        <is>
          <t>How NPL's share reaches NPL</t>
        </is>
      </c>
      <c r="C217" s="3" t="inlineStr">
        <is>
          <t>pool at partner / PARTNER_REBATE_RULE / REFERRAL_RULE settled by the client (proposal G) / own desk (proposal D)</t>
        </is>
      </c>
    </row>
    <row r="218">
      <c r="A218" s="6" t="inlineStr">
        <is>
          <t>8 THB cash to vendors</t>
        </is>
      </c>
      <c r="B218" s="3" t="inlineStr">
        <is>
          <t>% of the partner's fee paid back to NPL (rebate)</t>
        </is>
      </c>
      <c r="C218" s="3" t="inlineStr">
        <is>
          <t>PARTNER_REBATE_RULE.pct_of_partner_fee</t>
        </is>
      </c>
    </row>
    <row r="219">
      <c r="A219" s="6" t="inlineStr">
        <is>
          <t>8 THB cash to vendors</t>
        </is>
      </c>
      <c r="B219" s="3" t="inlineStr">
        <is>
          <t>Markup shared with someone else</t>
        </is>
      </c>
      <c r="C219" s="3" t="inlineStr">
        <is>
          <t>INTRODUCER + REFERRAL_RULE (basis share of net markup, proposal G)</t>
        </is>
      </c>
    </row>
    <row r="220">
      <c r="A220" s="6" t="inlineStr">
        <is>
          <t>8 THB cash to vendors</t>
        </is>
      </c>
      <c r="B220" s="3" t="inlineStr">
        <is>
          <t>Rounding</t>
        </is>
      </c>
      <c r="C220" s="3" t="inlineStr">
        <is>
          <t>CURRENCY_PAIR.amount_rounding (+ rounding_unit, proposal F)</t>
        </is>
      </c>
    </row>
    <row r="221">
      <c r="A221" s="6" t="inlineStr">
        <is>
          <t>8 THB cash to vendors</t>
        </is>
      </c>
      <c r="B221" s="3" t="inlineStr">
        <is>
          <t>Bank or EMI that pays out</t>
        </is>
      </c>
      <c r="C221" s="3" t="inlineStr">
        <is>
          <t>SETTLEMENT_RAIL</t>
        </is>
      </c>
    </row>
    <row r="222">
      <c r="A222" s="6" t="inlineStr">
        <is>
          <t>8 THB cash to vendors</t>
        </is>
      </c>
      <c r="B222" s="3" t="inlineStr">
        <is>
          <t>Name shown on the transfer</t>
        </is>
      </c>
      <c r="C222" s="3" t="inlineStr">
        <is>
          <t>SETTLEMENT_SENDING_ENTITY.narrative_name</t>
        </is>
      </c>
    </row>
    <row r="223">
      <c r="A223" s="6" t="inlineStr">
        <is>
          <t>8 THB cash to vendors</t>
        </is>
      </c>
      <c r="B223" s="3" t="inlineStr">
        <is>
          <t>Has the partner approved the receiver's account? (yes / pending)</t>
        </is>
      </c>
      <c r="C223" s="3" t="inlineStr">
        <is>
          <t>SETTLEMENT_REGISTRATION.approval_status (+ details, D16)</t>
        </is>
      </c>
    </row>
    <row r="224">
      <c r="A224" s="6" t="inlineStr">
        <is>
          <t>8 THB cash to vendors</t>
        </is>
      </c>
      <c r="B224" s="3" t="inlineStr">
        <is>
          <t>Where the cash is handed over (city)</t>
        </is>
      </c>
      <c r="C224" s="3" t="inlineStr">
        <is>
          <t>DEAL.cash_location + PARTNER_RATE_VERSION.location (proposal K)</t>
        </is>
      </c>
    </row>
    <row r="225">
      <c r="A225" s="6" t="inlineStr">
        <is>
          <t>9 Withdrawal</t>
        </is>
      </c>
      <c r="B225" s="3" t="inlineStr">
        <is>
          <t>(entities)</t>
        </is>
      </c>
      <c r="C225" s="3" t="inlineStr">
        <is>
          <t>CURRENCY_PAIR GBP → USDT, COLLECTION_RECEIVING_ENDPOINT (kind bank, rail SWIFT), RECEIVING_ENTITY_ACCOUNT (kind wallet, D14), SETTLEMENT_REGISTRATION with network + address (D16), PARTNER_REBATE_RULE</t>
        </is>
      </c>
    </row>
    <row r="226">
      <c r="A226" s="6" t="inlineStr">
        <is>
          <t>9 Withdrawal</t>
        </is>
      </c>
      <c r="B226" s="3" t="inlineStr">
        <is>
          <t>Client</t>
        </is>
      </c>
      <c r="C226" s="3" t="inlineStr">
        <is>
          <t>PROJECT.name</t>
        </is>
      </c>
    </row>
    <row r="227">
      <c r="A227" s="6" t="inlineStr">
        <is>
          <t>9 Withdrawal</t>
        </is>
      </c>
      <c r="B227" s="3" t="inlineStr">
        <is>
          <t>Who sends the money</t>
        </is>
      </c>
      <c r="C227" s="3" t="inlineStr">
        <is>
          <t>SENDER + SENDER_RECEIVER_ALLOW</t>
        </is>
      </c>
    </row>
    <row r="228">
      <c r="A228" s="6" t="inlineStr">
        <is>
          <t>9 Withdrawal</t>
        </is>
      </c>
      <c r="B228" s="3" t="inlineStr">
        <is>
          <t>Who gets paid</t>
        </is>
      </c>
      <c r="C228" s="3" t="inlineStr">
        <is>
          <t>RECEIVER → RECEIVING_ENTITY (+ RECEIVER_GROUP)</t>
        </is>
      </c>
    </row>
    <row r="229">
      <c r="A229" s="6" t="inlineStr">
        <is>
          <t>9 Withdrawal</t>
        </is>
      </c>
      <c r="B229" s="3" t="inlineStr">
        <is>
          <t>Their account</t>
        </is>
      </c>
      <c r="C229" s="3" t="inlineStr">
        <is>
          <t>RECEIVING_ENTITY_ACCOUNT (currency, rail, account_kind)</t>
        </is>
      </c>
    </row>
    <row r="230">
      <c r="A230" s="6" t="inlineStr">
        <is>
          <t>9 Withdrawal</t>
        </is>
      </c>
      <c r="B230" s="3" t="inlineStr">
        <is>
          <t>How the money comes in</t>
        </is>
      </c>
      <c r="C230" s="3" t="inlineStr">
        <is>
          <t>DEAL.collection_method</t>
        </is>
      </c>
    </row>
    <row r="231">
      <c r="A231" s="6" t="inlineStr">
        <is>
          <t>9 Withdrawal</t>
        </is>
      </c>
      <c r="B231" s="3" t="inlineStr">
        <is>
          <t>Where it comes in</t>
        </is>
      </c>
      <c r="C231" s="3" t="inlineStr">
        <is>
          <t>PARTNER_ENTITY → COLLECTION_RECEIVING_ENDPOINT</t>
        </is>
      </c>
    </row>
    <row r="232">
      <c r="A232" s="6" t="inlineStr">
        <is>
          <t>9 Withdrawal</t>
        </is>
      </c>
      <c r="B232" s="3" t="inlineStr">
        <is>
          <t>Partner / agent</t>
        </is>
      </c>
      <c r="C232" s="3" t="inlineStr">
        <is>
          <t>PARTNER + PARTNER_CONFIG</t>
        </is>
      </c>
    </row>
    <row r="233">
      <c r="A233" s="6" t="inlineStr">
        <is>
          <t>9 Withdrawal</t>
        </is>
      </c>
      <c r="B233" s="3" t="inlineStr">
        <is>
          <t>How the partner prices</t>
        </is>
      </c>
      <c r="C233" s="3" t="inlineStr">
        <is>
          <t>PARTNER_PAIR.partner_pricing (+ partner_markup_pct)</t>
        </is>
      </c>
    </row>
    <row r="234">
      <c r="A234" s="6" t="inlineStr">
        <is>
          <t>9 Withdrawal</t>
        </is>
      </c>
      <c r="B234" s="3" t="inlineStr">
        <is>
          <t>Exchange pair</t>
        </is>
      </c>
      <c r="C234" s="3" t="inlineStr">
        <is>
          <t>CURRENCY_PAIR (from → to)</t>
        </is>
      </c>
    </row>
    <row r="235">
      <c r="A235" s="6" t="inlineStr">
        <is>
          <t>9 Withdrawal</t>
        </is>
      </c>
      <c r="B235" s="3" t="inlineStr">
        <is>
          <t>Fee taken how</t>
        </is>
      </c>
      <c r="C235" s="3" t="inlineStr">
        <is>
          <t>CURRENCY_PAIR.quote_direction</t>
        </is>
      </c>
    </row>
    <row r="236">
      <c r="A236" s="6" t="inlineStr">
        <is>
          <t>9 Withdrawal</t>
        </is>
      </c>
      <c r="B236" s="3" t="inlineStr">
        <is>
          <t>Fee applied to</t>
        </is>
      </c>
      <c r="C236" s="3" t="inlineStr">
        <is>
          <t>FEE_STRUCTURE.rate_basis</t>
        </is>
      </c>
    </row>
    <row r="237">
      <c r="A237" s="6" t="inlineStr">
        <is>
          <t>9 Withdrawal</t>
        </is>
      </c>
      <c r="B237" s="3" t="inlineStr">
        <is>
          <t>Fee is</t>
        </is>
      </c>
      <c r="C237" s="3" t="inlineStr">
        <is>
          <t>FEE_STRUCTURE.mode</t>
        </is>
      </c>
    </row>
    <row r="238">
      <c r="A238" s="6" t="inlineStr">
        <is>
          <t>9 Withdrawal</t>
        </is>
      </c>
      <c r="B238" s="3" t="inlineStr">
        <is>
          <t>Total fee %</t>
        </is>
      </c>
      <c r="C238" s="3" t="inlineStr">
        <is>
          <t>FEE_STRUCTURE.pct</t>
        </is>
      </c>
    </row>
    <row r="239">
      <c r="A239" s="6" t="inlineStr">
        <is>
          <t>9 Withdrawal</t>
        </is>
      </c>
      <c r="B239" s="3" t="inlineStr">
        <is>
          <t>Sender pays %</t>
        </is>
      </c>
      <c r="C239" s="3" t="inlineStr">
        <is>
          <t>FEE_STRUCTURE.sender_share_pct</t>
        </is>
      </c>
    </row>
    <row r="240">
      <c r="A240" s="6" t="inlineStr">
        <is>
          <t>9 Withdrawal</t>
        </is>
      </c>
      <c r="B240" s="3" t="inlineStr">
        <is>
          <t>Receiver pays %</t>
        </is>
      </c>
      <c r="C240" s="3" t="inlineStr">
        <is>
          <t>FEE_STRUCTURE.receiver_share_pct</t>
        </is>
      </c>
    </row>
    <row r="241">
      <c r="A241" s="6" t="inlineStr">
        <is>
          <t>9 Withdrawal</t>
        </is>
      </c>
      <c r="B241" s="3" t="inlineStr">
        <is>
          <t>Lowest markup %</t>
        </is>
      </c>
      <c r="C241" s="3" t="inlineStr">
        <is>
          <t>FEE_STRUCTURE.floor_pct</t>
        </is>
      </c>
    </row>
    <row r="242">
      <c r="A242" s="6" t="inlineStr">
        <is>
          <t>9 Withdrawal</t>
        </is>
      </c>
      <c r="B242" s="3" t="inlineStr">
        <is>
          <t>Highest markup %</t>
        </is>
      </c>
      <c r="C242" s="3" t="inlineStr">
        <is>
          <t>FEE_STRUCTURE.cap_pct</t>
        </is>
      </c>
    </row>
    <row r="243">
      <c r="A243" s="6" t="inlineStr">
        <is>
          <t>9 Withdrawal</t>
        </is>
      </c>
      <c r="B243" s="3" t="inlineStr">
        <is>
          <t>Minimum NPL margin %</t>
        </is>
      </c>
      <c r="C243" s="3" t="inlineStr">
        <is>
          <t>FEE_STRUCTURE.min_margin_pct</t>
        </is>
      </c>
    </row>
    <row r="244">
      <c r="A244" s="6" t="inlineStr">
        <is>
          <t>9 Withdrawal</t>
        </is>
      </c>
      <c r="B244" s="3" t="inlineStr">
        <is>
          <t>Fee shown to the customer %</t>
        </is>
      </c>
      <c r="C244" s="3" t="inlineStr">
        <is>
          <t>FEE_STRUCTURE.displayed_fee_pct (proposal C)</t>
        </is>
      </c>
    </row>
    <row r="245">
      <c r="A245" s="6" t="inlineStr">
        <is>
          <t>9 Withdrawal</t>
        </is>
      </c>
      <c r="B245" s="3" t="inlineStr">
        <is>
          <t>How NPL's share reaches NPL</t>
        </is>
      </c>
      <c r="C245" s="3" t="inlineStr">
        <is>
          <t>pool at partner / PARTNER_REBATE_RULE / REFERRAL_RULE settled by the client (proposal G) / own desk (proposal D)</t>
        </is>
      </c>
    </row>
    <row r="246">
      <c r="A246" s="6" t="inlineStr">
        <is>
          <t>9 Withdrawal</t>
        </is>
      </c>
      <c r="B246" s="3" t="inlineStr">
        <is>
          <t>% of the partner's fee paid back to NPL (rebate)</t>
        </is>
      </c>
      <c r="C246" s="3" t="inlineStr">
        <is>
          <t>PARTNER_REBATE_RULE.pct_of_partner_fee</t>
        </is>
      </c>
    </row>
    <row r="247">
      <c r="A247" s="6" t="inlineStr">
        <is>
          <t>9 Withdrawal</t>
        </is>
      </c>
      <c r="B247" s="3" t="inlineStr">
        <is>
          <t>Markup shared with someone else</t>
        </is>
      </c>
      <c r="C247" s="3" t="inlineStr">
        <is>
          <t>INTRODUCER + REFERRAL_RULE (basis share of net markup, proposal G)</t>
        </is>
      </c>
    </row>
    <row r="248">
      <c r="A248" s="6" t="inlineStr">
        <is>
          <t>9 Withdrawal</t>
        </is>
      </c>
      <c r="B248" s="3" t="inlineStr">
        <is>
          <t>Rounding</t>
        </is>
      </c>
      <c r="C248" s="3" t="inlineStr">
        <is>
          <t>CURRENCY_PAIR.amount_rounding (+ rounding_unit, proposal F)</t>
        </is>
      </c>
    </row>
    <row r="249">
      <c r="A249" s="6" t="inlineStr">
        <is>
          <t>9 Withdrawal</t>
        </is>
      </c>
      <c r="B249" s="3" t="inlineStr">
        <is>
          <t>Bank or EMI that pays out</t>
        </is>
      </c>
      <c r="C249" s="3" t="inlineStr">
        <is>
          <t>SETTLEMENT_RAIL</t>
        </is>
      </c>
    </row>
    <row r="250">
      <c r="A250" s="6" t="inlineStr">
        <is>
          <t>9 Withdrawal</t>
        </is>
      </c>
      <c r="B250" s="3" t="inlineStr">
        <is>
          <t>Name shown on the transfer</t>
        </is>
      </c>
      <c r="C250" s="3" t="inlineStr">
        <is>
          <t>SETTLEMENT_SENDING_ENTITY.narrative_name</t>
        </is>
      </c>
    </row>
    <row r="251">
      <c r="A251" s="6" t="inlineStr">
        <is>
          <t>9 Withdrawal</t>
        </is>
      </c>
      <c r="B251" s="3" t="inlineStr">
        <is>
          <t>Has the partner approved the receiver's account? (yes / pending)</t>
        </is>
      </c>
      <c r="C251" s="3" t="inlineStr">
        <is>
          <t>SETTLEMENT_REGISTRATION.approval_status (+ details, D16)</t>
        </is>
      </c>
    </row>
    <row r="252">
      <c r="A252" s="6" t="inlineStr">
        <is>
          <t>10 Cash collection</t>
        </is>
      </c>
      <c r="B252" s="3" t="inlineStr">
        <is>
          <t>(entities)</t>
        </is>
      </c>
      <c r="C252" s="3" t="inlineStr">
        <is>
          <t>DEAL.collection_method = cash, cash token + city (proposal K), CURRENCY_PAIR.cash_rounding_unit, PARTNER_PAIR (disclosed_rate), FEE_STRUCTURE (basis partner)</t>
        </is>
      </c>
    </row>
    <row r="253">
      <c r="A253" s="6" t="inlineStr">
        <is>
          <t>10 Cash collection</t>
        </is>
      </c>
      <c r="B253" s="3" t="inlineStr">
        <is>
          <t>Client</t>
        </is>
      </c>
      <c r="C253" s="3" t="inlineStr">
        <is>
          <t>PROJECT.name</t>
        </is>
      </c>
    </row>
    <row r="254">
      <c r="A254" s="6" t="inlineStr">
        <is>
          <t>10 Cash collection</t>
        </is>
      </c>
      <c r="B254" s="3" t="inlineStr">
        <is>
          <t>Who sends the money</t>
        </is>
      </c>
      <c r="C254" s="3" t="inlineStr">
        <is>
          <t>SENDER + SENDER_RECEIVER_ALLOW</t>
        </is>
      </c>
    </row>
    <row r="255">
      <c r="A255" s="6" t="inlineStr">
        <is>
          <t>10 Cash collection</t>
        </is>
      </c>
      <c r="B255" s="3" t="inlineStr">
        <is>
          <t>Who gets paid</t>
        </is>
      </c>
      <c r="C255" s="3" t="inlineStr">
        <is>
          <t>RECEIVER → RECEIVING_ENTITY (+ RECEIVER_GROUP)</t>
        </is>
      </c>
    </row>
    <row r="256">
      <c r="A256" s="6" t="inlineStr">
        <is>
          <t>10 Cash collection</t>
        </is>
      </c>
      <c r="B256" s="3" t="inlineStr">
        <is>
          <t>Their account</t>
        </is>
      </c>
      <c r="C256" s="3" t="inlineStr">
        <is>
          <t>RECEIVING_ENTITY_ACCOUNT (currency, rail, account_kind)</t>
        </is>
      </c>
    </row>
    <row r="257">
      <c r="A257" s="6" t="inlineStr">
        <is>
          <t>10 Cash collection</t>
        </is>
      </c>
      <c r="B257" s="3" t="inlineStr">
        <is>
          <t>How the money comes in</t>
        </is>
      </c>
      <c r="C257" s="3" t="inlineStr">
        <is>
          <t>DEAL.collection_method</t>
        </is>
      </c>
    </row>
    <row r="258">
      <c r="A258" s="6" t="inlineStr">
        <is>
          <t>10 Cash collection</t>
        </is>
      </c>
      <c r="B258" s="3" t="inlineStr">
        <is>
          <t>Where it comes in</t>
        </is>
      </c>
      <c r="C258" s="3" t="inlineStr">
        <is>
          <t>PARTNER_ENTITY → COLLECTION_RECEIVING_ENDPOINT</t>
        </is>
      </c>
    </row>
    <row r="259">
      <c r="A259" s="6" t="inlineStr">
        <is>
          <t>10 Cash collection</t>
        </is>
      </c>
      <c r="B259" s="3" t="inlineStr">
        <is>
          <t>Partner / agent</t>
        </is>
      </c>
      <c r="C259" s="3" t="inlineStr">
        <is>
          <t>PARTNER + PARTNER_CONFIG</t>
        </is>
      </c>
    </row>
    <row r="260">
      <c r="A260" s="6" t="inlineStr">
        <is>
          <t>10 Cash collection</t>
        </is>
      </c>
      <c r="B260" s="3" t="inlineStr">
        <is>
          <t>How the partner prices</t>
        </is>
      </c>
      <c r="C260" s="3" t="inlineStr">
        <is>
          <t>PARTNER_PAIR.partner_pricing (+ partner_markup_pct)</t>
        </is>
      </c>
    </row>
    <row r="261">
      <c r="A261" s="6" t="inlineStr">
        <is>
          <t>10 Cash collection</t>
        </is>
      </c>
      <c r="B261" s="3" t="inlineStr">
        <is>
          <t>Exchange pair</t>
        </is>
      </c>
      <c r="C261" s="3" t="inlineStr">
        <is>
          <t>CURRENCY_PAIR (from → to)</t>
        </is>
      </c>
    </row>
    <row r="262">
      <c r="A262" s="6" t="inlineStr">
        <is>
          <t>10 Cash collection</t>
        </is>
      </c>
      <c r="B262" s="3" t="inlineStr">
        <is>
          <t>Fee taken how</t>
        </is>
      </c>
      <c r="C262" s="3" t="inlineStr">
        <is>
          <t>CURRENCY_PAIR.quote_direction</t>
        </is>
      </c>
    </row>
    <row r="263">
      <c r="A263" s="6" t="inlineStr">
        <is>
          <t>10 Cash collection</t>
        </is>
      </c>
      <c r="B263" s="3" t="inlineStr">
        <is>
          <t>Fee applied to</t>
        </is>
      </c>
      <c r="C263" s="3" t="inlineStr">
        <is>
          <t>FEE_STRUCTURE.rate_basis</t>
        </is>
      </c>
    </row>
    <row r="264">
      <c r="A264" s="6" t="inlineStr">
        <is>
          <t>10 Cash collection</t>
        </is>
      </c>
      <c r="B264" s="3" t="inlineStr">
        <is>
          <t>Fee is</t>
        </is>
      </c>
      <c r="C264" s="3" t="inlineStr">
        <is>
          <t>FEE_STRUCTURE.mode</t>
        </is>
      </c>
    </row>
    <row r="265">
      <c r="A265" s="6" t="inlineStr">
        <is>
          <t>10 Cash collection</t>
        </is>
      </c>
      <c r="B265" s="3" t="inlineStr">
        <is>
          <t>Total fee %</t>
        </is>
      </c>
      <c r="C265" s="3" t="inlineStr">
        <is>
          <t>FEE_STRUCTURE.pct</t>
        </is>
      </c>
    </row>
    <row r="266">
      <c r="A266" s="6" t="inlineStr">
        <is>
          <t>10 Cash collection</t>
        </is>
      </c>
      <c r="B266" s="3" t="inlineStr">
        <is>
          <t>Sender pays %</t>
        </is>
      </c>
      <c r="C266" s="3" t="inlineStr">
        <is>
          <t>FEE_STRUCTURE.sender_share_pct</t>
        </is>
      </c>
    </row>
    <row r="267">
      <c r="A267" s="6" t="inlineStr">
        <is>
          <t>10 Cash collection</t>
        </is>
      </c>
      <c r="B267" s="3" t="inlineStr">
        <is>
          <t>Receiver pays %</t>
        </is>
      </c>
      <c r="C267" s="3" t="inlineStr">
        <is>
          <t>FEE_STRUCTURE.receiver_share_pct</t>
        </is>
      </c>
    </row>
    <row r="268">
      <c r="A268" s="6" t="inlineStr">
        <is>
          <t>10 Cash collection</t>
        </is>
      </c>
      <c r="B268" s="3" t="inlineStr">
        <is>
          <t>Lowest markup %</t>
        </is>
      </c>
      <c r="C268" s="3" t="inlineStr">
        <is>
          <t>FEE_STRUCTURE.floor_pct</t>
        </is>
      </c>
    </row>
    <row r="269">
      <c r="A269" s="6" t="inlineStr">
        <is>
          <t>10 Cash collection</t>
        </is>
      </c>
      <c r="B269" s="3" t="inlineStr">
        <is>
          <t>Highest markup %</t>
        </is>
      </c>
      <c r="C269" s="3" t="inlineStr">
        <is>
          <t>FEE_STRUCTURE.cap_pct</t>
        </is>
      </c>
    </row>
    <row r="270">
      <c r="A270" s="6" t="inlineStr">
        <is>
          <t>10 Cash collection</t>
        </is>
      </c>
      <c r="B270" s="3" t="inlineStr">
        <is>
          <t>Minimum NPL margin %</t>
        </is>
      </c>
      <c r="C270" s="3" t="inlineStr">
        <is>
          <t>FEE_STRUCTURE.min_margin_pct</t>
        </is>
      </c>
    </row>
    <row r="271">
      <c r="A271" s="6" t="inlineStr">
        <is>
          <t>10 Cash collection</t>
        </is>
      </c>
      <c r="B271" s="3" t="inlineStr">
        <is>
          <t>Fee shown to the customer %</t>
        </is>
      </c>
      <c r="C271" s="3" t="inlineStr">
        <is>
          <t>FEE_STRUCTURE.displayed_fee_pct (proposal C)</t>
        </is>
      </c>
    </row>
    <row r="272">
      <c r="A272" s="6" t="inlineStr">
        <is>
          <t>10 Cash collection</t>
        </is>
      </c>
      <c r="B272" s="3" t="inlineStr">
        <is>
          <t>How NPL's share reaches NPL</t>
        </is>
      </c>
      <c r="C272" s="3" t="inlineStr">
        <is>
          <t>pool at partner / PARTNER_REBATE_RULE / REFERRAL_RULE settled by the client (proposal G) / own desk (proposal D)</t>
        </is>
      </c>
    </row>
    <row r="273">
      <c r="A273" s="6" t="inlineStr">
        <is>
          <t>10 Cash collection</t>
        </is>
      </c>
      <c r="B273" s="3" t="inlineStr">
        <is>
          <t>% of the partner's fee paid back to NPL (rebate)</t>
        </is>
      </c>
      <c r="C273" s="3" t="inlineStr">
        <is>
          <t>PARTNER_REBATE_RULE.pct_of_partner_fee</t>
        </is>
      </c>
    </row>
    <row r="274">
      <c r="A274" s="6" t="inlineStr">
        <is>
          <t>10 Cash collection</t>
        </is>
      </c>
      <c r="B274" s="3" t="inlineStr">
        <is>
          <t>Markup shared with someone else</t>
        </is>
      </c>
      <c r="C274" s="3" t="inlineStr">
        <is>
          <t>INTRODUCER + REFERRAL_RULE (basis share of net markup, proposal G)</t>
        </is>
      </c>
    </row>
    <row r="275">
      <c r="A275" s="6" t="inlineStr">
        <is>
          <t>10 Cash collection</t>
        </is>
      </c>
      <c r="B275" s="3" t="inlineStr">
        <is>
          <t>Rounding</t>
        </is>
      </c>
      <c r="C275" s="3" t="inlineStr">
        <is>
          <t>CURRENCY_PAIR.amount_rounding (+ rounding_unit, proposal F)</t>
        </is>
      </c>
    </row>
    <row r="276">
      <c r="A276" s="6" t="inlineStr">
        <is>
          <t>10 Cash collection</t>
        </is>
      </c>
      <c r="B276" s="3" t="inlineStr">
        <is>
          <t>Bank or EMI that pays out</t>
        </is>
      </c>
      <c r="C276" s="3" t="inlineStr">
        <is>
          <t>SETTLEMENT_RAIL</t>
        </is>
      </c>
    </row>
    <row r="277">
      <c r="A277" s="6" t="inlineStr">
        <is>
          <t>10 Cash collection</t>
        </is>
      </c>
      <c r="B277" s="3" t="inlineStr">
        <is>
          <t>Name shown on the transfer</t>
        </is>
      </c>
      <c r="C277" s="3" t="inlineStr">
        <is>
          <t>SETTLEMENT_SENDING_ENTITY.narrative_name</t>
        </is>
      </c>
    </row>
    <row r="278">
      <c r="A278" s="6" t="inlineStr">
        <is>
          <t>10 Cash collection</t>
        </is>
      </c>
      <c r="B278" s="3" t="inlineStr">
        <is>
          <t>Has the partner approved the receiver's account? (yes / pending)</t>
        </is>
      </c>
      <c r="C278" s="3" t="inlineStr">
        <is>
          <t>SETTLEMENT_REGISTRATION.approval_status (+ details, D16)</t>
        </is>
      </c>
    </row>
    <row r="279">
      <c r="A279" s="6" t="inlineStr">
        <is>
          <t>10 Cash collection</t>
        </is>
      </c>
      <c r="B279" s="3" t="inlineStr">
        <is>
          <t>Where the cash is handed over (city)</t>
        </is>
      </c>
      <c r="C279" s="3" t="inlineStr">
        <is>
          <t>DEAL.cash_location + PARTNER_RATE_VERSION.location (proposal K)</t>
        </is>
      </c>
    </row>
    <row r="280">
      <c r="A280" s="6" t="inlineStr">
        <is>
          <t>11 No-fee internal</t>
        </is>
      </c>
      <c r="B280" s="3" t="inlineStr">
        <is>
          <t>(entities)</t>
        </is>
      </c>
      <c r="C280" s="3" t="inlineStr">
        <is>
          <t>a 0 % fee with a 0 % minimum margin, PARTNER_PAIR (disclosed_rate), PROJECT.disburse_policy = hold_allowed + exposure_ceiling, BALANCE_CONVERSION, bank cutoff (proposal J)</t>
        </is>
      </c>
    </row>
    <row r="281">
      <c r="A281" s="6" t="inlineStr">
        <is>
          <t>11 No-fee internal</t>
        </is>
      </c>
      <c r="B281" s="3" t="inlineStr">
        <is>
          <t>Client</t>
        </is>
      </c>
      <c r="C281" s="3" t="inlineStr">
        <is>
          <t>PROJECT.name</t>
        </is>
      </c>
    </row>
    <row r="282">
      <c r="A282" s="6" t="inlineStr">
        <is>
          <t>11 No-fee internal</t>
        </is>
      </c>
      <c r="B282" s="3" t="inlineStr">
        <is>
          <t>Who sends the money</t>
        </is>
      </c>
      <c r="C282" s="3" t="inlineStr">
        <is>
          <t>SENDER + SENDER_RECEIVER_ALLOW</t>
        </is>
      </c>
    </row>
    <row r="283">
      <c r="A283" s="6" t="inlineStr">
        <is>
          <t>11 No-fee internal</t>
        </is>
      </c>
      <c r="B283" s="3" t="inlineStr">
        <is>
          <t>Who gets paid</t>
        </is>
      </c>
      <c r="C283" s="3" t="inlineStr">
        <is>
          <t>RECEIVER → RECEIVING_ENTITY (+ RECEIVER_GROUP)</t>
        </is>
      </c>
    </row>
    <row r="284">
      <c r="A284" s="6" t="inlineStr">
        <is>
          <t>11 No-fee internal</t>
        </is>
      </c>
      <c r="B284" s="3" t="inlineStr">
        <is>
          <t>Their account</t>
        </is>
      </c>
      <c r="C284" s="3" t="inlineStr">
        <is>
          <t>RECEIVING_ENTITY_ACCOUNT (currency, rail, account_kind)</t>
        </is>
      </c>
    </row>
    <row r="285">
      <c r="A285" s="6" t="inlineStr">
        <is>
          <t>11 No-fee internal</t>
        </is>
      </c>
      <c r="B285" s="3" t="inlineStr">
        <is>
          <t>How the money comes in</t>
        </is>
      </c>
      <c r="C285" s="3" t="inlineStr">
        <is>
          <t>DEAL.collection_method</t>
        </is>
      </c>
    </row>
    <row r="286">
      <c r="A286" s="6" t="inlineStr">
        <is>
          <t>11 No-fee internal</t>
        </is>
      </c>
      <c r="B286" s="3" t="inlineStr">
        <is>
          <t>Where it comes in</t>
        </is>
      </c>
      <c r="C286" s="3" t="inlineStr">
        <is>
          <t>PARTNER_ENTITY → COLLECTION_RECEIVING_ENDPOINT</t>
        </is>
      </c>
    </row>
    <row r="287">
      <c r="A287" s="6" t="inlineStr">
        <is>
          <t>11 No-fee internal</t>
        </is>
      </c>
      <c r="B287" s="3" t="inlineStr">
        <is>
          <t>Partner / agent</t>
        </is>
      </c>
      <c r="C287" s="3" t="inlineStr">
        <is>
          <t>PARTNER + PARTNER_CONFIG</t>
        </is>
      </c>
    </row>
    <row r="288">
      <c r="A288" s="6" t="inlineStr">
        <is>
          <t>11 No-fee internal</t>
        </is>
      </c>
      <c r="B288" s="3" t="inlineStr">
        <is>
          <t>How the partner prices</t>
        </is>
      </c>
      <c r="C288" s="3" t="inlineStr">
        <is>
          <t>PARTNER_PAIR.partner_pricing (+ partner_markup_pct)</t>
        </is>
      </c>
    </row>
    <row r="289">
      <c r="A289" s="6" t="inlineStr">
        <is>
          <t>11 No-fee internal</t>
        </is>
      </c>
      <c r="B289" s="3" t="inlineStr">
        <is>
          <t>Exchange pair</t>
        </is>
      </c>
      <c r="C289" s="3" t="inlineStr">
        <is>
          <t>CURRENCY_PAIR (from → to)</t>
        </is>
      </c>
    </row>
    <row r="290">
      <c r="A290" s="6" t="inlineStr">
        <is>
          <t>11 No-fee internal</t>
        </is>
      </c>
      <c r="B290" s="3" t="inlineStr">
        <is>
          <t>Fee taken how</t>
        </is>
      </c>
      <c r="C290" s="3" t="inlineStr">
        <is>
          <t>CURRENCY_PAIR.quote_direction</t>
        </is>
      </c>
    </row>
    <row r="291">
      <c r="A291" s="6" t="inlineStr">
        <is>
          <t>11 No-fee internal</t>
        </is>
      </c>
      <c r="B291" s="3" t="inlineStr">
        <is>
          <t>Fee applied to</t>
        </is>
      </c>
      <c r="C291" s="3" t="inlineStr">
        <is>
          <t>FEE_STRUCTURE.rate_basis</t>
        </is>
      </c>
    </row>
    <row r="292">
      <c r="A292" s="6" t="inlineStr">
        <is>
          <t>11 No-fee internal</t>
        </is>
      </c>
      <c r="B292" s="3" t="inlineStr">
        <is>
          <t>Fee is</t>
        </is>
      </c>
      <c r="C292" s="3" t="inlineStr">
        <is>
          <t>FEE_STRUCTURE.mode</t>
        </is>
      </c>
    </row>
    <row r="293">
      <c r="A293" s="6" t="inlineStr">
        <is>
          <t>11 No-fee internal</t>
        </is>
      </c>
      <c r="B293" s="3" t="inlineStr">
        <is>
          <t>Total fee %</t>
        </is>
      </c>
      <c r="C293" s="3" t="inlineStr">
        <is>
          <t>FEE_STRUCTURE.pct</t>
        </is>
      </c>
    </row>
    <row r="294">
      <c r="A294" s="6" t="inlineStr">
        <is>
          <t>11 No-fee internal</t>
        </is>
      </c>
      <c r="B294" s="3" t="inlineStr">
        <is>
          <t>Sender pays %</t>
        </is>
      </c>
      <c r="C294" s="3" t="inlineStr">
        <is>
          <t>FEE_STRUCTURE.sender_share_pct</t>
        </is>
      </c>
    </row>
    <row r="295">
      <c r="A295" s="6" t="inlineStr">
        <is>
          <t>11 No-fee internal</t>
        </is>
      </c>
      <c r="B295" s="3" t="inlineStr">
        <is>
          <t>Receiver pays %</t>
        </is>
      </c>
      <c r="C295" s="3" t="inlineStr">
        <is>
          <t>FEE_STRUCTURE.receiver_share_pct</t>
        </is>
      </c>
    </row>
    <row r="296">
      <c r="A296" s="6" t="inlineStr">
        <is>
          <t>11 No-fee internal</t>
        </is>
      </c>
      <c r="B296" s="3" t="inlineStr">
        <is>
          <t>Lowest markup %</t>
        </is>
      </c>
      <c r="C296" s="3" t="inlineStr">
        <is>
          <t>FEE_STRUCTURE.floor_pct</t>
        </is>
      </c>
    </row>
    <row r="297">
      <c r="A297" s="6" t="inlineStr">
        <is>
          <t>11 No-fee internal</t>
        </is>
      </c>
      <c r="B297" s="3" t="inlineStr">
        <is>
          <t>Highest markup %</t>
        </is>
      </c>
      <c r="C297" s="3" t="inlineStr">
        <is>
          <t>FEE_STRUCTURE.cap_pct</t>
        </is>
      </c>
    </row>
    <row r="298">
      <c r="A298" s="6" t="inlineStr">
        <is>
          <t>11 No-fee internal</t>
        </is>
      </c>
      <c r="B298" s="3" t="inlineStr">
        <is>
          <t>Minimum NPL margin %</t>
        </is>
      </c>
      <c r="C298" s="3" t="inlineStr">
        <is>
          <t>FEE_STRUCTURE.min_margin_pct</t>
        </is>
      </c>
    </row>
    <row r="299">
      <c r="A299" s="6" t="inlineStr">
        <is>
          <t>11 No-fee internal</t>
        </is>
      </c>
      <c r="B299" s="3" t="inlineStr">
        <is>
          <t>Fee shown to the customer %</t>
        </is>
      </c>
      <c r="C299" s="3" t="inlineStr">
        <is>
          <t>FEE_STRUCTURE.displayed_fee_pct (proposal C)</t>
        </is>
      </c>
    </row>
    <row r="300">
      <c r="A300" s="6" t="inlineStr">
        <is>
          <t>11 No-fee internal</t>
        </is>
      </c>
      <c r="B300" s="3" t="inlineStr">
        <is>
          <t>How NPL's share reaches NPL</t>
        </is>
      </c>
      <c r="C300" s="3" t="inlineStr">
        <is>
          <t>pool at partner / PARTNER_REBATE_RULE / REFERRAL_RULE settled by the client (proposal G) / own desk (proposal D)</t>
        </is>
      </c>
    </row>
    <row r="301">
      <c r="A301" s="6" t="inlineStr">
        <is>
          <t>11 No-fee internal</t>
        </is>
      </c>
      <c r="B301" s="3" t="inlineStr">
        <is>
          <t>% of the partner's fee paid back to NPL (rebate)</t>
        </is>
      </c>
      <c r="C301" s="3" t="inlineStr">
        <is>
          <t>PARTNER_REBATE_RULE.pct_of_partner_fee</t>
        </is>
      </c>
    </row>
    <row r="302">
      <c r="A302" s="6" t="inlineStr">
        <is>
          <t>11 No-fee internal</t>
        </is>
      </c>
      <c r="B302" s="3" t="inlineStr">
        <is>
          <t>Markup shared with someone else</t>
        </is>
      </c>
      <c r="C302" s="3" t="inlineStr">
        <is>
          <t>INTRODUCER + REFERRAL_RULE (basis share of net markup, proposal G)</t>
        </is>
      </c>
    </row>
    <row r="303">
      <c r="A303" s="6" t="inlineStr">
        <is>
          <t>11 No-fee internal</t>
        </is>
      </c>
      <c r="B303" s="3" t="inlineStr">
        <is>
          <t>Rounding</t>
        </is>
      </c>
      <c r="C303" s="3" t="inlineStr">
        <is>
          <t>CURRENCY_PAIR.amount_rounding (+ rounding_unit, proposal F)</t>
        </is>
      </c>
    </row>
    <row r="304">
      <c r="A304" s="6" t="inlineStr">
        <is>
          <t>11 No-fee internal</t>
        </is>
      </c>
      <c r="B304" s="3" t="inlineStr">
        <is>
          <t>Bank or EMI that pays out</t>
        </is>
      </c>
      <c r="C304" s="3" t="inlineStr">
        <is>
          <t>SETTLEMENT_RAIL</t>
        </is>
      </c>
    </row>
    <row r="305">
      <c r="A305" s="6" t="inlineStr">
        <is>
          <t>11 No-fee internal</t>
        </is>
      </c>
      <c r="B305" s="3" t="inlineStr">
        <is>
          <t>Name shown on the transfer</t>
        </is>
      </c>
      <c r="C305" s="3" t="inlineStr">
        <is>
          <t>SETTLEMENT_SENDING_ENTITY.narrative_name</t>
        </is>
      </c>
    </row>
    <row r="306">
      <c r="A306" s="6" t="inlineStr">
        <is>
          <t>11 No-fee internal</t>
        </is>
      </c>
      <c r="B306" s="3" t="inlineStr">
        <is>
          <t>Has the partner approved the receiver's account? (yes / pending)</t>
        </is>
      </c>
      <c r="C306" s="3" t="inlineStr">
        <is>
          <t>SETTLEMENT_REGISTRATION.approval_status (+ details, D16)</t>
        </is>
      </c>
    </row>
    <row r="307">
      <c r="A307" s="6" t="inlineStr">
        <is>
          <t>11 No-fee internal</t>
        </is>
      </c>
      <c r="B307" s="3" t="inlineStr">
        <is>
          <t>Balance NPL may leave at the partner</t>
        </is>
      </c>
      <c r="C307" s="3" t="inlineStr">
        <is>
          <t>PROJECT.exposure_ceiling + disburse_policy = hold_allowed</t>
        </is>
      </c>
    </row>
    <row r="308">
      <c r="A308" s="6" t="inlineStr">
        <is>
          <t>11 No-fee internal</t>
        </is>
      </c>
      <c r="B308" s="3" t="inlineStr">
        <is>
          <t>Bank cutoff</t>
        </is>
      </c>
      <c r="C308" s="3" t="inlineStr">
        <is>
          <t>PARTNER_CONFIG.bank_cutoff_time (proposal J)</t>
        </is>
      </c>
    </row>
    <row r="309">
      <c r="A309" s="6" t="inlineStr">
        <is>
          <t>12 Same currency</t>
        </is>
      </c>
      <c r="B309" s="3" t="inlineStr">
        <is>
          <t>(entities)</t>
        </is>
      </c>
      <c r="C309" s="3" t="inlineStr">
        <is>
          <t>CURRENCY_PAIR with from = to (rate 1), FEE_STRUCTURE 1.4 % + 1.4 %, bank-in endpoint, SETTLEMENT_RAIL; dormant product</t>
        </is>
      </c>
    </row>
    <row r="310">
      <c r="A310" s="6" t="inlineStr">
        <is>
          <t>12 Same currency</t>
        </is>
      </c>
      <c r="B310" s="3" t="inlineStr">
        <is>
          <t>Client</t>
        </is>
      </c>
      <c r="C310" s="3" t="inlineStr">
        <is>
          <t>PROJECT.name</t>
        </is>
      </c>
    </row>
    <row r="311">
      <c r="A311" s="6" t="inlineStr">
        <is>
          <t>12 Same currency</t>
        </is>
      </c>
      <c r="B311" s="3" t="inlineStr">
        <is>
          <t>Who sends the money</t>
        </is>
      </c>
      <c r="C311" s="3" t="inlineStr">
        <is>
          <t>SENDER + SENDER_RECEIVER_ALLOW</t>
        </is>
      </c>
    </row>
    <row r="312">
      <c r="A312" s="6" t="inlineStr">
        <is>
          <t>12 Same currency</t>
        </is>
      </c>
      <c r="B312" s="3" t="inlineStr">
        <is>
          <t>Who gets paid</t>
        </is>
      </c>
      <c r="C312" s="3" t="inlineStr">
        <is>
          <t>RECEIVER → RECEIVING_ENTITY (+ RECEIVER_GROUP)</t>
        </is>
      </c>
    </row>
    <row r="313">
      <c r="A313" s="6" t="inlineStr">
        <is>
          <t>12 Same currency</t>
        </is>
      </c>
      <c r="B313" s="3" t="inlineStr">
        <is>
          <t>Their account</t>
        </is>
      </c>
      <c r="C313" s="3" t="inlineStr">
        <is>
          <t>RECEIVING_ENTITY_ACCOUNT (currency, rail, account_kind)</t>
        </is>
      </c>
    </row>
    <row r="314">
      <c r="A314" s="6" t="inlineStr">
        <is>
          <t>12 Same currency</t>
        </is>
      </c>
      <c r="B314" s="3" t="inlineStr">
        <is>
          <t>How the money comes in</t>
        </is>
      </c>
      <c r="C314" s="3" t="inlineStr">
        <is>
          <t>DEAL.collection_method</t>
        </is>
      </c>
    </row>
    <row r="315">
      <c r="A315" s="6" t="inlineStr">
        <is>
          <t>12 Same currency</t>
        </is>
      </c>
      <c r="B315" s="3" t="inlineStr">
        <is>
          <t>Where it comes in</t>
        </is>
      </c>
      <c r="C315" s="3" t="inlineStr">
        <is>
          <t>PARTNER_ENTITY → COLLECTION_RECEIVING_ENDPOINT</t>
        </is>
      </c>
    </row>
    <row r="316">
      <c r="A316" s="6" t="inlineStr">
        <is>
          <t>12 Same currency</t>
        </is>
      </c>
      <c r="B316" s="3" t="inlineStr">
        <is>
          <t>Partner / agent</t>
        </is>
      </c>
      <c r="C316" s="3" t="inlineStr">
        <is>
          <t>PARTNER + PARTNER_CONFIG</t>
        </is>
      </c>
    </row>
    <row r="317">
      <c r="A317" s="6" t="inlineStr">
        <is>
          <t>12 Same currency</t>
        </is>
      </c>
      <c r="B317" s="3" t="inlineStr">
        <is>
          <t>How the partner prices</t>
        </is>
      </c>
      <c r="C317" s="3" t="inlineStr">
        <is>
          <t>PARTNER_PAIR.partner_pricing (+ partner_markup_pct)</t>
        </is>
      </c>
    </row>
    <row r="318">
      <c r="A318" s="6" t="inlineStr">
        <is>
          <t>12 Same currency</t>
        </is>
      </c>
      <c r="B318" s="3" t="inlineStr">
        <is>
          <t>Exchange pair</t>
        </is>
      </c>
      <c r="C318" s="3" t="inlineStr">
        <is>
          <t>CURRENCY_PAIR (from → to)</t>
        </is>
      </c>
    </row>
    <row r="319">
      <c r="A319" s="6" t="inlineStr">
        <is>
          <t>12 Same currency</t>
        </is>
      </c>
      <c r="B319" s="3" t="inlineStr">
        <is>
          <t>Fee taken how</t>
        </is>
      </c>
      <c r="C319" s="3" t="inlineStr">
        <is>
          <t>CURRENCY_PAIR.quote_direction</t>
        </is>
      </c>
    </row>
    <row r="320">
      <c r="A320" s="6" t="inlineStr">
        <is>
          <t>12 Same currency</t>
        </is>
      </c>
      <c r="B320" s="3" t="inlineStr">
        <is>
          <t>Fee applied to</t>
        </is>
      </c>
      <c r="C320" s="3" t="inlineStr">
        <is>
          <t>FEE_STRUCTURE.rate_basis</t>
        </is>
      </c>
    </row>
    <row r="321">
      <c r="A321" s="6" t="inlineStr">
        <is>
          <t>12 Same currency</t>
        </is>
      </c>
      <c r="B321" s="3" t="inlineStr">
        <is>
          <t>Fee is</t>
        </is>
      </c>
      <c r="C321" s="3" t="inlineStr">
        <is>
          <t>FEE_STRUCTURE.mode</t>
        </is>
      </c>
    </row>
    <row r="322">
      <c r="A322" s="6" t="inlineStr">
        <is>
          <t>12 Same currency</t>
        </is>
      </c>
      <c r="B322" s="3" t="inlineStr">
        <is>
          <t>Total fee %</t>
        </is>
      </c>
      <c r="C322" s="3" t="inlineStr">
        <is>
          <t>FEE_STRUCTURE.pct</t>
        </is>
      </c>
    </row>
    <row r="323">
      <c r="A323" s="6" t="inlineStr">
        <is>
          <t>12 Same currency</t>
        </is>
      </c>
      <c r="B323" s="3" t="inlineStr">
        <is>
          <t>Sender pays %</t>
        </is>
      </c>
      <c r="C323" s="3" t="inlineStr">
        <is>
          <t>FEE_STRUCTURE.sender_share_pct</t>
        </is>
      </c>
    </row>
    <row r="324">
      <c r="A324" s="6" t="inlineStr">
        <is>
          <t>12 Same currency</t>
        </is>
      </c>
      <c r="B324" s="3" t="inlineStr">
        <is>
          <t>Receiver pays %</t>
        </is>
      </c>
      <c r="C324" s="3" t="inlineStr">
        <is>
          <t>FEE_STRUCTURE.receiver_share_pct</t>
        </is>
      </c>
    </row>
    <row r="325">
      <c r="A325" s="6" t="inlineStr">
        <is>
          <t>12 Same currency</t>
        </is>
      </c>
      <c r="B325" s="3" t="inlineStr">
        <is>
          <t>Lowest markup %</t>
        </is>
      </c>
      <c r="C325" s="3" t="inlineStr">
        <is>
          <t>FEE_STRUCTURE.floor_pct</t>
        </is>
      </c>
    </row>
    <row r="326">
      <c r="A326" s="6" t="inlineStr">
        <is>
          <t>12 Same currency</t>
        </is>
      </c>
      <c r="B326" s="3" t="inlineStr">
        <is>
          <t>Highest markup %</t>
        </is>
      </c>
      <c r="C326" s="3" t="inlineStr">
        <is>
          <t>FEE_STRUCTURE.cap_pct</t>
        </is>
      </c>
    </row>
    <row r="327">
      <c r="A327" s="6" t="inlineStr">
        <is>
          <t>12 Same currency</t>
        </is>
      </c>
      <c r="B327" s="3" t="inlineStr">
        <is>
          <t>Minimum NPL margin %</t>
        </is>
      </c>
      <c r="C327" s="3" t="inlineStr">
        <is>
          <t>FEE_STRUCTURE.min_margin_pct</t>
        </is>
      </c>
    </row>
    <row r="328">
      <c r="A328" s="6" t="inlineStr">
        <is>
          <t>12 Same currency</t>
        </is>
      </c>
      <c r="B328" s="3" t="inlineStr">
        <is>
          <t>Fee shown to the customer %</t>
        </is>
      </c>
      <c r="C328" s="3" t="inlineStr">
        <is>
          <t>FEE_STRUCTURE.displayed_fee_pct (proposal C)</t>
        </is>
      </c>
    </row>
    <row r="329">
      <c r="A329" s="6" t="inlineStr">
        <is>
          <t>12 Same currency</t>
        </is>
      </c>
      <c r="B329" s="3" t="inlineStr">
        <is>
          <t>How NPL's share reaches NPL</t>
        </is>
      </c>
      <c r="C329" s="3" t="inlineStr">
        <is>
          <t>pool at partner / PARTNER_REBATE_RULE / REFERRAL_RULE settled by the client (proposal G) / own desk (proposal D)</t>
        </is>
      </c>
    </row>
    <row r="330">
      <c r="A330" s="6" t="inlineStr">
        <is>
          <t>12 Same currency</t>
        </is>
      </c>
      <c r="B330" s="3" t="inlineStr">
        <is>
          <t>% of the partner's fee paid back to NPL (rebate)</t>
        </is>
      </c>
      <c r="C330" s="3" t="inlineStr">
        <is>
          <t>PARTNER_REBATE_RULE.pct_of_partner_fee</t>
        </is>
      </c>
    </row>
    <row r="331">
      <c r="A331" s="6" t="inlineStr">
        <is>
          <t>12 Same currency</t>
        </is>
      </c>
      <c r="B331" s="3" t="inlineStr">
        <is>
          <t>Markup shared with someone else</t>
        </is>
      </c>
      <c r="C331" s="3" t="inlineStr">
        <is>
          <t>INTRODUCER + REFERRAL_RULE (basis share of net markup, proposal G)</t>
        </is>
      </c>
    </row>
    <row r="332">
      <c r="A332" s="6" t="inlineStr">
        <is>
          <t>12 Same currency</t>
        </is>
      </c>
      <c r="B332" s="3" t="inlineStr">
        <is>
          <t>Rounding</t>
        </is>
      </c>
      <c r="C332" s="3" t="inlineStr">
        <is>
          <t>CURRENCY_PAIR.amount_rounding (+ rounding_unit, proposal F)</t>
        </is>
      </c>
    </row>
    <row r="333">
      <c r="A333" s="6" t="inlineStr">
        <is>
          <t>12 Same currency</t>
        </is>
      </c>
      <c r="B333" s="3" t="inlineStr">
        <is>
          <t>Bank or EMI that pays out</t>
        </is>
      </c>
      <c r="C333" s="3" t="inlineStr">
        <is>
          <t>SETTLEMENT_RAIL</t>
        </is>
      </c>
    </row>
    <row r="334">
      <c r="A334" s="6" t="inlineStr">
        <is>
          <t>12 Same currency</t>
        </is>
      </c>
      <c r="B334" s="3" t="inlineStr">
        <is>
          <t>Name shown on the transfer</t>
        </is>
      </c>
      <c r="C334" s="3" t="inlineStr">
        <is>
          <t>SETTLEMENT_SENDING_ENTITY.narrative_name</t>
        </is>
      </c>
    </row>
    <row r="335">
      <c r="A335" s="6" t="inlineStr">
        <is>
          <t>12 Same currency</t>
        </is>
      </c>
      <c r="B335" s="3" t="inlineStr">
        <is>
          <t>Has the partner approved the receiver's account? (yes / pending)</t>
        </is>
      </c>
      <c r="C335" s="3" t="inlineStr">
        <is>
          <t>SETTLEMENT_REGISTRATION.approval_status (+ details, D16)</t>
        </is>
      </c>
    </row>
    <row r="337">
      <c r="A337" s="16" t="inlineStr">
        <is>
          <t>Register column</t>
        </is>
      </c>
      <c r="B337" s="16" t="inlineStr"/>
      <c r="C337" s="16" t="inlineStr">
        <is>
          <t>Model field / entity</t>
        </is>
      </c>
    </row>
    <row r="338">
      <c r="A338" s="3" t="inlineStr">
        <is>
          <t>Client / product</t>
        </is>
      </c>
      <c r="C338" s="3" t="inlineStr">
        <is>
          <t>PROJECT</t>
        </is>
      </c>
    </row>
    <row r="339">
      <c r="A339" s="3" t="inlineStr">
        <is>
          <t>Who sends the money</t>
        </is>
      </c>
      <c r="C339" s="3" t="inlineStr">
        <is>
          <t>SENDER, SENDER_RECEIVER_ALLOW</t>
        </is>
      </c>
    </row>
    <row r="340">
      <c r="A340" s="3" t="inlineStr">
        <is>
          <t>Who gets paid</t>
        </is>
      </c>
      <c r="C340" s="3" t="inlineStr">
        <is>
          <t>RECEIVER (kind), RECEIVER_GROUP, RECEIVING_ENTITY</t>
        </is>
      </c>
    </row>
    <row r="341">
      <c r="A341" s="3" t="inlineStr">
        <is>
          <t>Their account</t>
        </is>
      </c>
      <c r="C341" s="3" t="inlineStr">
        <is>
          <t>RECEIVING_ENTITY_ACCOUNT.currency / rail (incl. 'internal' for a transfer inside the partner's platform) / account_kind</t>
        </is>
      </c>
    </row>
    <row r="342">
      <c r="A342" s="3" t="inlineStr">
        <is>
          <t>How the money comes in</t>
        </is>
      </c>
      <c r="C342" s="3" t="inlineStr">
        <is>
          <t>DEAL.collection_method (+ cash_location, token — proposal K; single-use local accounts — proposal M)</t>
        </is>
      </c>
    </row>
    <row r="343">
      <c r="A343" s="3" t="inlineStr">
        <is>
          <t>Where it comes in</t>
        </is>
      </c>
      <c r="C343" s="3" t="inlineStr">
        <is>
          <t>PARTNER_ENTITY, COLLECTION_RECEIVING_ENDPOINT.kind / network / rail (+ risk_band — proposal L)</t>
        </is>
      </c>
    </row>
    <row r="344">
      <c r="A344" s="3" t="inlineStr">
        <is>
          <t>Partner / agent</t>
        </is>
      </c>
      <c r="C344" s="3" t="inlineStr">
        <is>
          <t>PARTNER, PARTNER_CONFIG (+ bank_cutoff_time — proposal J)</t>
        </is>
      </c>
    </row>
    <row r="345">
      <c r="A345" s="3" t="inlineStr">
        <is>
          <t>How the partner prices</t>
        </is>
      </c>
      <c r="C345" s="3" t="inlineStr">
        <is>
          <t>PARTNER_PAIR.partner_pricing, partner_markup_pct; PARTNER_RATE_VERSION.quoted_direction (proposal I)</t>
        </is>
      </c>
    </row>
    <row r="346">
      <c r="A346" s="3" t="inlineStr">
        <is>
          <t>Exchange pair</t>
        </is>
      </c>
      <c r="C346" s="3" t="inlineStr">
        <is>
          <t>CURRENCY_PAIR.from_currency / to_currency</t>
        </is>
      </c>
    </row>
    <row r="347">
      <c r="A347" s="3" t="inlineStr">
        <is>
          <t>Fee taken how</t>
        </is>
      </c>
      <c r="C347" s="3" t="inlineStr">
        <is>
          <t>CURRENCY_PAIR.quote_direction</t>
        </is>
      </c>
    </row>
    <row r="348">
      <c r="A348" s="3" t="inlineStr">
        <is>
          <t>Fee applied to</t>
        </is>
      </c>
      <c r="C348" s="3" t="inlineStr">
        <is>
          <t>FEE_STRUCTURE.rate_basis</t>
        </is>
      </c>
    </row>
    <row r="349">
      <c r="A349" s="3" t="inlineStr">
        <is>
          <t>Fee is</t>
        </is>
      </c>
      <c r="C349" s="3" t="inlineStr">
        <is>
          <t>FEE_STRUCTURE.mode</t>
        </is>
      </c>
    </row>
    <row r="350">
      <c r="A350" s="3" t="inlineStr">
        <is>
          <t>Total / sender / receiver %</t>
        </is>
      </c>
      <c r="C350" s="3" t="inlineStr">
        <is>
          <t>FEE_STRUCTURE.pct, sender_share_pct, receiver_share_pct (FEE_OVERRIDE with its own split — proposal A)</t>
        </is>
      </c>
    </row>
    <row r="351">
      <c r="A351" s="3" t="inlineStr">
        <is>
          <t>Lowest / highest markup / minimum margin %</t>
        </is>
      </c>
      <c r="C351" s="3" t="inlineStr">
        <is>
          <t>FEE_STRUCTURE.floor_pct, cap_pct, min_margin_pct</t>
        </is>
      </c>
    </row>
    <row r="352">
      <c r="A352" s="3" t="inlineStr">
        <is>
          <t>Fee shown to the customer</t>
        </is>
      </c>
      <c r="C352" s="3" t="inlineStr">
        <is>
          <t>proposal C (displayed_fee_pct)</t>
        </is>
      </c>
    </row>
    <row r="353">
      <c r="A353" s="3" t="inlineStr">
        <is>
          <t>How NPL's share reaches NPL</t>
        </is>
      </c>
      <c r="C353" s="3" t="inlineStr">
        <is>
          <t>CO.&lt;PARTNER&gt;.POOL vs PARTNER_REBATE_RULE vs REFERRAL_RULE settled by the party (proposal G) vs own desk (proposal D)</t>
        </is>
      </c>
    </row>
    <row r="354">
      <c r="A354" s="3" t="inlineStr">
        <is>
          <t>% of the partner's fee paid back</t>
        </is>
      </c>
      <c r="C354" s="3" t="inlineStr">
        <is>
          <t>PARTNER_REBATE_RULE.pct_of_partner_fee; EARN_REBATE kept apart from EARN_GROSS (proposal H)</t>
        </is>
      </c>
    </row>
    <row r="355">
      <c r="A355" s="3" t="inlineStr">
        <is>
          <t>Markup shared with someone else</t>
        </is>
      </c>
      <c r="C355" s="3" t="inlineStr">
        <is>
          <t>INTRODUCER, REFERRAL_RULE (share of net markup, several parties), REFERRAL_ACCRUAL (proposal G)</t>
        </is>
      </c>
    </row>
    <row r="356">
      <c r="A356" s="3" t="inlineStr">
        <is>
          <t>Rounding</t>
        </is>
      </c>
      <c r="C356" s="3" t="inlineStr">
        <is>
          <t>CURRENCY_PAIR.amount_rounding, rounding_unit, cash_rounding_unit (proposal F)</t>
        </is>
      </c>
    </row>
    <row r="357">
      <c r="A357" s="3" t="inlineStr">
        <is>
          <t>Bank or EMI that pays out</t>
        </is>
      </c>
      <c r="C357" s="3" t="inlineStr">
        <is>
          <t>SETTLEMENT_RAIL</t>
        </is>
      </c>
    </row>
    <row r="358">
      <c r="A358" s="3" t="inlineStr">
        <is>
          <t>Name shown on the transfer</t>
        </is>
      </c>
      <c r="C358" s="3" t="inlineStr">
        <is>
          <t>SETTLEMENT_SENDING_ENTITY</t>
        </is>
      </c>
    </row>
    <row r="359">
      <c r="A359" s="3" t="inlineStr">
        <is>
          <t>Has the partner approved the receiver's account?</t>
        </is>
      </c>
      <c r="C359" s="3" t="inlineStr">
        <is>
          <t>SETTLEMENT_REGISTRATION (D16 details)</t>
        </is>
      </c>
    </row>
    <row r="360">
      <c r="A360" s="3" t="inlineStr">
        <is>
          <t>Fee by monthly volume</t>
        </is>
      </c>
      <c r="C360" s="3" t="inlineStr">
        <is>
          <t>proposal B (FEE_TIER, calendar month)</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8" customWidth="1" min="1" max="1"/>
    <col width="70" customWidth="1" min="2" max="2"/>
    <col width="16" customWidth="1" min="3" max="3"/>
    <col width="16" customWidth="1" min="4" max="4"/>
    <col width="22" customWidth="1" min="5" max="5"/>
    <col width="70" customWidth="1" min="6" max="6"/>
  </cols>
  <sheetData>
    <row r="1">
      <c r="A1" s="1" t="inlineStr">
        <is>
          <t>Acceptance vectors B — NPL's own figures recomputed (Calculation Specification v6.0, §19, 19b, 19c; vectors-v5.9.csv)</t>
        </is>
      </c>
    </row>
    <row r="2" ht="40" customHeight="1">
      <c r="A2" s="36" t="inlineStr">
        <is>
          <t>B1 to B17 from the fee sheet of 8 October (B2 against the corrected sheet of 21 October); B18 the receiver side of the Evo selected-senders deal; B19 to B23 NPL's figures of 21 October for the cases the sheet had no line for. 23 of 23 match. The identifiers are frozen (D51).</t>
        </is>
      </c>
    </row>
    <row r="4">
      <c r="A4" s="16" t="inlineStr">
        <is>
          <t>Id</t>
        </is>
      </c>
      <c r="B4" s="16" t="inlineStr">
        <is>
          <t>Case</t>
        </is>
      </c>
      <c r="C4" s="16" t="inlineStr">
        <is>
          <t>Sheet figure</t>
        </is>
      </c>
      <c r="D4" s="16" t="inlineStr">
        <is>
          <t>Recomputed</t>
        </is>
      </c>
      <c r="E4" s="16" t="inlineStr">
        <is>
          <t>Result</t>
        </is>
      </c>
      <c r="F4" s="16" t="inlineStr">
        <is>
          <t>Note</t>
        </is>
      </c>
    </row>
    <row r="5" ht="30" customHeight="1">
      <c r="A5" s="4" t="inlineStr">
        <is>
          <t>B1</t>
        </is>
      </c>
      <c r="B5" s="3" t="inlineStr">
        <is>
          <t>Evo sender: 29,325 USDT at market 0.888977323, sender pays 1.40 %</t>
        </is>
      </c>
      <c r="C5" s="10" t="inlineStr">
        <is>
          <t>25704</t>
        </is>
      </c>
      <c r="D5" s="3" t="inlineStr">
        <is>
          <t>25704</t>
        </is>
      </c>
      <c r="E5" s="6" t="inlineStr">
        <is>
          <t>matches</t>
        </is>
      </c>
      <c r="F5" s="3" t="inlineStr">
        <is>
          <t>rounded to the unit</t>
        </is>
      </c>
    </row>
    <row r="6" ht="30" customHeight="1">
      <c r="A6" s="4" t="inlineStr">
        <is>
          <t>B2</t>
        </is>
      </c>
      <c r="B6" s="3" t="inlineStr">
        <is>
          <t>Evo receiver: the same deal, receiver pays 0.60 %</t>
        </is>
      </c>
      <c r="C6" s="10" t="inlineStr">
        <is>
          <t>25548</t>
        </is>
      </c>
      <c r="D6" s="3" t="inlineStr">
        <is>
          <t>25547.88</t>
        </is>
      </c>
      <c r="E6" s="6" t="inlineStr">
        <is>
          <t>matches</t>
        </is>
      </c>
      <c r="F6" s="3" t="inlineStr">
        <is>
          <t>corrected sheet of 21 Oct: (29,325 − 2 %) × 0.888977323 = 25,548; the 8 Oct sheet read 25,550 (receiver part on the gross out)</t>
        </is>
      </c>
    </row>
    <row r="7" ht="30" customHeight="1">
      <c r="A7" s="4" t="inlineStr">
        <is>
          <t>B3</t>
        </is>
      </c>
      <c r="B7" s="3" t="inlineStr">
        <is>
          <t>Evo selected senders: EUR 50,000 target, market 1 ÷ 0.8652 USDT per EUR, sender pays 1.00 %</t>
        </is>
      </c>
      <c r="C7" s="10" t="inlineStr">
        <is>
          <t>58368</t>
        </is>
      </c>
      <c r="D7" s="3" t="inlineStr">
        <is>
          <t>58368</t>
        </is>
      </c>
      <c r="E7" s="6" t="inlineStr">
        <is>
          <t>matches</t>
        </is>
      </c>
      <c r="F7" s="3" t="inlineStr">
        <is>
          <t>final rate 1.16736014794267 = market × 1.01</t>
        </is>
      </c>
    </row>
    <row r="8" ht="30" customHeight="1">
      <c r="A8" s="4" t="inlineStr">
        <is>
          <t>B4</t>
        </is>
      </c>
      <c r="B8" s="3" t="inlineStr">
        <is>
          <t>BF-Raeen via Jeton: 200,000 USDT at 0.8610999, fee 1 %</t>
        </is>
      </c>
      <c r="C8" s="10" t="inlineStr">
        <is>
          <t>170498</t>
        </is>
      </c>
      <c r="D8" s="3" t="inlineStr">
        <is>
          <t>170498</t>
        </is>
      </c>
      <c r="E8" s="6" t="inlineStr">
        <is>
          <t>matches</t>
        </is>
      </c>
      <c r="F8" s="3" t="inlineStr"/>
    </row>
    <row r="9" ht="30" customHeight="1">
      <c r="A9" s="4" t="inlineStr">
        <is>
          <t>B5</t>
        </is>
      </c>
      <c r="B9" s="3" t="inlineStr">
        <is>
          <t>BF-Raeen via Ali: 300,000 USDT at 0.864189, fee 1 %</t>
        </is>
      </c>
      <c r="C9" s="10" t="inlineStr">
        <is>
          <t>256664</t>
        </is>
      </c>
      <c r="D9" s="3" t="inlineStr">
        <is>
          <t>256664</t>
        </is>
      </c>
      <c r="E9" s="6" t="inlineStr">
        <is>
          <t>matches</t>
        </is>
      </c>
      <c r="F9" s="3" t="inlineStr">
        <is>
          <t>printed rate recomputed so the sender-facing fee reads 1 %</t>
        </is>
      </c>
    </row>
    <row r="10" ht="30" customHeight="1">
      <c r="A10" s="4" t="inlineStr">
        <is>
          <t>B6</t>
        </is>
      </c>
      <c r="B10" s="3" t="inlineStr">
        <is>
          <t>Raeen sub-account: 50,000 USDT at 0.8650036, fee 4 %</t>
        </is>
      </c>
      <c r="C10" s="10" t="inlineStr">
        <is>
          <t>41520.17</t>
        </is>
      </c>
      <c r="D10" s="3" t="inlineStr">
        <is>
          <t>41520.17</t>
        </is>
      </c>
      <c r="E10" s="6" t="inlineStr">
        <is>
          <t>matches</t>
        </is>
      </c>
      <c r="F10" s="3" t="inlineStr"/>
    </row>
    <row r="11" ht="30" customHeight="1">
      <c r="A11" s="4" t="inlineStr">
        <is>
          <t>B7</t>
        </is>
      </c>
      <c r="B11" s="3" t="inlineStr">
        <is>
          <t>GDC: USD 84,482 target, fee 2.5 %, converted at a rate of 1</t>
        </is>
      </c>
      <c r="C11" s="10" t="inlineStr">
        <is>
          <t>86594</t>
        </is>
      </c>
      <c r="D11" s="3" t="inlineStr">
        <is>
          <t>86594</t>
        </is>
      </c>
      <c r="E11" s="6" t="inlineStr">
        <is>
          <t>matches</t>
        </is>
      </c>
      <c r="F11" s="3" t="inlineStr"/>
    </row>
    <row r="12" ht="30" customHeight="1">
      <c r="A12" s="4" t="inlineStr">
        <is>
          <t>B8</t>
        </is>
      </c>
      <c r="B12" s="3" t="inlineStr">
        <is>
          <t>GDC above USD 500,000 a month: tier 2.25 %</t>
        </is>
      </c>
      <c r="C12" s="10" t="inlineStr">
        <is>
          <t>86383</t>
        </is>
      </c>
      <c r="D12" s="3" t="inlineStr">
        <is>
          <t>86383</t>
        </is>
      </c>
      <c r="E12" s="6" t="inlineStr">
        <is>
          <t>matches</t>
        </is>
      </c>
      <c r="F12" s="3" t="inlineStr">
        <is>
          <t>FEE_TIER chosen from PROJECT_MONTH_VOLUME</t>
        </is>
      </c>
    </row>
    <row r="13" ht="30" customHeight="1">
      <c r="A13" s="4" t="inlineStr">
        <is>
          <t>B9</t>
        </is>
      </c>
      <c r="B13" s="3" t="inlineStr">
        <is>
          <t>27 Group (reseller): THB 17,000,000 at 0.0259463782412186 EUR per THB, fee 2 %</t>
        </is>
      </c>
      <c r="C13" s="10" t="inlineStr">
        <is>
          <t>432266.66</t>
        </is>
      </c>
      <c r="D13" s="3" t="inlineStr">
        <is>
          <t>432266.66</t>
        </is>
      </c>
      <c r="E13" s="6" t="inlineStr">
        <is>
          <t>matches</t>
        </is>
      </c>
      <c r="F13" s="3" t="inlineStr">
        <is>
          <t>NPL rounds the EUR to the unit: 432,267</t>
        </is>
      </c>
    </row>
    <row r="14" ht="30" customHeight="1">
      <c r="A14" s="4" t="inlineStr">
        <is>
          <t>B10</t>
        </is>
      </c>
      <c r="B14" s="3" t="inlineStr">
        <is>
          <t>27 Group: the same THB at Ali, agent rate 1 ÷ 33.83 USDT per THB</t>
        </is>
      </c>
      <c r="C14" s="10" t="inlineStr">
        <is>
          <t>502513</t>
        </is>
      </c>
      <c r="D14" s="3" t="inlineStr">
        <is>
          <t>502513</t>
        </is>
      </c>
      <c r="E14" s="6" t="inlineStr">
        <is>
          <t>matches</t>
        </is>
      </c>
      <c r="F14" s="3" t="inlineStr">
        <is>
          <t>agent fee 0.64 % inside the rate against market 1 ÷ 33.613</t>
        </is>
      </c>
    </row>
    <row r="15" ht="30" customHeight="1">
      <c r="A15" s="4" t="inlineStr">
        <is>
          <t>B11</t>
        </is>
      </c>
      <c r="B15" s="3" t="inlineStr">
        <is>
          <t>27 Group balance clearance: EUR 329,408 target, market 38.13570206 THB per EUR, fee 2 %</t>
        </is>
      </c>
      <c r="C15" s="10" t="inlineStr">
        <is>
          <t>12813449.45</t>
        </is>
      </c>
      <c r="D15" s="3" t="inlineStr">
        <is>
          <t>12813449.45</t>
        </is>
      </c>
      <c r="E15" s="6" t="inlineStr">
        <is>
          <t>matches</t>
        </is>
      </c>
      <c r="F15" s="3" t="inlineStr">
        <is>
          <t>then cash-rounded by NPL to THB 12,813,000</t>
        </is>
      </c>
    </row>
    <row r="16" ht="30" customHeight="1">
      <c r="A16" s="4" t="inlineStr">
        <is>
          <t>B12</t>
        </is>
      </c>
      <c r="B16" s="3" t="inlineStr">
        <is>
          <t>Bala (reseller): EUR 2,220 target, market 1 ÷ 0.8716, fee 2 %</t>
        </is>
      </c>
      <c r="C16" s="10" t="inlineStr">
        <is>
          <t>2597.98</t>
        </is>
      </c>
      <c r="D16" s="3" t="inlineStr">
        <is>
          <t>2597.98</t>
        </is>
      </c>
      <c r="E16" s="6" t="inlineStr">
        <is>
          <t>matches</t>
        </is>
      </c>
      <c r="F16" s="3" t="inlineStr">
        <is>
          <t>rounded up to USDT 2,600</t>
        </is>
      </c>
    </row>
    <row r="17" ht="30" customHeight="1">
      <c r="A17" s="4" t="inlineStr">
        <is>
          <t>B13</t>
        </is>
      </c>
      <c r="B17" s="3" t="inlineStr">
        <is>
          <t>66 Group (reseller): EUR 239,149 target, market 1 ÷ 0.8796, fee 1.5 %</t>
        </is>
      </c>
      <c r="C17" s="10" t="inlineStr">
        <is>
          <t>275962.07</t>
        </is>
      </c>
      <c r="D17" s="3" t="inlineStr">
        <is>
          <t>275962.07</t>
        </is>
      </c>
      <c r="E17" s="6" t="inlineStr">
        <is>
          <t>matches</t>
        </is>
      </c>
      <c r="F17" s="3" t="inlineStr">
        <is>
          <t>rounded to USDT 275,962</t>
        </is>
      </c>
    </row>
    <row r="18" ht="30" customHeight="1">
      <c r="A18" s="4" t="inlineStr">
        <is>
          <t>B14</t>
        </is>
      </c>
      <c r="B18" s="3" t="inlineStr">
        <is>
          <t>TripleSeven/GZ (reseller): EUR 4,097 target, market 1 ÷ 0.8598, fee 1.5 %</t>
        </is>
      </c>
      <c r="C18" s="10" t="inlineStr">
        <is>
          <t>4837</t>
        </is>
      </c>
      <c r="D18" s="3" t="inlineStr">
        <is>
          <t>4837</t>
        </is>
      </c>
      <c r="E18" s="6" t="inlineStr">
        <is>
          <t>matches</t>
        </is>
      </c>
      <c r="F18" s="3" t="inlineStr"/>
    </row>
    <row r="19" ht="30" customHeight="1">
      <c r="A19" s="4" t="inlineStr">
        <is>
          <t>B15</t>
        </is>
      </c>
      <c r="B19" s="3" t="inlineStr">
        <is>
          <t>Alpha Plus (reseller): EUR 2,939 target, market 1 ÷ 0.8712, fee 1.5 %</t>
        </is>
      </c>
      <c r="C19" s="10" t="inlineStr">
        <is>
          <t>3424.11</t>
        </is>
      </c>
      <c r="D19" s="3" t="inlineStr">
        <is>
          <t>3424.11</t>
        </is>
      </c>
      <c r="E19" s="6" t="inlineStr">
        <is>
          <t>matches</t>
        </is>
      </c>
      <c r="F19" s="3" t="inlineStr">
        <is>
          <t>rounded to USDT 3,424</t>
        </is>
      </c>
    </row>
    <row r="20" ht="30" customHeight="1">
      <c r="A20" s="4" t="inlineStr">
        <is>
          <t>B16</t>
        </is>
      </c>
      <c r="B20" s="3" t="inlineStr">
        <is>
          <t>Fair (reseller): EUR 1,079 target, market 1 ÷ 0.8642, fee 0.75 %</t>
        </is>
      </c>
      <c r="C20" s="10" t="inlineStr">
        <is>
          <t>1257.92</t>
        </is>
      </c>
      <c r="D20" s="3" t="inlineStr">
        <is>
          <t>1257.92</t>
        </is>
      </c>
      <c r="E20" s="6" t="inlineStr">
        <is>
          <t>matches</t>
        </is>
      </c>
      <c r="F20" s="3" t="inlineStr">
        <is>
          <t>rounded to USDT 1,258</t>
        </is>
      </c>
    </row>
    <row r="21" ht="30" customHeight="1">
      <c r="A21" s="4" t="inlineStr">
        <is>
          <t>B17</t>
        </is>
      </c>
      <c r="B21" s="3" t="inlineStr">
        <is>
          <t>Rate direction: Ali quotes 1.1738 USDT per EUR on a USDT → EUR pair</t>
        </is>
      </c>
      <c r="C21" s="10" t="inlineStr">
        <is>
          <t>0.851934</t>
        </is>
      </c>
      <c r="D21" s="3" t="inlineStr">
        <is>
          <t>0.851934</t>
        </is>
      </c>
      <c r="E21" s="6" t="inlineStr">
        <is>
          <t>matches</t>
        </is>
      </c>
      <c r="F21" s="3" t="inlineStr">
        <is>
          <t>normalised rate = 1 ÷ 1.1738 at precision 6; a direction slip freezes the pair</t>
        </is>
      </c>
    </row>
    <row r="22" ht="30" customHeight="1">
      <c r="A22" s="4" t="inlineStr">
        <is>
          <t>B18</t>
        </is>
      </c>
      <c r="B22" s="3" t="inlineStr">
        <is>
          <t>Evo selected senders, receiver side: EUR 50,000 target, receiver pays 0.60 %</t>
        </is>
      </c>
      <c r="C22" s="10" t="inlineStr">
        <is>
          <t>49700</t>
        </is>
      </c>
      <c r="D22" s="3" t="inlineStr">
        <is>
          <t>49700.00</t>
        </is>
      </c>
      <c r="E22" s="6" t="inlineStr">
        <is>
          <t>matches</t>
        </is>
      </c>
      <c r="F22" s="3" t="inlineStr">
        <is>
          <t>corrected sheet of 21 Oct: EUR 50,000 − 0.6 % = 49,700; the receiver line of B3</t>
        </is>
      </c>
    </row>
    <row r="23" ht="30" customHeight="1">
      <c r="A23" s="4" t="inlineStr">
        <is>
          <t>B19</t>
        </is>
      </c>
      <c r="B23" s="3" t="inlineStr">
        <is>
          <t>Part collection: 5,000 USDT → EUR at Ali received as 4,000 + 1,000, priced once on the whole amount</t>
        </is>
      </c>
      <c r="C23" s="10" t="inlineStr">
        <is>
          <t>4437 / 4410</t>
        </is>
      </c>
      <c r="D23" s="3" t="inlineStr">
        <is>
          <t>4437.00 / 4410.00</t>
        </is>
      </c>
      <c r="E23" s="6" t="inlineStr">
        <is>
          <t>matches</t>
        </is>
      </c>
      <c r="F23" s="3" t="inlineStr">
        <is>
          <t>NPL figure 21 Oct: sender side 5,000 × (0.9 − 1.4 %) = 4,437; receiver side (5,000 − 2 %) × 0.9 = 4,410; the case of L10</t>
        </is>
      </c>
    </row>
    <row r="24" ht="30" customHeight="1">
      <c r="A24" s="4" t="inlineStr">
        <is>
          <t>B20</t>
        </is>
      </c>
      <c r="B24" s="3" t="inlineStr">
        <is>
          <t>Eight-decimal asset: 0.12345678 BTC → EUR at Ali, market 60,000, Ali 59,400</t>
        </is>
      </c>
      <c r="C24" s="10" t="inlineStr">
        <is>
          <t>7304 / 7259</t>
        </is>
      </c>
      <c r="D24" s="3" t="inlineStr">
        <is>
          <t>7303.70 / 7259.26</t>
        </is>
      </c>
      <c r="E24" s="6" t="inlineStr">
        <is>
          <t>matches</t>
        </is>
      </c>
      <c r="F24" s="3" t="inlineStr">
        <is>
          <t>NPL figure 21 Oct rounded to the unit: sender side 7,304, receiver side 7,259; the case of L11</t>
        </is>
      </c>
    </row>
    <row r="25" ht="30" customHeight="1">
      <c r="A25" s="4" t="inlineStr">
        <is>
          <t>B21</t>
        </is>
      </c>
      <c r="B25" s="3" t="inlineStr">
        <is>
          <t>Tier reached exactly: GDC, month-to-date USD 450,000, USD 50,000 target out at 2.5 % on the whole deal</t>
        </is>
      </c>
      <c r="C25" s="10" t="inlineStr">
        <is>
          <t>51250</t>
        </is>
      </c>
      <c r="D25" s="3" t="inlineStr">
        <is>
          <t>51250.00</t>
        </is>
      </c>
      <c r="E25" s="6" t="inlineStr">
        <is>
          <t>matches</t>
        </is>
      </c>
      <c r="F25" s="3" t="inlineStr">
        <is>
          <t>NPL figure 21 Oct: 50,000 + 2.5 % = 51,250; the case of L12</t>
        </is>
      </c>
    </row>
    <row r="26" ht="30" customHeight="1">
      <c r="A26" s="4" t="inlineStr">
        <is>
          <t>B22</t>
        </is>
      </c>
      <c r="B26" s="3" t="inlineStr">
        <is>
          <t>Tier crossed inside one deal: GDC, month-to-date USD 490,000, USD 20,000 target out as 10,000 at 2.5 % + 10,000 at 2.25 %</t>
        </is>
      </c>
      <c r="C26" s="10" t="inlineStr">
        <is>
          <t>20475</t>
        </is>
      </c>
      <c r="D26" s="3" t="inlineStr">
        <is>
          <t>20475.00</t>
        </is>
      </c>
      <c r="E26" s="6" t="inlineStr">
        <is>
          <t>matches</t>
        </is>
      </c>
      <c r="F26" s="3" t="inlineStr">
        <is>
          <t>NPL figure 21 Oct: 10,250 + 10,225 = 20,475, two portions confirmed; the case of L13</t>
        </is>
      </c>
    </row>
    <row r="27" ht="30" customHeight="1">
      <c r="A27" s="4" t="inlineStr">
        <is>
          <t>B23</t>
        </is>
      </c>
      <c r="B27" s="3" t="inlineStr">
        <is>
          <t>Same-currency: 5,000 EUR → EUR at rate 1, Evo 2.8 % split 1.4 / 1.4</t>
        </is>
      </c>
      <c r="C27" s="10" t="inlineStr">
        <is>
          <t>4860</t>
        </is>
      </c>
      <c r="D27" s="3" t="inlineStr">
        <is>
          <t>4860.00</t>
        </is>
      </c>
      <c r="E27" s="6" t="inlineStr">
        <is>
          <t>matches</t>
        </is>
      </c>
      <c r="F27" s="3" t="inlineStr">
        <is>
          <t>NPL figure 21 Oct: 5,000 − 2.8 % = 4,860; the case of L3</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2026-10-21T19:57:12Z</dcterms:created>
  <dcterms:modified xmlns:dcterms="http://purl.org/dc/terms/" xmlns:xsi="http://www.w3.org/2001/XMLSchema-instance" xsi:type="dcterms:W3CDTF">2026-10-21T19:57:13Z</dcterms:modified>
</cp:coreProperties>
</file>