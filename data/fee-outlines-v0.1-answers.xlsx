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sp/Downloads/"/>
    </mc:Choice>
  </mc:AlternateContent>
  <xr:revisionPtr revIDLastSave="0" documentId="13_ncr:1_{10DF5F7A-D8DA-6D41-A1C1-39FF16C2B652}" xr6:coauthVersionLast="47" xr6:coauthVersionMax="47" xr10:uidLastSave="{00000000-0000-0000-0000-000000000000}"/>
  <bookViews>
    <workbookView xWindow="0" yWindow="660" windowWidth="30240" windowHeight="17780" activeTab="2" xr2:uid="{00000000-000D-0000-FFFF-FFFF00000000}"/>
  </bookViews>
  <sheets>
    <sheet name="Read me" sheetId="1" r:id="rId1"/>
    <sheet name="Register" sheetId="2" r:id="rId2"/>
    <sheet name="P01" sheetId="3" r:id="rId3"/>
    <sheet name="P02" sheetId="4" r:id="rId4"/>
    <sheet name="P03" sheetId="5" r:id="rId5"/>
    <sheet name="P04" sheetId="6" r:id="rId6"/>
    <sheet name="P05" sheetId="7" r:id="rId7"/>
    <sheet name="P06" sheetId="8" r:id="rId8"/>
    <sheet name="P07" sheetId="9" r:id="rId9"/>
    <sheet name="P08" sheetId="10" r:id="rId10"/>
    <sheet name="P09" sheetId="11" r:id="rId11"/>
    <sheet name="P10" sheetId="12" r:id="rId12"/>
    <sheet name="P11" sheetId="13" r:id="rId13"/>
    <sheet name="P12" sheetId="14" r:id="rId14"/>
    <sheet name="Project Context" sheetId="15" r:id="rId15"/>
    <sheet name="Payment methods"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1" i="9" l="1"/>
  <c r="A92" i="14" l="1"/>
  <c r="A91" i="14"/>
  <c r="A90" i="14"/>
  <c r="A89" i="14"/>
  <c r="A88" i="14"/>
  <c r="A87" i="14"/>
  <c r="A86" i="14"/>
  <c r="A85" i="14"/>
  <c r="A84" i="14"/>
  <c r="A83" i="14"/>
  <c r="A82" i="14"/>
  <c r="C81" i="14"/>
  <c r="A81" i="14"/>
  <c r="C80" i="14"/>
  <c r="A80" i="14"/>
  <c r="C79" i="14"/>
  <c r="A79" i="14"/>
  <c r="C78" i="14"/>
  <c r="A78" i="14"/>
  <c r="C73" i="14"/>
  <c r="C92" i="14" s="1"/>
  <c r="C72" i="14"/>
  <c r="C84" i="14" s="1"/>
  <c r="C64" i="14"/>
  <c r="C59" i="14"/>
  <c r="C71" i="14" s="1"/>
  <c r="A92" i="13"/>
  <c r="C91" i="13"/>
  <c r="A91" i="13"/>
  <c r="A90" i="13"/>
  <c r="A89" i="13"/>
  <c r="A88" i="13"/>
  <c r="A87" i="13"/>
  <c r="A86" i="13"/>
  <c r="A85" i="13"/>
  <c r="A84" i="13"/>
  <c r="A83" i="13"/>
  <c r="A82" i="13"/>
  <c r="C81" i="13"/>
  <c r="A81" i="13"/>
  <c r="C80" i="13"/>
  <c r="A80" i="13"/>
  <c r="C79" i="13"/>
  <c r="A79" i="13"/>
  <c r="C78" i="13"/>
  <c r="A78" i="13"/>
  <c r="C73" i="13"/>
  <c r="C92" i="13" s="1"/>
  <c r="C72" i="13"/>
  <c r="C84" i="13" s="1"/>
  <c r="C71" i="13"/>
  <c r="C64" i="13"/>
  <c r="C65" i="13" s="1"/>
  <c r="C61" i="13"/>
  <c r="C60" i="13"/>
  <c r="C59" i="13"/>
  <c r="A92" i="12"/>
  <c r="A91" i="12"/>
  <c r="A90" i="12"/>
  <c r="A89" i="12"/>
  <c r="A88" i="12"/>
  <c r="A87" i="12"/>
  <c r="A86" i="12"/>
  <c r="A85" i="12"/>
  <c r="A84" i="12"/>
  <c r="A83" i="12"/>
  <c r="A82" i="12"/>
  <c r="C81" i="12"/>
  <c r="A81" i="12"/>
  <c r="C80" i="12"/>
  <c r="A80" i="12"/>
  <c r="C79" i="12"/>
  <c r="A79" i="12"/>
  <c r="C78" i="12"/>
  <c r="A78" i="12"/>
  <c r="C73" i="12"/>
  <c r="C91" i="12" s="1"/>
  <c r="C72" i="12"/>
  <c r="C84" i="12" s="1"/>
  <c r="C65" i="12"/>
  <c r="C64" i="12"/>
  <c r="C59" i="12"/>
  <c r="C71" i="12" s="1"/>
  <c r="C92" i="11"/>
  <c r="A92" i="11"/>
  <c r="A91" i="11"/>
  <c r="A90" i="11"/>
  <c r="A89" i="11"/>
  <c r="A88" i="11"/>
  <c r="A87" i="11"/>
  <c r="A86" i="11"/>
  <c r="A85" i="11"/>
  <c r="A84" i="11"/>
  <c r="C83" i="11"/>
  <c r="A83" i="11"/>
  <c r="A82" i="11"/>
  <c r="C81" i="11"/>
  <c r="A81" i="11"/>
  <c r="C80" i="11"/>
  <c r="A80" i="11"/>
  <c r="C79" i="11"/>
  <c r="A79" i="11"/>
  <c r="C78" i="11"/>
  <c r="A78" i="11"/>
  <c r="C73" i="11"/>
  <c r="C91" i="11" s="1"/>
  <c r="C64" i="11"/>
  <c r="C65" i="11" s="1"/>
  <c r="C72" i="11" s="1"/>
  <c r="C84" i="11" s="1"/>
  <c r="C59" i="11"/>
  <c r="C71" i="11" s="1"/>
  <c r="C104" i="10"/>
  <c r="C103" i="10"/>
  <c r="A92" i="10"/>
  <c r="A91" i="10"/>
  <c r="A90" i="10"/>
  <c r="A89" i="10"/>
  <c r="A88" i="10"/>
  <c r="A87" i="10"/>
  <c r="A86" i="10"/>
  <c r="A85" i="10"/>
  <c r="A84" i="10"/>
  <c r="A83" i="10"/>
  <c r="A82" i="10"/>
  <c r="C81" i="10"/>
  <c r="A81" i="10"/>
  <c r="C80" i="10"/>
  <c r="A80" i="10"/>
  <c r="C79" i="10"/>
  <c r="A79" i="10"/>
  <c r="C78" i="10"/>
  <c r="A78" i="10"/>
  <c r="C73" i="10"/>
  <c r="C92" i="10" s="1"/>
  <c r="C72" i="10"/>
  <c r="C84" i="10" s="1"/>
  <c r="C64" i="10"/>
  <c r="C65" i="10" s="1"/>
  <c r="C59" i="10"/>
  <c r="C71" i="10" s="1"/>
  <c r="C104" i="9"/>
  <c r="C103" i="9"/>
  <c r="A92" i="9"/>
  <c r="C91" i="9"/>
  <c r="A91" i="9"/>
  <c r="A90" i="9"/>
  <c r="A89" i="9"/>
  <c r="A88" i="9"/>
  <c r="A87" i="9"/>
  <c r="A86" i="9"/>
  <c r="A85" i="9"/>
  <c r="A84" i="9"/>
  <c r="A83" i="9"/>
  <c r="A82" i="9"/>
  <c r="C81" i="9"/>
  <c r="A81" i="9"/>
  <c r="C80" i="9"/>
  <c r="A80" i="9"/>
  <c r="C79" i="9"/>
  <c r="A79" i="9"/>
  <c r="C78" i="9"/>
  <c r="A78" i="9"/>
  <c r="C73" i="9"/>
  <c r="C92" i="9" s="1"/>
  <c r="C72" i="9"/>
  <c r="C84" i="9" s="1"/>
  <c r="C64" i="9"/>
  <c r="C65" i="9" s="1"/>
  <c r="C59" i="9"/>
  <c r="C71" i="9" s="1"/>
  <c r="A92" i="8"/>
  <c r="A91" i="8"/>
  <c r="A90" i="8"/>
  <c r="A89" i="8"/>
  <c r="A88" i="8"/>
  <c r="A87" i="8"/>
  <c r="A86" i="8"/>
  <c r="A85" i="8"/>
  <c r="A84" i="8"/>
  <c r="A83" i="8"/>
  <c r="A82" i="8"/>
  <c r="C81" i="8"/>
  <c r="A81" i="8"/>
  <c r="C80" i="8"/>
  <c r="A80" i="8"/>
  <c r="C79" i="8"/>
  <c r="A79" i="8"/>
  <c r="C78" i="8"/>
  <c r="A78" i="8"/>
  <c r="C73" i="8"/>
  <c r="C91" i="8" s="1"/>
  <c r="C72" i="8"/>
  <c r="C84" i="8" s="1"/>
  <c r="C64" i="8"/>
  <c r="C59" i="8"/>
  <c r="C71" i="8" s="1"/>
  <c r="B104" i="7"/>
  <c r="C92" i="7"/>
  <c r="A92" i="7"/>
  <c r="C91" i="7"/>
  <c r="A91" i="7"/>
  <c r="A90" i="7"/>
  <c r="A89" i="7"/>
  <c r="A88" i="7"/>
  <c r="A87" i="7"/>
  <c r="A86" i="7"/>
  <c r="A85" i="7"/>
  <c r="C84" i="7"/>
  <c r="A84" i="7"/>
  <c r="A83" i="7"/>
  <c r="A82" i="7"/>
  <c r="C81" i="7"/>
  <c r="A81" i="7"/>
  <c r="C80" i="7"/>
  <c r="A80" i="7"/>
  <c r="C79" i="7"/>
  <c r="A79" i="7"/>
  <c r="C78" i="7"/>
  <c r="A78" i="7"/>
  <c r="C73" i="7"/>
  <c r="C72" i="7"/>
  <c r="C65" i="7"/>
  <c r="C64" i="7"/>
  <c r="C59" i="7"/>
  <c r="C71" i="7" s="1"/>
  <c r="C92" i="6"/>
  <c r="A92" i="6"/>
  <c r="A91" i="6"/>
  <c r="A90" i="6"/>
  <c r="A89" i="6"/>
  <c r="A88" i="6"/>
  <c r="A87" i="6"/>
  <c r="A86" i="6"/>
  <c r="A85" i="6"/>
  <c r="A84" i="6"/>
  <c r="A83" i="6"/>
  <c r="A82" i="6"/>
  <c r="C81" i="6"/>
  <c r="A81" i="6"/>
  <c r="C80" i="6"/>
  <c r="A80" i="6"/>
  <c r="C79" i="6"/>
  <c r="A79" i="6"/>
  <c r="C78" i="6"/>
  <c r="A78" i="6"/>
  <c r="C73" i="6"/>
  <c r="C91" i="6" s="1"/>
  <c r="C72" i="6"/>
  <c r="C84" i="6" s="1"/>
  <c r="C64" i="6"/>
  <c r="C59" i="6"/>
  <c r="C71" i="6" s="1"/>
  <c r="A92" i="5"/>
  <c r="A91" i="5"/>
  <c r="A90" i="5"/>
  <c r="A89" i="5"/>
  <c r="A88" i="5"/>
  <c r="A87" i="5"/>
  <c r="A86" i="5"/>
  <c r="A85" i="5"/>
  <c r="A84" i="5"/>
  <c r="A83" i="5"/>
  <c r="A82" i="5"/>
  <c r="C81" i="5"/>
  <c r="A81" i="5"/>
  <c r="C80" i="5"/>
  <c r="A80" i="5"/>
  <c r="C79" i="5"/>
  <c r="A79" i="5"/>
  <c r="C78" i="5"/>
  <c r="A78" i="5"/>
  <c r="C73" i="5"/>
  <c r="C92" i="5" s="1"/>
  <c r="C72" i="5"/>
  <c r="C84" i="5" s="1"/>
  <c r="C64" i="5"/>
  <c r="C59" i="5"/>
  <c r="A92" i="4"/>
  <c r="A91" i="4"/>
  <c r="A90" i="4"/>
  <c r="A89" i="4"/>
  <c r="A88" i="4"/>
  <c r="A87" i="4"/>
  <c r="A86" i="4"/>
  <c r="A85" i="4"/>
  <c r="A84" i="4"/>
  <c r="A83" i="4"/>
  <c r="A82" i="4"/>
  <c r="C81" i="4"/>
  <c r="A81" i="4"/>
  <c r="C80" i="4"/>
  <c r="A80" i="4"/>
  <c r="C79" i="4"/>
  <c r="A79" i="4"/>
  <c r="C78" i="4"/>
  <c r="A78" i="4"/>
  <c r="C73" i="4"/>
  <c r="C92" i="4" s="1"/>
  <c r="C72" i="4"/>
  <c r="C84" i="4" s="1"/>
  <c r="C64" i="4"/>
  <c r="C65" i="4" s="1"/>
  <c r="C59" i="4"/>
  <c r="C60" i="4" s="1"/>
  <c r="A92" i="3"/>
  <c r="A91" i="3"/>
  <c r="A90" i="3"/>
  <c r="A89" i="3"/>
  <c r="A88" i="3"/>
  <c r="A87" i="3"/>
  <c r="A86" i="3"/>
  <c r="A85" i="3"/>
  <c r="A84" i="3"/>
  <c r="C83" i="3"/>
  <c r="A83" i="3"/>
  <c r="A82" i="3"/>
  <c r="C81" i="3"/>
  <c r="A81" i="3"/>
  <c r="C80" i="3"/>
  <c r="A80" i="3"/>
  <c r="C79" i="3"/>
  <c r="A79" i="3"/>
  <c r="C78" i="3"/>
  <c r="A78" i="3"/>
  <c r="C73" i="3"/>
  <c r="C92" i="3" s="1"/>
  <c r="C64" i="3"/>
  <c r="C59" i="3"/>
  <c r="C60" i="12" l="1"/>
  <c r="C61" i="12" s="1"/>
  <c r="C92" i="12"/>
  <c r="C60" i="11"/>
  <c r="C61" i="11" s="1"/>
  <c r="C97" i="11" s="1"/>
  <c r="D97" i="11" s="1"/>
  <c r="C91" i="10"/>
  <c r="C92" i="8"/>
  <c r="C91" i="5"/>
  <c r="C91" i="4"/>
  <c r="C91" i="3"/>
  <c r="C63" i="13"/>
  <c r="C97" i="12"/>
  <c r="D97" i="12" s="1"/>
  <c r="C62" i="12"/>
  <c r="C63" i="12" s="1"/>
  <c r="C61" i="4"/>
  <c r="C71" i="4"/>
  <c r="C97" i="4" s="1"/>
  <c r="D97" i="4" s="1"/>
  <c r="C65" i="6"/>
  <c r="C60" i="7"/>
  <c r="C61" i="7" s="1"/>
  <c r="C65" i="8"/>
  <c r="C60" i="9"/>
  <c r="C61" i="9" s="1"/>
  <c r="C65" i="3"/>
  <c r="C72" i="3" s="1"/>
  <c r="C84" i="3" s="1"/>
  <c r="C65" i="5"/>
  <c r="C65" i="14"/>
  <c r="C60" i="8"/>
  <c r="C61" i="8" s="1"/>
  <c r="C62" i="13"/>
  <c r="C97" i="13"/>
  <c r="D97" i="13" s="1"/>
  <c r="C91" i="14"/>
  <c r="C60" i="6"/>
  <c r="C61" i="6" s="1"/>
  <c r="C60" i="3"/>
  <c r="C61" i="3" s="1"/>
  <c r="C60" i="5"/>
  <c r="C71" i="5" s="1"/>
  <c r="C60" i="10"/>
  <c r="C61" i="10" s="1"/>
  <c r="C106" i="10" s="1"/>
  <c r="C60" i="14"/>
  <c r="C61" i="14" s="1"/>
  <c r="C62" i="11" l="1"/>
  <c r="C63" i="11" s="1"/>
  <c r="C71" i="3"/>
  <c r="C82" i="11"/>
  <c r="C69" i="11"/>
  <c r="C70" i="11" s="1"/>
  <c r="C85" i="11"/>
  <c r="C66" i="11"/>
  <c r="C98" i="4"/>
  <c r="D98" i="4" s="1"/>
  <c r="C62" i="4"/>
  <c r="C63" i="4" s="1"/>
  <c r="C97" i="10"/>
  <c r="D97" i="10" s="1"/>
  <c r="C62" i="10"/>
  <c r="C63" i="10" s="1"/>
  <c r="C97" i="8"/>
  <c r="D97" i="8" s="1"/>
  <c r="C62" i="8"/>
  <c r="C63" i="8"/>
  <c r="C62" i="14"/>
  <c r="C63" i="14" s="1"/>
  <c r="C82" i="12"/>
  <c r="C66" i="12"/>
  <c r="C67" i="12" s="1"/>
  <c r="C68" i="12" s="1"/>
  <c r="C69" i="12"/>
  <c r="C85" i="12"/>
  <c r="C61" i="5"/>
  <c r="C97" i="5"/>
  <c r="D97" i="5" s="1"/>
  <c r="C63" i="7"/>
  <c r="C97" i="7"/>
  <c r="D97" i="7" s="1"/>
  <c r="C62" i="7"/>
  <c r="C97" i="6"/>
  <c r="D97" i="6" s="1"/>
  <c r="C62" i="6"/>
  <c r="C63" i="6" s="1"/>
  <c r="C97" i="9"/>
  <c r="D97" i="9" s="1"/>
  <c r="C62" i="9"/>
  <c r="C63" i="9" s="1"/>
  <c r="C97" i="3"/>
  <c r="D97" i="3" s="1"/>
  <c r="C62" i="3"/>
  <c r="C63" i="3"/>
  <c r="C85" i="13"/>
  <c r="C82" i="13"/>
  <c r="C69" i="13"/>
  <c r="C66" i="13"/>
  <c r="C74" i="13" s="1"/>
  <c r="C82" i="6" l="1"/>
  <c r="C69" i="6"/>
  <c r="C85" i="6"/>
  <c r="C66" i="6"/>
  <c r="C82" i="4"/>
  <c r="C85" i="4"/>
  <c r="C69" i="4"/>
  <c r="C66" i="4"/>
  <c r="C67" i="4" s="1"/>
  <c r="C68" i="4" s="1"/>
  <c r="C97" i="14"/>
  <c r="D97" i="14" s="1"/>
  <c r="C82" i="14"/>
  <c r="C69" i="14"/>
  <c r="C85" i="14"/>
  <c r="C66" i="14"/>
  <c r="C90" i="12"/>
  <c r="C89" i="12"/>
  <c r="C88" i="12"/>
  <c r="C87" i="12"/>
  <c r="C85" i="10"/>
  <c r="C69" i="10"/>
  <c r="C70" i="10" s="1"/>
  <c r="C66" i="10"/>
  <c r="C74" i="10" s="1"/>
  <c r="C82" i="10"/>
  <c r="C90" i="13"/>
  <c r="C89" i="13"/>
  <c r="C93" i="13" s="1"/>
  <c r="C87" i="13"/>
  <c r="C88" i="13"/>
  <c r="C70" i="12"/>
  <c r="C86" i="12"/>
  <c r="C83" i="12"/>
  <c r="C93" i="12" s="1"/>
  <c r="C85" i="9"/>
  <c r="C105" i="9"/>
  <c r="C66" i="9"/>
  <c r="C74" i="9" s="1"/>
  <c r="C82" i="9"/>
  <c r="C69" i="9"/>
  <c r="C70" i="9" s="1"/>
  <c r="C70" i="13"/>
  <c r="C67" i="11"/>
  <c r="C68" i="11" s="1"/>
  <c r="C86" i="11"/>
  <c r="C69" i="3"/>
  <c r="C70" i="3" s="1"/>
  <c r="C82" i="3"/>
  <c r="C85" i="3"/>
  <c r="C66" i="3"/>
  <c r="C74" i="3" s="1"/>
  <c r="C82" i="8"/>
  <c r="C69" i="8"/>
  <c r="C70" i="8" s="1"/>
  <c r="C85" i="8"/>
  <c r="C66" i="8"/>
  <c r="C67" i="13"/>
  <c r="C68" i="13" s="1"/>
  <c r="C83" i="13"/>
  <c r="C86" i="13"/>
  <c r="C85" i="7"/>
  <c r="C66" i="7"/>
  <c r="C74" i="7"/>
  <c r="C82" i="7"/>
  <c r="C69" i="7"/>
  <c r="C90" i="11"/>
  <c r="C88" i="11"/>
  <c r="C87" i="11"/>
  <c r="C93" i="11" s="1"/>
  <c r="C89" i="11"/>
  <c r="C98" i="5"/>
  <c r="D98" i="5" s="1"/>
  <c r="C62" i="5"/>
  <c r="C63" i="5" s="1"/>
  <c r="C74" i="12"/>
  <c r="C74" i="11"/>
  <c r="C74" i="4" l="1"/>
  <c r="C85" i="5"/>
  <c r="C69" i="5"/>
  <c r="C70" i="5" s="1"/>
  <c r="C99" i="5"/>
  <c r="D99" i="5" s="1"/>
  <c r="C82" i="5"/>
  <c r="C66" i="5"/>
  <c r="C74" i="5" s="1"/>
  <c r="C86" i="8"/>
  <c r="C67" i="8"/>
  <c r="C68" i="8" s="1"/>
  <c r="C83" i="8"/>
  <c r="C93" i="8" s="1"/>
  <c r="C89" i="4"/>
  <c r="C93" i="4" s="1"/>
  <c r="C90" i="4"/>
  <c r="C88" i="4"/>
  <c r="C87" i="4"/>
  <c r="C67" i="7"/>
  <c r="C68" i="7" s="1"/>
  <c r="C83" i="7"/>
  <c r="C93" i="7" s="1"/>
  <c r="C86" i="7"/>
  <c r="C89" i="9"/>
  <c r="C90" i="9"/>
  <c r="C87" i="9"/>
  <c r="C88" i="9"/>
  <c r="C70" i="4"/>
  <c r="C67" i="9"/>
  <c r="C68" i="9" s="1"/>
  <c r="C83" i="9"/>
  <c r="C86" i="9"/>
  <c r="C88" i="14"/>
  <c r="C90" i="14"/>
  <c r="C89" i="14"/>
  <c r="C87" i="14"/>
  <c r="C86" i="6"/>
  <c r="C67" i="6"/>
  <c r="C68" i="6" s="1"/>
  <c r="C83" i="6"/>
  <c r="C86" i="3"/>
  <c r="C67" i="3"/>
  <c r="C68" i="3" s="1"/>
  <c r="C86" i="14"/>
  <c r="C67" i="14"/>
  <c r="C68" i="14" s="1"/>
  <c r="C83" i="14"/>
  <c r="C93" i="10"/>
  <c r="C93" i="3"/>
  <c r="C83" i="10"/>
  <c r="C86" i="10"/>
  <c r="C67" i="10"/>
  <c r="C68" i="10" s="1"/>
  <c r="C70" i="14"/>
  <c r="C74" i="6"/>
  <c r="C87" i="3"/>
  <c r="C90" i="3"/>
  <c r="C89" i="3"/>
  <c r="C88" i="3"/>
  <c r="C93" i="9"/>
  <c r="C93" i="14"/>
  <c r="C89" i="7"/>
  <c r="C90" i="7"/>
  <c r="C88" i="7"/>
  <c r="C87" i="7"/>
  <c r="C74" i="8"/>
  <c r="C87" i="6"/>
  <c r="C90" i="6"/>
  <c r="C89" i="6"/>
  <c r="C88" i="6"/>
  <c r="C93" i="6" s="1"/>
  <c r="C74" i="14"/>
  <c r="C90" i="10"/>
  <c r="C89" i="10"/>
  <c r="C88" i="10"/>
  <c r="C87" i="10"/>
  <c r="C70" i="7"/>
  <c r="C87" i="8"/>
  <c r="C90" i="8"/>
  <c r="C89" i="8"/>
  <c r="C88" i="8"/>
  <c r="C86" i="4"/>
  <c r="C83" i="4"/>
  <c r="C70" i="6"/>
  <c r="C86" i="5" l="1"/>
  <c r="C67" i="5"/>
  <c r="C68" i="5" s="1"/>
  <c r="C83" i="5"/>
  <c r="C93" i="5"/>
  <c r="C87" i="5"/>
  <c r="C90" i="5"/>
  <c r="C89" i="5"/>
  <c r="C88" i="5"/>
</calcChain>
</file>

<file path=xl/sharedStrings.xml><?xml version="1.0" encoding="utf-8"?>
<sst xmlns="http://schemas.openxmlformats.org/spreadsheetml/2006/main" count="4774" uniqueCount="731">
  <si>
    <t>NPLify — Fee outlines for simulation · v0.1 (8 October 2026)</t>
  </si>
  <si>
    <t>What this is</t>
  </si>
  <si>
    <t>Every line of NPL's 'Table of Remittance Customers Fees' turned into an outline the system can execute: the configuration slots the ERD needs (project, sender, receiver, partner block, fee structure, rounding), pre-filled where the sheet says, left for NPL to fill where it does not. Each pattern sheet also carries a simulation: enter the slots and an amount, and it shows what the system would quote, convert, pay and post — and compares that to the figure NPL quoted in the sheet.</t>
  </si>
  <si>
    <t>How to fill</t>
  </si>
  <si>
    <t>Yellow cells are for NPL to fill. Blue cells are inputs copied or derived from the sheet (change them if the sheet is wrong). Black cells are formulas — do not type over them. 'Source' says where a value came from; 'NPL to confirm' lists what we could not read from the sheet.</t>
  </si>
  <si>
    <t>Sheets</t>
  </si>
  <si>
    <t>Register — one row per sheet line (45), with every slot in columns; the pattern sheets P01–P12 — one representative worked example per transaction pattern, with the full simulation. A row's pattern is in the Register's column D.</t>
  </si>
  <si>
    <t>The simulation</t>
  </si>
  <si>
    <t>Follows the Calculation Specification v1.0: all rates are OUT units per 1 IN unit; sender rate = base rate × (1 − sender share); gross out = amount × sender rate; receiver fee = gross out × receiver share; client net = gross − receiver fee; the partner delivers amount × partner rate (disclosed) or amount × market × (1 − partner markup) (market-plus); NPL earnings = delivered − client net; payouts go out in whole units with the dust carried. Where a pattern depends on a v5.3 proposal (tiers, displayed fee, own desk, invoice discharge, rounding options) the slot says so.</t>
  </si>
  <si>
    <t>What to do with it</t>
  </si>
  <si>
    <t>1. NPL fills the yellow slots and corrects any blue input. 2. For each pattern, the 'Check against the sheet' block must show a difference of zero (or an explained one). 3. The filled Register becomes the input for the Configuration Schema (one FEE_STRUCTURE / override / rebate / referral rule per row) and the pattern sheets become acceptance vectors for the engine.</t>
  </si>
  <si>
    <t>Legend</t>
  </si>
  <si>
    <t>ERD field names are in UPPER_SNAKE_CASE.column. '(v5.3 proposal X)' marks a slot that needs one of the proposals A–F from the gap review of 8 October; it can still be filled now.</t>
  </si>
  <si>
    <t>Colour</t>
  </si>
  <si>
    <t>Meaning</t>
  </si>
  <si>
    <t>NPL fills in</t>
  </si>
  <si>
    <t>Value not in the sheet — please supply</t>
  </si>
  <si>
    <t>From the sheet</t>
  </si>
  <si>
    <t>Input copied or derived from the fee table (blue text)</t>
  </si>
  <si>
    <t>Formula</t>
  </si>
  <si>
    <t>Computed by the workbook (black)</t>
  </si>
  <si>
    <t>Pattern</t>
  </si>
  <si>
    <t>Name · sheet lines</t>
  </si>
  <si>
    <t>P01</t>
  </si>
  <si>
    <t>Market-minus; partner pays NPL its share · sheet rows 3, 4, 6, 9, 10, 11, 13, 17, 18</t>
  </si>
  <si>
    <t>P02</t>
  </si>
  <si>
    <t>Agent rate; displayed fee differs from true total · sheet rows 5, 7, 12, 15, 19, 30, 31, 35</t>
  </si>
  <si>
    <t>P03</t>
  </si>
  <si>
    <t>Sender + receiver split · sheet rows 21, 22, 23, 24</t>
  </si>
  <si>
    <t>P04</t>
  </si>
  <si>
    <t>Variable fee quoted per transaction, with a floor · sheet rows 8, 25, 26, 29, 34, 36, 43, 44</t>
  </si>
  <si>
    <t>P05</t>
  </si>
  <si>
    <t>Volume-tiered fee · sheet rows 32, 33</t>
  </si>
  <si>
    <t>P06</t>
  </si>
  <si>
    <t>Earnings shared with the client's own party · sheet rows 14, 16</t>
  </si>
  <si>
    <t>P07</t>
  </si>
  <si>
    <t>Own-desk reseller (NPL converts, no partner) · sheet rows 38, 39, 40, 41, 42</t>
  </si>
  <si>
    <t>P08</t>
  </si>
  <si>
    <t>Cash in, partner converts to USDT, vendors paid in USDT · sheet rows 37</t>
  </si>
  <si>
    <t>P09</t>
  </si>
  <si>
    <t>Withdrawal (bank in, crypto out) · sheet rows 20</t>
  </si>
  <si>
    <t>P10</t>
  </si>
  <si>
    <t>Cash collection in an exotic currency · sheet rows 28, 45</t>
  </si>
  <si>
    <t>P11</t>
  </si>
  <si>
    <t>Zero-fee internal collection · sheet rows 46, 47</t>
  </si>
  <si>
    <t>P12</t>
  </si>
  <si>
    <t>Same-currency bank pass-through · sheet rows 27</t>
  </si>
  <si>
    <t>#</t>
  </si>
  <si>
    <t>Sheet row</t>
  </si>
  <si>
    <t>Client / product (PROJECT)</t>
  </si>
  <si>
    <t>Flow in words (from the sheet)</t>
  </si>
  <si>
    <t>Senders (SENDER)</t>
  </si>
  <si>
    <t>Receiver / vendor (RECEIVER, kind)</t>
  </si>
  <si>
    <t>Receiving account: currency · rail · kind (RECEIVING_ENTITY_ACCOUNT)</t>
  </si>
  <si>
    <t>Collection method (DEAL.collection_method)</t>
  </si>
  <si>
    <t>Collection endpoint: partner entity · kind · network/rail (COLLECTION_RECEIVING_ENDPOINT)</t>
  </si>
  <si>
    <t>Partner (PARTNER / PARTNER_CONFIG)</t>
  </si>
  <si>
    <t>Partner pricing (PARTNER_PAIR.partner_pricing)</t>
  </si>
  <si>
    <t>Pair from → to (CURRENCY_PAIR)</t>
  </si>
  <si>
    <t>Quote direction (CURRENCY_PAIR.quote_direction)</t>
  </si>
  <si>
    <t>Rate basis (FEE_STRUCTURE.rate_basis)</t>
  </si>
  <si>
    <t>Fee mode (FEE_STRUCTURE.mode)</t>
  </si>
  <si>
    <t>Fee total % (FEE_STRUCTURE.pct)</t>
  </si>
  <si>
    <t>Sender share % (sender_share_pct)</t>
  </si>
  <si>
    <t>Receiver share % (receiver_share_pct)</t>
  </si>
  <si>
    <t>Floor % (floor_pct)</t>
  </si>
  <si>
    <t>Cap % (cap_pct)</t>
  </si>
  <si>
    <t>Min margin % (min_margin_pct)</t>
  </si>
  <si>
    <t>Displayed fee % (v5.3 proposal C)</t>
  </si>
  <si>
    <t>Partner cost % (from sheet)</t>
  </si>
  <si>
    <t>NPL margin % (from sheet)</t>
  </si>
  <si>
    <t>NPL share mechanic: pool at partner / rebate / own desk</t>
  </si>
  <si>
    <t>Rebate % of partner fee (PARTNER_REBATE_RULE)</t>
  </si>
  <si>
    <t>Earnings share: to whom · % (REFERRAL_RULE)</t>
  </si>
  <si>
    <t>Rounding option · unit (CURRENCY_PAIR.amount_rounding; v5.3 proposal F)</t>
  </si>
  <si>
    <t>Settlement rail (SETTLEMENT_RAIL)</t>
  </si>
  <si>
    <t>Narrative (SETTLEMENT_SENDING_ENTITY)</t>
  </si>
  <si>
    <t>Registration status (SETTLEMENT_REGISTRATION)</t>
  </si>
  <si>
    <t>Volume tier (v5.3 proposal B)</t>
  </si>
  <si>
    <t>Note from the sheet</t>
  </si>
  <si>
    <t>NPL to confirm</t>
  </si>
  <si>
    <t>BF-Seven</t>
  </si>
  <si>
    <t>For USDT 661,060:
Rate: 0.857097
Fee: 1%
Amount: EUR 560,927</t>
  </si>
  <si>
    <t>Jeton</t>
  </si>
  <si>
    <t>market_plus_pct</t>
  </si>
  <si>
    <t>USDT → EUR</t>
  </si>
  <si>
    <t>fixed</t>
  </si>
  <si>
    <t>rebate? (sheet says 'referral commission') — confirm</t>
  </si>
  <si>
    <t>Fixed Fee</t>
  </si>
  <si>
    <t>does the partner keep NPL's share at its end (pool) or pay it back monthly (rebate)?</t>
  </si>
  <si>
    <t>"For USDT 195,000:
Fee: 0.80%
Amount: EUR 166,009.55"</t>
  </si>
  <si>
    <t>Aquanow</t>
  </si>
  <si>
    <t>For USDT 661,060:
Rate: 0.857097
Fee: 1%
Amount: EUR 560,927
Note - source rate is manually recomputed to allow the sender-facing calculation to land at 1%</t>
  </si>
  <si>
    <t>Ali</t>
  </si>
  <si>
    <t>disclosed_rate</t>
  </si>
  <si>
    <t>pool at partner</t>
  </si>
  <si>
    <t>true market rate at quote time (the sheet shows the recomputed one)</t>
  </si>
  <si>
    <t>BF- Arrow Wood</t>
  </si>
  <si>
    <t>For the 499,780 USDT collected:
Rate: 0.843784
Fee: 1%
Amount: EUR 417,489</t>
  </si>
  <si>
    <t>For the 400,000 USDT collected:
Rate: 0.8679402
Fee: 1%
Amount: EUR 343,704
Note - source rate is manually recomputed to allow the sender-facing calculation to land at 1%</t>
  </si>
  <si>
    <t>BF-Trade Lab</t>
  </si>
  <si>
    <t>BF-Orbit</t>
  </si>
  <si>
    <t>For the 699,000 USDT collected:
Fee: 1.25%
EUR Amount: 619,332</t>
  </si>
  <si>
    <t>BF-Blue Sapphire</t>
  </si>
  <si>
    <t>For the 200,000 USDT collected:
Rate: 0.838313
Fee: 1%
Amount: EUR 165,986</t>
  </si>
  <si>
    <t>For USDT 195,000:
Fee: 0.80%
Amount: EUR 166,009.55</t>
  </si>
  <si>
    <t>For USDT 1,000,000:
Rate: 0.872249
Fee: 1%
Amount: EUR 863,527
Note - source rate is manually recomputed to allow the sender-facing calculation to land at 1%</t>
  </si>
  <si>
    <t>BF-Raeen</t>
  </si>
  <si>
    <t>For the 200,000 USDT collected:
Rate: 0.8610999
Fee: 1%
Amount: EUR 170,498</t>
  </si>
  <si>
    <t>BF-Raeen (direct from downlines)</t>
  </si>
  <si>
    <t>For USDT 40,593:
Fee: 1%
Amount: EUR 34,590.11</t>
  </si>
  <si>
    <t>0.2% shared with Raeen (75% raeen) (25% NPL)</t>
  </si>
  <si>
    <t>For USDT 300,000:
Rate: 0.864189
Fee: 1.00%
Amount: EUR 256,664
Note - source rate is manually recomputed to allow the sender-facing calculation to land at 1%</t>
  </si>
  <si>
    <t xml:space="preserve">BF-Raeen - Sub Account </t>
  </si>
  <si>
    <t>For USDT 50,000:
Rate: 0.8650036
Fee: 4%
Amount: EUR 41,520.17</t>
  </si>
  <si>
    <t>pool at partner? — confirm</t>
  </si>
  <si>
    <t>3% shared with Raeen equally</t>
  </si>
  <si>
    <t>BF-Novi</t>
  </si>
  <si>
    <t>For the 500,000 USDT collected:
Rate: 0.865245
Fee: 0.90%
Amount: EUR 428,729</t>
  </si>
  <si>
    <t>For the 500,000 USDT collected:
Rate: 0.865245
Fee: 0.90%
Amount: EUR 428,729
Note - source rate is manually recomputed to allow the sender-facing calculation to land at 0.9%</t>
  </si>
  <si>
    <t>BF-Withdrawal 
(client sends EUR bank transfer and then takes settlement in USDT)</t>
  </si>
  <si>
    <t>For the GBP 51,000 withdrawn. Actual rate is 0.72739556
GBP Amount: GBP 51,000
Fee: 1%
USDT Amount: USDT 69,412</t>
  </si>
  <si>
    <t>GBP → USDT; EUR → USDT</t>
  </si>
  <si>
    <t>variable</t>
  </si>
  <si>
    <t>Fee is not fixed and is subject to change, but we have charged 1% in most recent transactions.</t>
  </si>
  <si>
    <t>does the partner keep NPL's share at its end (pool) or pay it back monthly (rebate)?; who sets the fee per transaction and within what bounds</t>
  </si>
  <si>
    <t>Evo USDT Collection</t>
  </si>
  <si>
    <t>Sender calculation
USDT&gt;&gt;EUR
Market Rate: 0.888977323
Fee: 1.40%
Final Rate: 0.876531640478
USDT 29,325 = EUR 25,704
Receiver calculation
EUR 25,704 - 0.6% = 25,550</t>
  </si>
  <si>
    <t>Fixed Fee---1.4% charged to Evo customer and 0.6% charged to Evo</t>
  </si>
  <si>
    <t>Evo USDT Collection (selected senders)</t>
  </si>
  <si>
    <t>Sender calculation
EUR&gt;&gt;USDT
Market Rate: 1.15580212667591 (1 ÷ 0.8652)
Fee: 1.00%
Final Rate: 1.16736014794267
EUR 50,000 = USDT 58,368
Receiver calculation
EUR 50,000 - 0.6% = 49,700</t>
  </si>
  <si>
    <t>For select customers (GTSI ,HG, Komodo)--but haven't transacted with us for some time</t>
  </si>
  <si>
    <t>Sender calculation
EUR&gt;&gt;USDT
Market Rate: 1.15580212667591 (1 ÷ 0.8652)
Fee: 1.00%
Final Rate: 1.16736014794267
EUR 50,000 = USDT 58,368
Receiver calculation
EUR 50,000 - 0.6% = 49,700</t>
  </si>
  <si>
    <t>Evolution CNY Collection</t>
  </si>
  <si>
    <t>Sender calculation
EUR &gt; CNY = 8.5193784
EUR 70,427.67 = CNY 600,000 (rounded off)
Receiver calculation
EUR 70,427 - 2.5% = 68,666</t>
  </si>
  <si>
    <t>CNY → EUR</t>
  </si>
  <si>
    <t>Fees change based on agent cost, but on average it is 6.75%---2.5% is charged to Evo balance will be borne by customer</t>
  </si>
  <si>
    <t>Evolution PHP, THB, SGD, HKD</t>
  </si>
  <si>
    <t>Sender calculation
EUR &gt; PHP = 72.503792
EUR 100,000 = PHP 7,250,000
Receiver calculation
EUR 100,000- 1.6% = 98,400</t>
  </si>
  <si>
    <t>PHP → EUR ; THB → EUR ; SGD → EUR; HKD → EUR</t>
  </si>
  <si>
    <t>Fixed Fee---1.6% charged to Evo customer and 1.6% charged to Evolution. Among these pairs only PHP&gt;EUR has been active recently (in 2025).</t>
  </si>
  <si>
    <t>Evolution USD, EUR, GBP (bank transfers)</t>
  </si>
  <si>
    <t>USD → EUR; EUR → EUR; GBP → EUR</t>
  </si>
  <si>
    <t>no recent data</t>
  </si>
  <si>
    <t>Fixed Fee---1.4% charged to Evo customer and 1.4% charged to Evolution. None of these pairs have been executed in the past couple of years.</t>
  </si>
  <si>
    <t>partner cost is a range/text — give the usual value or 'inferred from rate comparison'; NPL margin not numeric</t>
  </si>
  <si>
    <t>Evolution USD, AED (cash in Dubai)</t>
  </si>
  <si>
    <t>AED (cash) → EUR; USD (cash) → EUR</t>
  </si>
  <si>
    <t>Fixed Fee---2.25% charged to Evo customer and 2.25% charged to Evolution. None of these pairs have been executed in the past couple of years.</t>
  </si>
  <si>
    <t>66 Group Remittance INR</t>
  </si>
  <si>
    <t>USD&gt;&gt;INR
XE Market Rate: 90.83911443
Fee: 7.00%
Final Rate: 97.19785244
USD 23,960.18 x 97.1978524401 = INR 2,328,878.04
--- Rounded off to INR 2,329,000</t>
  </si>
  <si>
    <t>INR → USD</t>
  </si>
  <si>
    <t>Customer-facing fees are not fixed and are subject to change every transaction, but on average it is 6%. also min margin expected is 0.5%</t>
  </si>
  <si>
    <t>66 Group Remittance USD</t>
  </si>
  <si>
    <t>Market Rate: 1.00041 (1/0.99959)
Fee: 1.50%
Final Rate: 1.01541632
USD 23,960.18 x 1.01541632 = USDT 24,329.56
--- Rounded off to USDT 24,330</t>
  </si>
  <si>
    <t>USDT → USD</t>
  </si>
  <si>
    <t>66 Group Remittance GBP</t>
  </si>
  <si>
    <t>GBP&gt;&gt;USDT = 1.354309
GBP 25,000 x  1.354309 = USDT 33,858</t>
  </si>
  <si>
    <t>USDT → GBP</t>
  </si>
  <si>
    <t>GDC (up to $500K monthly volume)</t>
  </si>
  <si>
    <t>USD 84,482.00 + 2.5% = USDT 86,594</t>
  </si>
  <si>
    <t>GDC (for $500K-1M monthly volume)</t>
  </si>
  <si>
    <t>USD 84,482.00 + 2.25% = USDT 86,383</t>
  </si>
  <si>
    <t>Fee is lowered to 2.25% if their monthly processing volume is more than USD 500,000</t>
  </si>
  <si>
    <t>Jeton JPY</t>
  </si>
  <si>
    <t>USDT&gt;&gt;JPY = 156.06
USDT 150,000 = JPY 23,409,000</t>
  </si>
  <si>
    <t>USDT → JPY</t>
  </si>
  <si>
    <t>Fee changes every transaction, but on average it is 1%</t>
  </si>
  <si>
    <t>who sets the fee per transaction and within what bounds</t>
  </si>
  <si>
    <t>Kingdom</t>
  </si>
  <si>
    <t>USD 50,000 + 0.9% = USDT 50,540</t>
  </si>
  <si>
    <t>Working Lab</t>
  </si>
  <si>
    <t>USD 10,000 - 0.75% = USDT 9,925</t>
  </si>
  <si>
    <t>USD → USDT</t>
  </si>
  <si>
    <t>Fee is not fixed and changes every transaction, but on average it is 0.75%</t>
  </si>
  <si>
    <t>27 Group Remittance Collection for Game Reseller</t>
  </si>
  <si>
    <t xml:space="preserve">Customer Collection:
Advance Payment:
THB&gt;&gt;EUR
Market Rate: 0.0259463782412186
Fee: 2%
Updated Rate: 0.02542745
THB 17,000,000 x 0.02542745 = EUR 432,266.66
--- Rounded off to EUR 432,267
THB&gt;&gt;USDT
Market Rate: 0.0297503941927231 (1 ÷ 33.613)
Agent Fee: 0.6414425066510566%
Final Rate: 0.0295595625184747 (1 ÷ 33.83)
THB 17,000,000 x 0.0295595625184747 = USDT 502,513
Balance Invoice Clearance:
EUR&gt;&gt;THB
Market Rate: 38.13570206
Fee: 2.00%
Final Rate: 38.8984161012
EUR 329,408 x 38.8984161012 = THB 12,813,449.45
---Rounded Off to THB 12,813,000
THB &gt;&gt; USDT
Market Rate: 0.0303508558941362 (1 ÷ 32.948)
Agent Fee: 0.729135281711311%
Final Rate: 0.0301295570955107 (1 ÷ 33.19)
THB 12,813,000 x 0.0301295570955107 = USDT 386,050
===
===
===
Vendor Payment:
SACCO SIA (Latvia):
EUR&gt;&gt;USDT
Market Rate: 1.148412335637132
EUR 162,000 x 1.148412335637132 = USDT 186,042.80
Mitratech (QT):
EUR&gt;&gt;USDT
Market Rate: 1.153600110032772
EUR 29,487.18 x 1.153600110032772 = USDT 34,016.41
EZ-EVO (Samino):
USDT&gt;&gt;EUR
Market Rate: 1.154934460230491
EUR 492,665.17 x 1.154934460230491 = USDT 568,995.98
BraversPlay (Darwin):
EUR&gt;&gt;USDT
Market Rate: 1.156470452179947
EUR 13,270.28 x 1.156470452179947 = USDT 15,347
</t>
  </si>
  <si>
    <t>THB → USDT then USDT &gt;&gt; EUR</t>
  </si>
  <si>
    <t>For Game reseller projects, the EUR invoices from vendors are marked up by NPL-Reseller and a higher value invoice is issued to customers. 
Customer needs to pay an EUR invoice value (in this case customer wants to pay in THB - either as an advance payment or balance for a current invoice. The EUR&gt;THB rate for the customer is calculated with a fixed 2% fee markup
The rate from the partner is THB&gt;USDT (partner fee comparison should show that the partner rate is below 1.5%), so NPL's margin will be min 0.5%.
Once the THB is paid by customer (cash), Partner converts it to USDT. This USDT is then used to pay the vendors as per the share of invoices. Vendors provide the USDT equivalent for the EUR amount due as per market rates.</t>
  </si>
  <si>
    <t>Bala Remittance Collection for Game Reseller</t>
  </si>
  <si>
    <t xml:space="preserve">Customer Collection:
EUR&gt;&gt;USDT
Market Rate: 1.14731528223956 (1 ÷ 0.8716)
Fee: 2%
Final Rate: 1.17026158788435
EUR 2,220 x 1.17026158788435 = USDT 2,597.98
--- Round-up to USDT 2,600
Vendor Payment:
EZ-EVO (Samino):
EUR&gt;&gt;USDT
Market Rate: 1.140965082766247
EUR 1,358.98 x 1.140965082766247 = USDT 1,550.55
</t>
  </si>
  <si>
    <t>LT Sub (Aquanow)</t>
  </si>
  <si>
    <t>own_desk (v5.3 proposal D)</t>
  </si>
  <si>
    <t>own desk (proposal D)</t>
  </si>
  <si>
    <t xml:space="preserve">For Game reseller projects, the EUR invoices from vendors are marked up by NPL-Reseller and a higher value invoice is issued to customers. 
Customer needs to pay an EUR invoice value (in this case customer wants to pay in USDT. NPL offers the EUR &gt;&gt; USDT plus its markup. Customer sends USDT to NPL. This USDT is then used to pay the vendors as per the share of invoices. Vendors provide the USDT equivalent for the EUR amount due as per market rates. </t>
  </si>
  <si>
    <t>Fair Remittance Collection for Game Reseller</t>
  </si>
  <si>
    <t>Customer Collection:
Market Rate: 1.15713955102985 (1/0.8642)
Fee: 0.75%
Final Rate: 1.16581809766258
EUR 1,079 x 1.16581809766258 = USDT 1,257.92
--- Rounded off to USDT 1,258
Vendor Payment:
EZ-EVO (Samino):
USDT&gt;&gt;EUR
Market Rate: 1.154934460230491
EUR 697.99 x 1.154934460230491 = USDT 806.13</t>
  </si>
  <si>
    <t>66 Group Remittance Collection for Game Reseller</t>
  </si>
  <si>
    <t>Customer Collection:
Market Rate: 1.1368804 (1/0.8796)
Fee: 1.50%
Final Rate: 1.15393361
EUR 239,149 x 1.15393361 = USDT 275,962.07
--- Rounded off to USDT 275,962
Vendor Payment:
Marbles:
EUR&gt;&gt;USDT
Market Rate: 1.148038054369771
Fee: 1%
Final Rate: 1.159518434913469
EUR 53.16 x 1.159518434913469 = USDT 61.64
Mitratech (QT):
Market Rate: 1.137541599423579
EUR 19,126.04 x 1.137541599423579 = USDT 21,756.67
EZ-EVO (Samino):
EUR&gt;&gt;USDT
Market Rate: 1.134950126147394
EUR 175,789.33 x 1.134950126147394 = USDT 199,512.12</t>
  </si>
  <si>
    <t>TripleSeven/GZ Remittance Collection for Game Reseller</t>
  </si>
  <si>
    <t>Customer Collection:
Market Rate: 1.163061177 (1 ÷ 0.8598)
Fee: 1.50%
Final Rate: 1.18050709467318
EUR 4,097 x 1.18050709467318 = USDT 4,837
Vendor Payment:
Mitratech (QT):
EUR&gt;&gt;USDT
Market Rate: 1.137541599423579
EUR 3,403.10 x 1.137541599423579 = USDT 3,871.17</t>
  </si>
  <si>
    <t>Alpha Plus Remittance Collection for Game Reseller</t>
  </si>
  <si>
    <t>Customer Collection:
Market Rate: 1.14784206 (1/0.8712)
Fee: 1.50%
Final Rate: 1.16505969
EUR 2,939 x 1.16505969 = USDT 3,424.11
--- Rounded off to USDT 3,424
Vendor Payment:
Mitratech (QT):
EUR&gt;&gt;USDT
Market Rate: 1.137541599423579
EUR 2,299.93 x 1.137541599423579 = USDT 2,616.27</t>
  </si>
  <si>
    <t>Remit YN</t>
  </si>
  <si>
    <t>GBP 21,216 = USDT 28,591</t>
  </si>
  <si>
    <t>USDT → GBP; USDT → EUR; USDT → USD</t>
  </si>
  <si>
    <t>Fee is not fixed and changes every transaction, but on average it is 1.84%</t>
  </si>
  <si>
    <t>Remittance Peru</t>
  </si>
  <si>
    <t>USD 299,350 - 4% = USDT 287,376</t>
  </si>
  <si>
    <t>USD&gt;USDT</t>
  </si>
  <si>
    <t>Ad Hoc INR Cash</t>
  </si>
  <si>
    <t>INR 8,500,000 / 79.52918721</t>
  </si>
  <si>
    <t>INR → USD; INR → SGD; INR → USDT</t>
  </si>
  <si>
    <t>AK collections (INR)</t>
  </si>
  <si>
    <t>INR 8,735,000 / 100.80</t>
  </si>
  <si>
    <t>Internal stakeholder collection</t>
  </si>
  <si>
    <t>AK collections (USDT)</t>
  </si>
  <si>
    <t>USDT 10,000 * 0.996</t>
  </si>
  <si>
    <t>USDT → USD; USDT → SGD</t>
  </si>
  <si>
    <t>P01 — Market-minus; partner pays NPL its share</t>
  </si>
  <si>
    <t>Representative sheet rows</t>
  </si>
  <si>
    <t>3, 6, 8, 9, 10, 13, 17, 4, 11, 18, 20</t>
  </si>
  <si>
    <t>ERD entities involved</t>
  </si>
  <si>
    <t>PROJECT, SENDER, RECEIVER, PARTNER_PAIR (market_plus_pct), FEE_STRUCTURE (basis market), PARTNER_REBATE_RULE or CO.&lt;PARTNER&gt;.POOL, CONVERSION, DISBURSEMENT</t>
  </si>
  <si>
    <t>A · Configuration slots</t>
  </si>
  <si>
    <t>Slot</t>
  </si>
  <si>
    <t>ERD field</t>
  </si>
  <si>
    <t>Value</t>
  </si>
  <si>
    <t>Source</t>
  </si>
  <si>
    <t>Note</t>
  </si>
  <si>
    <t>Client / project</t>
  </si>
  <si>
    <t>PROJECT.name</t>
  </si>
  <si>
    <t>sheet</t>
  </si>
  <si>
    <t>One project per client; the default receiver group is created with it.</t>
  </si>
  <si>
    <t>Sender(s)</t>
  </si>
  <si>
    <t>SENDER.name; SENDER_RECEIVER_ALLOW → default group</t>
  </si>
  <si>
    <t>NPL</t>
  </si>
  <si>
    <t>Who pays in. A sender must be allowed to pay the entitled group.</t>
  </si>
  <si>
    <t>Receiver / vendor</t>
  </si>
  <si>
    <t>RECEIVER (kind counterparty) → RECEIVING_ENTITY</t>
  </si>
  <si>
    <t>Who is paid. A refund destination would be a sender_return receiver.</t>
  </si>
  <si>
    <t>Receiving account</t>
  </si>
  <si>
    <t>RECEIVING_ENTITY_ACCOUNT.currency · rail · account_kind</t>
  </si>
  <si>
    <t>EUR via SEPA and EUR via SWIFT are two accounts; a wallet has network + address.</t>
  </si>
  <si>
    <t>Collection method</t>
  </si>
  <si>
    <t>DEAL.collection_method</t>
  </si>
  <si>
    <t>crypto</t>
  </si>
  <si>
    <t>crypto / bank / cash. Cash has no endpoint record.</t>
  </si>
  <si>
    <t>Collection endpoint</t>
  </si>
  <si>
    <t>PARTNER_ENTITY → COLLECTION_RECEIVING_ENDPOINT (kind, network or rail)</t>
  </si>
  <si>
    <t>Must be active, belong to the leg's partner vehicle and match the collection method (D18, D19).</t>
  </si>
  <si>
    <t>Partner</t>
  </si>
  <si>
    <t>PARTNER + PARTNER_CONFIG</t>
  </si>
  <si>
    <t>Partner pricing</t>
  </si>
  <si>
    <t>PARTNER_PAIR.partner_pricing (+ partner_markup_pct)</t>
  </si>
  <si>
    <t>market_plus_pct: the partner states its fee on top of market; disclosed_rate: its margin is inside its rate.</t>
  </si>
  <si>
    <t>Currency pair</t>
  </si>
  <si>
    <t>CURRENCY_PAIR.from_currency → to_currency</t>
  </si>
  <si>
    <t>from = collection currency, to = payout currency.</t>
  </si>
  <si>
    <t>Quote direction</t>
  </si>
  <si>
    <t>CURRENCY_PAIR.quote_direction</t>
  </si>
  <si>
    <t>out_per_in</t>
  </si>
  <si>
    <t>out_per_in: fee deducted from the rate the sender gets; in_per_out: fee added to what the sender pays per unit received.</t>
  </si>
  <si>
    <t>Rate basis</t>
  </si>
  <si>
    <t>FEE_STRUCTURE.rate_basis</t>
  </si>
  <si>
    <t>market</t>
  </si>
  <si>
    <t>market: fee applied on the market rate; partner: on the partner's rate.</t>
  </si>
  <si>
    <t>Fee mode</t>
  </si>
  <si>
    <t>FEE_STRUCTURE.mode</t>
  </si>
  <si>
    <t>fixed, or variable within floor/cap with a minimum margin.</t>
  </si>
  <si>
    <t>Fee total %</t>
  </si>
  <si>
    <t>FEE_STRUCTURE.pct</t>
  </si>
  <si>
    <t>sender share + receiver share.</t>
  </si>
  <si>
    <t>Sender share %</t>
  </si>
  <si>
    <t>FEE_STRUCTURE.sender_share_pct</t>
  </si>
  <si>
    <t>Receiver share %</t>
  </si>
  <si>
    <t>FEE_STRUCTURE.receiver_share_pct</t>
  </si>
  <si>
    <t>Taken at conversion from the client's balance (receiver_fee_timing = at_conversion).</t>
  </si>
  <si>
    <t>Floor %</t>
  </si>
  <si>
    <t>FEE_STRUCTURE.floor_pct</t>
  </si>
  <si>
    <t>variable mode only</t>
  </si>
  <si>
    <t>Cap %</t>
  </si>
  <si>
    <t>FEE_STRUCTURE.cap_pct</t>
  </si>
  <si>
    <t>Minimum margin %</t>
  </si>
  <si>
    <t>FEE_STRUCTURE.min_margin_pct</t>
  </si>
  <si>
    <t>A quote below it needs Finance approval.</t>
  </si>
  <si>
    <t>Displayed fee %</t>
  </si>
  <si>
    <t>FEE_STRUCTURE.displayed_fee_pct (v5.3 proposal C)</t>
  </si>
  <si>
    <t>n/a</t>
  </si>
  <si>
    <t>What the customer-facing calculation prints, when it differs from the true total.</t>
  </si>
  <si>
    <t>NPL share mechanic</t>
  </si>
  <si>
    <t>pool at partner (CO.&lt;PARTNER&gt;.POOL) / rebate (PARTNER_REBATE_RULE) / own desk (v5.3 proposal D)</t>
  </si>
  <si>
    <t>Decides the postings and the monthly reconciliation.</t>
  </si>
  <si>
    <t>Rebate % of partner fee</t>
  </si>
  <si>
    <t>PARTNER_REBATE_RULE.pct_of_partner_fee</t>
  </si>
  <si>
    <t>derived</t>
  </si>
  <si>
    <t>Only when the mechanic is rebate.</t>
  </si>
  <si>
    <t>Earnings share with another party</t>
  </si>
  <si>
    <t>INTRODUCER + REFERRAL_RULE (basis fixed_pct) → REFERRAL_ACCRUAL</t>
  </si>
  <si>
    <t>Paid out of NPL's earnings.</t>
  </si>
  <si>
    <t>Rounding option · unit</t>
  </si>
  <si>
    <t>CURRENCY_PAIR.amount_rounding (+ rounding_unit, v5.3 proposal F)</t>
  </si>
  <si>
    <t>truncate_unit · 1</t>
  </si>
  <si>
    <t>truncate_unit is the agreed default; the sheet shows nearest-1,000 and round-up in use.</t>
  </si>
  <si>
    <t>Settlement rail</t>
  </si>
  <si>
    <t>SETTLEMENT_RAIL (bank / EMI that executes the payout, expected bank fee)</t>
  </si>
  <si>
    <t>Narrative</t>
  </si>
  <si>
    <t>SETTLEMENT_SENDING_ENTITY.narrative_name</t>
  </si>
  <si>
    <t>Name the receiver sees on the transfer.</t>
  </si>
  <si>
    <t>Registration</t>
  </si>
  <si>
    <t>SETTLEMENT_REGISTRATION.approval_status (+ details in the account's kind, D16)</t>
  </si>
  <si>
    <t>A quote cannot leave Inquiry without an approved registration for the entitled group.</t>
  </si>
  <si>
    <t>B · Simulation — inputs (change freely)</t>
  </si>
  <si>
    <t>Input</t>
  </si>
  <si>
    <t>Key</t>
  </si>
  <si>
    <t>Format</t>
  </si>
  <si>
    <t>Source / meaning</t>
  </si>
  <si>
    <t>Amount in</t>
  </si>
  <si>
    <t>A</t>
  </si>
  <si>
    <t>amount</t>
  </si>
  <si>
    <t>the sender's amount, in the collection currency</t>
  </si>
  <si>
    <t>Collection currency</t>
  </si>
  <si>
    <t>ccy_in</t>
  </si>
  <si>
    <t>USDT</t>
  </si>
  <si>
    <t>text</t>
  </si>
  <si>
    <t>Payout currency</t>
  </si>
  <si>
    <t>ccy_out</t>
  </si>
  <si>
    <t>EUR</t>
  </si>
  <si>
    <t>Partner code (ledger holder)</t>
  </si>
  <si>
    <t>partner_code</t>
  </si>
  <si>
    <t>JETON</t>
  </si>
  <si>
    <t>PARTNER_CONFIG code used in account names</t>
  </si>
  <si>
    <t>Market rate Rm</t>
  </si>
  <si>
    <t>Rm</t>
  </si>
  <si>
    <t>rate, OUT per 1 IN</t>
  </si>
  <si>
    <t>OUT per 1 IN at quote time (MARKET_RATE snapshot)</t>
  </si>
  <si>
    <t>Partner rate Rp (disclosed-rate partners)</t>
  </si>
  <si>
    <t>Rp</t>
  </si>
  <si>
    <t>OUT per 1 IN as offered (PARTNER_RATE_VERSION); blank for market-plus partners</t>
  </si>
  <si>
    <t>Partner markup m (market-plus partners)</t>
  </si>
  <si>
    <t>m</t>
  </si>
  <si>
    <t>percent</t>
  </si>
  <si>
    <t>PARTNER_PAIR.partner_markup_pct; 0 for disclosed-rate or own desk</t>
  </si>
  <si>
    <t>Fee total f</t>
  </si>
  <si>
    <t>f</t>
  </si>
  <si>
    <t>Sender share s</t>
  </si>
  <si>
    <t>s</t>
  </si>
  <si>
    <t>Receiver share r</t>
  </si>
  <si>
    <t>r</t>
  </si>
  <si>
    <t>basis</t>
  </si>
  <si>
    <t>market / partner</t>
  </si>
  <si>
    <t>pricing</t>
  </si>
  <si>
    <t>market_plus_pct / disclosed_rate / own_desk</t>
  </si>
  <si>
    <t>dir</t>
  </si>
  <si>
    <t>out_per_in / in_per_out</t>
  </si>
  <si>
    <t>Rounding option</t>
  </si>
  <si>
    <t>round</t>
  </si>
  <si>
    <t>truncate_unit</t>
  </si>
  <si>
    <t>truncate_unit / nearest_unit / round_up_unit / nearest_n</t>
  </si>
  <si>
    <t>Rounding unit</t>
  </si>
  <si>
    <t>unit</t>
  </si>
  <si>
    <t>1 for whole units; 1000 for nearest-thousand</t>
  </si>
  <si>
    <t>Minimum margin</t>
  </si>
  <si>
    <t>minm</t>
  </si>
  <si>
    <t>Displayed fee (blank = show the truth)</t>
  </si>
  <si>
    <t>disp</t>
  </si>
  <si>
    <t>v5.3 proposal C</t>
  </si>
  <si>
    <t>mech</t>
  </si>
  <si>
    <t>rebate</t>
  </si>
  <si>
    <t>pool / rebate / own_desk</t>
  </si>
  <si>
    <t>PARTNER_REBATE_RULE</t>
  </si>
  <si>
    <t>Share paid to another party %</t>
  </si>
  <si>
    <t>refpct</t>
  </si>
  <si>
    <t>REFERRAL_RULE fixed_pct (introducer or client party)</t>
  </si>
  <si>
    <t>C · Simulation — what the system computes</t>
  </si>
  <si>
    <t>Figure</t>
  </si>
  <si>
    <t>Formula in words</t>
  </si>
  <si>
    <t>Calculation Specification step</t>
  </si>
  <si>
    <t>Base rate</t>
  </si>
  <si>
    <t>market rate if basis = market, else partner rate</t>
  </si>
  <si>
    <t>§2 fee basis</t>
  </si>
  <si>
    <t>Sender rate (what the sender is quoted)</t>
  </si>
  <si>
    <t>base × (1 − sender share) for out-per-in quoting; base ÷ (1 + sender share) when the fee is added to an in-per-out rate</t>
  </si>
  <si>
    <t>§3 sender split; CURRENCY_PAIR.quote_direction</t>
  </si>
  <si>
    <t>Gross out (promised before receiver share)</t>
  </si>
  <si>
    <t>amount in × sender rate</t>
  </si>
  <si>
    <t>§3</t>
  </si>
  <si>
    <t>Receiver fee</t>
  </si>
  <si>
    <t>gross out × receiver share</t>
  </si>
  <si>
    <t>Client net (group entitlement)</t>
  </si>
  <si>
    <t>gross out − receiver fee</t>
  </si>
  <si>
    <t>§5</t>
  </si>
  <si>
    <t>Delivered by the partner (actual out)</t>
  </si>
  <si>
    <t>amount × partner rate (disclosed) · amount × market × (1 − partner markup) (market-plus) · amount × market (own desk)</t>
  </si>
  <si>
    <t>§5 what the partner delivers</t>
  </si>
  <si>
    <t>Partner cost</t>
  </si>
  <si>
    <t>amount × market − delivered (0 for own desk)</t>
  </si>
  <si>
    <t>NPL earnings at conversion</t>
  </si>
  <si>
    <t>delivered − client net</t>
  </si>
  <si>
    <t>§5; ERD invariant 16 (margin captured at conversion)</t>
  </si>
  <si>
    <t>NPL margin %</t>
  </si>
  <si>
    <t>earnings ÷ (amount × market)</t>
  </si>
  <si>
    <t>Below minimum margin?</t>
  </si>
  <si>
    <t>margin % &lt; min margin → quote needs Finance approval</t>
  </si>
  <si>
    <t>Lifecycle v1.1 §4; FEE_STRUCTURE.min_margin_pct</t>
  </si>
  <si>
    <t>Payout in whole units</t>
  </si>
  <si>
    <t>client net rounded per the pair's rounding option and unit</t>
  </si>
  <si>
    <t>§9 rounding; v5.3 proposal F for options other than truncate</t>
  </si>
  <si>
    <t>Rounding residual (dust; negative = NPL cost)</t>
  </si>
  <si>
    <t>client net − payout</t>
  </si>
  <si>
    <t>CONVERSION.rounding_residual</t>
  </si>
  <si>
    <t>Displayed source rate (quote package)</t>
  </si>
  <si>
    <t>sender rate ÷ (1 − displayed fee) — what the customer-facing calculation prints</t>
  </si>
  <si>
    <t>Rebate receivable (if mechanic = rebate)</t>
  </si>
  <si>
    <t>partner's fee × rebate %</t>
  </si>
  <si>
    <t>PARTNER_REBATE_RULE / ACCRUAL</t>
  </si>
  <si>
    <t>Referral or client share accrued</t>
  </si>
  <si>
    <t>amount × market × share %</t>
  </si>
  <si>
    <t>REFERRAL_RULE basis fixed_pct → REFERRAL_ACCRUAL</t>
  </si>
  <si>
    <t>Identity: client net + partner cost + earnings = amount × market</t>
  </si>
  <si>
    <t>must be zero</t>
  </si>
  <si>
    <t>Calc spec §11 acceptance</t>
  </si>
  <si>
    <t>D · Expected postings (Ledger Posting Design v1.1)</t>
  </si>
  <si>
    <t>Account (OWNER.HOLDER.CCY.PURPOSE)</t>
  </si>
  <si>
    <t>Side</t>
  </si>
  <si>
    <t>Amount</t>
  </si>
  <si>
    <t>Owner · cost component</t>
  </si>
  <si>
    <t>Event</t>
  </si>
  <si>
    <t>Dr</t>
  </si>
  <si>
    <t>client · principal</t>
  </si>
  <si>
    <t>Collection</t>
  </si>
  <si>
    <t>Cr</t>
  </si>
  <si>
    <t>Conversion, in-currency leg</t>
  </si>
  <si>
    <t>client · principal (incl. rounding dust)</t>
  </si>
  <si>
    <t>Conversion, out-currency leg</t>
  </si>
  <si>
    <t>company · earnings</t>
  </si>
  <si>
    <t>Conversion — margin left at the partner</t>
  </si>
  <si>
    <t>Conversion — margin owed back by the partner (rebate mechanic)</t>
  </si>
  <si>
    <t>Margin recognised (invariant 16)</t>
  </si>
  <si>
    <t>Disbursement (whole units)</t>
  </si>
  <si>
    <t>Disbursement</t>
  </si>
  <si>
    <t>Confirmation, full</t>
  </si>
  <si>
    <t>company · referral</t>
  </si>
  <si>
    <t>Referral accrual (if a share rule applies)</t>
  </si>
  <si>
    <t>Referral accrual</t>
  </si>
  <si>
    <t>Check: debits = credits in the OUT currency (conversion out-leg + settlement + referral)</t>
  </si>
  <si>
    <t>ERD invariant 1: postings in one transaction sum to zero per currency (the in-currency rows balance by construction)</t>
  </si>
  <si>
    <t>E · Check against the sheet</t>
  </si>
  <si>
    <t>Figure NPL quoted</t>
  </si>
  <si>
    <t>Sheet value</t>
  </si>
  <si>
    <t>Simulated</t>
  </si>
  <si>
    <t>Difference</t>
  </si>
  <si>
    <t>Comment</t>
  </si>
  <si>
    <t>EUR amount to the receiver</t>
  </si>
  <si>
    <t>sheet row 3: 661,060 × 0.857097 × 0.99</t>
  </si>
  <si>
    <t>F · Open points for NPL</t>
  </si>
  <si>
    <t>•</t>
  </si>
  <si>
    <t>Does Jeton deduct the full 1 % and pay NPL 0.4 % back (rebate, monthly), or deduct 0.6 % and leave 0.4 % at its end (pool)? The simulation assumes rebate with m = 1.0 %, rebate 40 %; switch 'mech' to pool and m to 0.6 % for the other reading.</t>
  </si>
  <si>
    <t>Jeton's collection endpoint (vehicle, wallet network) and the settlement rail / narrative for EUR payouts.</t>
  </si>
  <si>
    <t>Is the 0.4 % 'referral commission' NPL's margin on every deal, or a separate commission arrangement with Jeton? It matters for whether REFERRAL_RULE or PARTNER_REBATE_RULE models it.</t>
  </si>
  <si>
    <t>P02 — Agent rate; displayed fee differs from true total</t>
  </si>
  <si>
    <t>5, 7, 12, 15, 19</t>
  </si>
  <si>
    <t>PARTNER_PAIR (disclosed_rate), FEE_STRUCTURE (basis partner), DEAL_GROUP.displayed_* (v5.3 proposal C), CONVERSION, CO.&lt;PARTNER&gt;.POOL</t>
  </si>
  <si>
    <t>PT-tour or PT Global Inc · wallet · TRC-20</t>
  </si>
  <si>
    <t>partner</t>
  </si>
  <si>
    <t>ALI</t>
  </si>
  <si>
    <t>pool</t>
  </si>
  <si>
    <t>Displayed source rate</t>
  </si>
  <si>
    <t>sheet row 5 shows 0.857097 with 'Fee: 1 %' — the recomputed rate</t>
  </si>
  <si>
    <t>sheet row 5</t>
  </si>
  <si>
    <t>The true market rate at quote time (the sheet shows the recomputed one). Without it the partner cost and the 1.4 % total cannot be checked — the simulation leaves Rm yellow.</t>
  </si>
  <si>
    <t>Ali's actual offered rate: the simulation derives 0.851934 from the sheet (0.857097 × 0.99 ÷ 0.996). Confirm or replace.</t>
  </si>
  <si>
    <t>Is the displayed '1 %' a fixed presentation rule for every Ali deal of this client, or chosen per quote?</t>
  </si>
  <si>
    <t>P03 — Sender + receiver split</t>
  </si>
  <si>
    <t>21, 22, 23, 24</t>
  </si>
  <si>
    <t>FEE_STRUCTURE.sender_share_pct / receiver_share_pct, FEE_OVERRIDE (v5.3 proposal A for the selected senders), CONVERSION.fee_receiver_part</t>
  </si>
  <si>
    <t>PT vehicle · wallet · TRC-20</t>
  </si>
  <si>
    <t>Sender rate (final rate)</t>
  </si>
  <si>
    <t>sheet row 21: 0.888977 × 0.986</t>
  </si>
  <si>
    <t>EUR to the Evo balance (gross)</t>
  </si>
  <si>
    <t>sheet row 21</t>
  </si>
  <si>
    <t>EUR after the receiver fee (client net)</t>
  </si>
  <si>
    <t>sheet row 21: 25,704 − 0.6 %</t>
  </si>
  <si>
    <t>Ali's offered rate for this deal (the simulation assumes a 0.85 % partner cost: 0.881421). Replace with the actual version.</t>
  </si>
  <si>
    <t>For GTSI, HG and Komodo the sender share is 1.0 % while Evo still pays 0.6 %: confirm that the receiver part is fixed, not proportional (this is proposal A).</t>
  </si>
  <si>
    <t>Rows 22 and 24 route the same deal through Jeton at 'market − 1.25 %': confirm Jeton's markup (0.85 % in the sheet) and whether the 1.25 % is Jeton's deduction or NPL's quote.</t>
  </si>
  <si>
    <t>P04 — Variable fee quoted per transaction, with a floor</t>
  </si>
  <si>
    <t>29, 25, 26, 34, 36, 43</t>
  </si>
  <si>
    <t>FEE_STRUCTURE (mode variable: floor_pct, cap_pct, min_margin_pct), PARTNER_RATE_VERSION per day, RATE_COMPARISON, APPROVAL (below-margin quote)</t>
  </si>
  <si>
    <t>bank</t>
  </si>
  <si>
    <t>Ali vehicle · bank · rail?</t>
  </si>
  <si>
    <t>in_per_out</t>
  </si>
  <si>
    <t>nearest_n · 1000 (on the INR collected)</t>
  </si>
  <si>
    <t>INR</t>
  </si>
  <si>
    <t>USD</t>
  </si>
  <si>
    <t>USD delivered to the receiver</t>
  </si>
  <si>
    <t>sheet row 29: USD 23,960.18 × 97.198 = INR 2,328,878, rounded to 2,329,000 — the simulation starts from the rounded INR, hence ≈ 1.25 USD more</t>
  </si>
  <si>
    <t>Floor and cap for the fee, and who may set it per transaction (the sheet says 'average 6 %, min margin 0.5 %').</t>
  </si>
  <si>
    <t>The sheet adds 7 % to the INR-per-USD rate (97.198 = 90.839 × 1.07). In out-per-in terms that is a 6.54 % deduction, not 7 % — the quote direction must be recorded as in_per_out for this pair.</t>
  </si>
  <si>
    <t>The INR amount is rounded to the nearest 1,000 on the collection side; the model rounds payouts, so this is a collection-amount convention to confirm (proposal F).</t>
  </si>
  <si>
    <t>P05 — Volume-tiered fee</t>
  </si>
  <si>
    <t>32, 33</t>
  </si>
  <si>
    <t>FEE_STRUCTURE + FEE_TIER (v5.3 proposal B), DEAL.fee_tier_id, sender monthly volume</t>
  </si>
  <si>
    <t>GDC</t>
  </si>
  <si>
    <t>Ali vehicle · wallet · TRC-20</t>
  </si>
  <si>
    <t>USD delivered</t>
  </si>
  <si>
    <t>sheet row 32: USD 84,482 + 2.5 % = USDT 86,594 (the sheet used a market rate of exactly 1.0)</t>
  </si>
  <si>
    <t>Tier table (v5.3 proposal B — FEE_TIER)</t>
  </si>
  <si>
    <t>Minimum monthly volume (USD)</t>
  </si>
  <si>
    <t>Fee %</t>
  </si>
  <si>
    <t>Rule</t>
  </si>
  <si>
    <t>sheet row 32</t>
  </si>
  <si>
    <t>sheet row 33</t>
  </si>
  <si>
    <t>Trailing-month volume of this sender (USD)</t>
  </si>
  <si>
    <t>Σ amount_in over the last 30 days — the engine has it; NPL to fill for the test</t>
  </si>
  <si>
    <t>Tier the engine would apply</t>
  </si>
  <si>
    <t>highest minimum ≤ volume; copy this into 'Fee total f' and 'Sender share s' above to re-run the simulation at the tiered fee</t>
  </si>
  <si>
    <t>Is the $500K threshold measured per calendar month or trailing 30 days, on collected or quoted amounts, per sender or for GDC as a whole?</t>
  </si>
  <si>
    <t>Does the lower tier apply to the transaction that crosses the threshold, or from the next one?</t>
  </si>
  <si>
    <t>Market rate used for USDT → USD (the sheet's arithmetic implies 1.0; the partner delivers at 0.996).</t>
  </si>
  <si>
    <t>P06 — Earnings shared with the client's own party</t>
  </si>
  <si>
    <t>16, 14</t>
  </si>
  <si>
    <t>INTRODUCER (= the client's party), REFERRAL_RULE (basis fixed_pct), REFERRAL_ACCRUAL, FEE_STRUCTURE, PARTNER_PAIR (market_plus_pct)</t>
  </si>
  <si>
    <t>BF-Raeen — Sub Account</t>
  </si>
  <si>
    <t>Raeen · 1.5 % of amount (half of the 3 % above the partner's 0.8 %… see note)</t>
  </si>
  <si>
    <t>AQUANOW</t>
  </si>
  <si>
    <t>EUR to the receiver</t>
  </si>
  <si>
    <t>sheet row 16: 50,000 × 0.8650036 × 0.96</t>
  </si>
  <si>
    <t>The sheet says the partner charges 0.8 % but lists partner cost 0.5 % with NPL margin 2 % and '3 % shared with Raeen equally'. The simulation uses m = 0.8 % and a 1.5 % share to Raeen; confirm the exact split of the 4 %.</t>
  </si>
  <si>
    <t>Is Raeen's share paid per deal, monthly, or netted against Raeen's own fees? (REFERRAL_ACCRUAL is per deal, paid from NPL's earnings.)</t>
  </si>
  <si>
    <t>Row 14 (direct from downlines): 0.2 % shared 75/25 → 0.15 % to Raeen. Same rule type, different percentage.</t>
  </si>
  <si>
    <t>P07 — Own-desk reseller (NPL converts, no partner)</t>
  </si>
  <si>
    <t>38, 39, 40, 41, 42</t>
  </si>
  <si>
    <t>OWN_WALLET (LT Sub) as collection endpoint, own-desk PARTNER_CONFIG (v5.3 proposal D), INVOICE + per-line discharge (proposal E), rounding up (proposal F), invariant 3</t>
  </si>
  <si>
    <t>Bala</t>
  </si>
  <si>
    <t>EZ-EVO (Samino) — vendor, paid in USDT</t>
  </si>
  <si>
    <t>USDT wallet (vendor)</t>
  </si>
  <si>
    <t>NPL own desk · wallet LT Sub (Aquanow) · TRC-20?</t>
  </si>
  <si>
    <t>NPL own desk (LT Sub)</t>
  </si>
  <si>
    <t>USDT → EUR (obligation in EUR, paid in USDT)</t>
  </si>
  <si>
    <t>round_up_unit · 1 (on the USDT collected)</t>
  </si>
  <si>
    <t>OWNDESK</t>
  </si>
  <si>
    <t>own_desk</t>
  </si>
  <si>
    <t>EUR invoice value covered by the collection</t>
  </si>
  <si>
    <t>sheet row 38: EUR 2,220 ÷ 0.8716 × 1.02 = USDT 2,598 → rounded up to 2,600, which covers ≈ EUR 2,221.8</t>
  </si>
  <si>
    <t>Vendor payment against the EUR invoice (v5.3 proposal E — INVOICE, DISBURSEMENT_LINE.obligation_discharged)</t>
  </si>
  <si>
    <t>Vendor invoice amount (EUR)</t>
  </si>
  <si>
    <t>sheet row 38, EZ-EVO (Samino)</t>
  </si>
  <si>
    <t>Market rate at payment (USDT per EUR)</t>
  </si>
  <si>
    <t>sheet row 38</t>
  </si>
  <si>
    <t>USDT paid to the vendor</t>
  </si>
  <si>
    <t>sheet says 1,550.55</t>
  </si>
  <si>
    <t>EUR discharged on the invoice</t>
  </si>
  <si>
    <t>DISBURSEMENT_LINE.obligation_discharged (proposal E)</t>
  </si>
  <si>
    <t>NPL's result on this flow (EUR)</t>
  </si>
  <si>
    <t>what the customer paid in EUR terms minus what the vendor was owed; the fee ± forex variance between collection and payment</t>
  </si>
  <si>
    <t>This flow holds client money in NPL's own wallet as a matter of course, which invariant 3 forbids outside a reroute. Confirm the business wants it modelled inside NPLify (proposal D, option i) or kept outside.</t>
  </si>
  <si>
    <t>Rounding up the USDT the customer pays (2,598 → 2,600) favours NPL by ≈ EUR 1.8: is that a deliberate convention (proposal F) or a convenience?</t>
  </si>
  <si>
    <t>The vendors are paid at the market rate of the payment day, in parts, over days: confirm the invoice-balance tracking is wanted (proposal E).</t>
  </si>
  <si>
    <t>Who is the sender for allow-list and attribution purposes: the reseller customer, or Bala?</t>
  </si>
  <si>
    <t>P08 — Cash in, partner converts to USDT, vendors paid in USDT</t>
  </si>
  <si>
    <t>37</t>
  </si>
  <si>
    <t>DEAL_GROUP with one forward leg (THB → USDT at Ali, cash collection), INVOICE obligation in EUR (proposal E), payout lines in USDT to several vendors with deal_id (D17) and discharge fields (proposal E)</t>
  </si>
  <si>
    <t>27 Group customer</t>
  </si>
  <si>
    <t>SACCO SIA, Mitratech, EZ-EVO, BraversPlay — vendors paid in USDT</t>
  </si>
  <si>
    <t>USDT wallets (vendors)</t>
  </si>
  <si>
    <t>cash</t>
  </si>
  <si>
    <t>none (cash) — instructions on the deal</t>
  </si>
  <si>
    <t>THB → USDT (customer promised EUR)</t>
  </si>
  <si>
    <t>nearest_n · 1000? (THB 12,813,449 → 12,813,000)</t>
  </si>
  <si>
    <t>THB</t>
  </si>
  <si>
    <t>EUR credited to the customer (advance payment)</t>
  </si>
  <si>
    <t>sheet row 37: THB 17,000,000 × 0.02542745 — the sheet deducts 2 % from the EUR-per-THB rate (out_per_in); quoting in_per_out instead would give 432,439</t>
  </si>
  <si>
    <t>Leg 1 at the partner: THB → USDT (what Ali delivers)</t>
  </si>
  <si>
    <t>Market THB per USDT</t>
  </si>
  <si>
    <t>sheet row 37 (1 ÷ 0.02975)</t>
  </si>
  <si>
    <t>Ali's rate THB per USDT</t>
  </si>
  <si>
    <t>sheet row 37 (agent fee 0.64 %)</t>
  </si>
  <si>
    <t>USDT delivered</t>
  </si>
  <si>
    <t>sheet says 502,513</t>
  </si>
  <si>
    <t>Partner cost %</t>
  </si>
  <si>
    <t>inferred from the rate comparison</t>
  </si>
  <si>
    <t>EUR value of the USDT at the EUR/USDT market</t>
  </si>
  <si>
    <t>NPL: EUR/USDT market rate on the day × USDT delivered — needed to show NPL's margin against the EUR 432,267 promised</t>
  </si>
  <si>
    <t>NPL margin in EUR (if filled)</t>
  </si>
  <si>
    <t>should be ≈ 2 % − 0.64 % of the collection; the sheet expects a minimum of 0.5 %</t>
  </si>
  <si>
    <t>The customer is promised EUR but pays THB and the partner delivers USDT: the EUR figure is an obligation, not a currency that ever moves. Confirm proposal E (invoice obligation + per-line discharge) is the intended model.</t>
  </si>
  <si>
    <t>Cash THB: which rounding unit applies to the collected amount (the balance clearance rounds THB 12,813,449 to 12,813,000)?</t>
  </si>
  <si>
    <t>Which vendor is paid from which collection, and at which day's EUR/USDT market rate — this is the per-line discharge record.</t>
  </si>
  <si>
    <t>P09 — Withdrawal (bank in, crypto out)</t>
  </si>
  <si>
    <t>20</t>
  </si>
  <si>
    <t>CURRENCY_PAIR GBP → USDT, COLLECTION_RECEIVING_ENDPOINT (kind bank, rail), RECEIVING_ENTITY_ACCOUNT (kind wallet, D14), SETTLEMENT_REGISTRATION with network + address (D16)</t>
  </si>
  <si>
    <t>BF-Withdrawal</t>
  </si>
  <si>
    <t>USDT · TRC-20 · wallet</t>
  </si>
  <si>
    <t>Jeton vehicle · bank · rail?</t>
  </si>
  <si>
    <t>GBP → USDT (also EUR → USDT)</t>
  </si>
  <si>
    <t>GBP</t>
  </si>
  <si>
    <t>USDT to the client's wallet</t>
  </si>
  <si>
    <t>sheet row 20: GBP 51,000 ÷ 0.72739556 × 0.99</t>
  </si>
  <si>
    <t>The sheet says the fee 'is not fixed … but we have charged 1 % in most recent transactions': fixed at 1 %, or variable with a floor?</t>
  </si>
  <si>
    <t>Jeton's bank-in endpoint for GBP and EUR (vehicle, rail — a bank endpoint cannot be activated without its rail, D18).</t>
  </si>
  <si>
    <t>The payout destination is a wallet: its registration with Jeton carries network + address (D16).</t>
  </si>
  <si>
    <t>P10 — Cash collection in an exotic currency</t>
  </si>
  <si>
    <t>45, 28</t>
  </si>
  <si>
    <t>DEAL.collection_method = cash, CURRENCY_PAIR.cash_rounding_unit, PARTNER_PAIR (disclosed_rate), FEE_STRUCTURE (basis partner)</t>
  </si>
  <si>
    <t>INR → USD (also SGD, USDT)</t>
  </si>
  <si>
    <t>cash_rounding_unit · 1000?</t>
  </si>
  <si>
    <t>sheet row 45: INR 8,500,000 ÷ 79.529 — the sheet's arithmetic carries no NPL fee, so the simulation runs with s = 0; if the 0.5 % is NPL's fee on top, set s = 0.5 % and the USD falls by ≈ 534</t>
  </si>
  <si>
    <t>The sheet lists total fee 0.5 %, partner cost 5.5–7.5 % and NPL margin 0 %: is the 0.5 % NPL's fee on top of the agent rate, or the agent's? The simulation needs the true market rate (yellow) to show the partner's cost.</t>
  </si>
  <si>
    <t>Cash rounding unit for INR and for AED/USD cash in Dubai (row 28, dormant).</t>
  </si>
  <si>
    <t>P11 — Zero-fee internal collection</t>
  </si>
  <si>
    <t>47, 46</t>
  </si>
  <si>
    <t>FEE_STRUCTURE with pct 0 and min_margin_pct 0 (or a FEE_OVERRIDE at 0 %), PARTNER_PAIR (disclosed_rate)</t>
  </si>
  <si>
    <t>AK (internal stakeholder)</t>
  </si>
  <si>
    <t>USDT → USD (also SGD)</t>
  </si>
  <si>
    <t>sheet row 47: USDT 10,000 × 0.996</t>
  </si>
  <si>
    <t>A 0 % structure with a 0 % minimum margin means every quote passes the margin check; confirm that is intended for internal stakeholder flows rather than a per-deal Finance approval.</t>
  </si>
  <si>
    <t>INR variant (row 46): INR 8,735,000 ÷ 100.80 — which pair and partner rate version?</t>
  </si>
  <si>
    <t>P12 — Same-currency bank pass-through</t>
  </si>
  <si>
    <t>27</t>
  </si>
  <si>
    <t>CURRENCY_PAIR with from = to (rate 1), FEE_STRUCTURE 1.4 % + 1.4 %, bank-in endpoint, SETTLEMENT_RAIL; dormant product</t>
  </si>
  <si>
    <t>Evolution (receiver side pays 1.4 %)</t>
  </si>
  <si>
    <t>EUR → EUR (also USD → EUR, GBP → EUR)</t>
  </si>
  <si>
    <t>EUR delivered after both shares (no sheet example)</t>
  </si>
  <si>
    <t>100,000 × 0.986 × 0.986 — illustrative; the sheet has no worked example and the pair has not run for years</t>
  </si>
  <si>
    <t>Confirm whether same-currency pass-through should remain in scope; if yes, the pair validation must allow from = to.</t>
  </si>
  <si>
    <t>Partner cost and rail for EUR bank-in at Ali (no recent data in the sheet).</t>
  </si>
  <si>
    <t>Seven</t>
  </si>
  <si>
    <t>BF</t>
  </si>
  <si>
    <t>EUR via SWIFT</t>
  </si>
  <si>
    <t xml:space="preserve">Jeton vehicle · wallet · TRC-20 
Jeton vehicle · wallet · ERC-20 (both options exist) </t>
  </si>
  <si>
    <t>NA</t>
  </si>
  <si>
    <t>NA in case of Jeton</t>
  </si>
  <si>
    <t>Yes - NPL commissions stay with Jeton and cleared separately every month.</t>
  </si>
  <si>
    <t>Seven Investments N.V.</t>
  </si>
  <si>
    <t>This is an approved Bank route (not sure what to fill here)</t>
  </si>
  <si>
    <t>Answer: Jeton deducts the full 1% and only pays back the 0.4% accumulated monthly.</t>
  </si>
  <si>
    <t>Answer: Jeton receives the funds as USDT (in their wallet) - both erc and trc options are available</t>
  </si>
  <si>
    <t>In these deals for BF Customers, the only margin is 0.4% which is paid back by Jeton monthly.</t>
  </si>
  <si>
    <t>PT Sukses</t>
  </si>
  <si>
    <t>unclear</t>
  </si>
  <si>
    <t>displayed fee is 1% to the customer (sender)</t>
  </si>
  <si>
    <t>0.8519338899301414 (1 ÷ 1.1738). Note that sometimes Ali gives the rates as 1.1738 which is the reverse way of sharing the rate, as such we have to reverse it by 1/reverse_rate to get the actual rate in the correct direction.</t>
  </si>
  <si>
    <t>Answer: confirmed Ali's rate turns out to be 0.851934</t>
  </si>
  <si>
    <t>Answer: 1% displayed rule is for this project only. In the future the fee structure may change - instead of manually recomputing, we may change it to partner rate +/- x% fee</t>
  </si>
  <si>
    <t>Answer: the market rate for this transaction was 0.86050. on that day Ali had initially quoted 1.1748 and it was later reduced to 1.1738 which was more acceptable</t>
  </si>
  <si>
    <t>BCI</t>
  </si>
  <si>
    <t>Bplay</t>
  </si>
  <si>
    <t>Bplay (receiver side pays 0.6 %)</t>
  </si>
  <si>
    <t>unclear, but this is an approved bank account</t>
  </si>
  <si>
    <t>customer facing calculation - Please be informed that the USDT transfer has been marked as received. You may refer to the rate below:
USDT &gt; EUR Rate = 0.876531640478
USDT 29,325 = EUR 25,704</t>
  </si>
  <si>
    <t>yes receiver part is fixed at 0.6% for all senders.</t>
  </si>
  <si>
    <t>its fine, this was a simulated computation for Ali (actual transfer was sent to Jeton in this case, but for the example we are assuming its Ali).</t>
  </si>
  <si>
    <t>Jeton charges 1.25% overall (and from that 0.4% is given back later (accumulated monthly)</t>
  </si>
  <si>
    <t>66 Group</t>
  </si>
  <si>
    <t>AK Personal</t>
  </si>
  <si>
    <t>Cash</t>
  </si>
  <si>
    <t>Autotroph Ltd</t>
  </si>
  <si>
    <t>USD via SWIFT</t>
  </si>
  <si>
    <t>INR is almost always collected via cash. In case INR accounts (local bank accounts are required, these are given on demand for a specific transaction and they are not retained indefinitely)</t>
  </si>
  <si>
    <t>Here is the actual calculation:</t>
  </si>
  <si>
    <t>USD&gt;&gt;INR
XE Market Rate: 90.83911443
Fee: 7.00%
Final Rate: 97.19785244
USD 23,960.18 x 97.1978524401 = INR 2,328,878.04
--- Rounded off to INR 2,329,000
===
Ali's INR&gt;USDT rate:
INR 2,329,000 / 95.57 = USDT 24,369.57
--- Rounded off to USDT 24,370
===
USDT&gt;&gt;USD Ali Rate:
USDT 24,056 x 0.996 = USD 23,960.18
===
Earnings:
To receive: USDT 24,370
Cost: USDT 24,056
Difference: USDT 314 (Gain)</t>
  </si>
  <si>
    <t>Market Rate: 90.83911443
Fee: 7.00%
Final Rate: 97.19785244
USD 23,960.18 x 97.1978524401 = INR 2,328,878.04
--- Rounded off to INR 2,329,000</t>
  </si>
  <si>
    <t>PT Global</t>
  </si>
  <si>
    <t>approved</t>
  </si>
  <si>
    <t>INR cash collection for 66 Group shouldn't match with these rows which are from different project</t>
  </si>
  <si>
    <t>ADFUSION MARKETING FZ LLC</t>
  </si>
  <si>
    <t>Adfusion</t>
  </si>
  <si>
    <t>since Ali's cost is 0.4%, 2.50 or 2.25-0.4 = 1.8% min</t>
  </si>
  <si>
    <t>Kindly refer below for the computation:
ADFUSION MARKETING FZ LLC
USD 84,482.00 + 2.5% = USDT 86,594</t>
  </si>
  <si>
    <t>NA for Ali</t>
  </si>
  <si>
    <t>New Pinnacle Ltd (NPL's own entity is used for this client's contracts)</t>
  </si>
  <si>
    <t>approved.</t>
  </si>
  <si>
    <t>the sum should be based on calendar month only (not last 30 days rolling)</t>
  </si>
  <si>
    <t>BSNV-Sub</t>
  </si>
  <si>
    <t>EUR via Internal transfer (this transfer is handled by AQN which receives crypto, converts it to EUR and transfers to the final receiver's account within the same platform)</t>
  </si>
  <si>
    <t>Aquanow vehicle · wallet · TRC-20 (ERC20 wallet also available)</t>
  </si>
  <si>
    <t>customer (sender) facing calculation:
For USDT 50,000:
Rate: 0.8650036
Fee: 4%
Amount: EUR 41,520.17</t>
  </si>
  <si>
    <t>yes rebate from Raeen</t>
  </si>
  <si>
    <t>Raeen</t>
  </si>
  <si>
    <t>3.2% shared equally</t>
  </si>
  <si>
    <t>Answer: sheet needs to be corrected.</t>
  </si>
  <si>
    <t>since the funds sit with Raeen's account in AQN they pay it monthly</t>
  </si>
  <si>
    <t>For BF project:</t>
  </si>
  <si>
    <t>Typically: Senders fund their own accounts with BF (Betfair). They themselves send the funds (collection) and the final destination of the funds is Betfair (via bank transfer) into their own accounts with BF</t>
  </si>
  <si>
    <t>In case of Sub Accounts: Senders get a sub account from another customer. So they fund these accounts at a premium. NPL works out an arrangement with the customer providing the sub account to share the margin from the collections. As such, the sender facing rate is higher than what it actually costs to remit the funds. 
For Raeen (which offers sub accounts to BSNV-Sub, we charge the actual sender (BSNV-Sub) 4% and the cost of the remittance is 0.8% via Aquanow. So, the remaining is shared between Raeen and NPL equally (in this case, AQN account belonging to Raeen receivs the USDT, so the earning share is passed on as a rebate)
In case of Raeen (for the standard flow, they collect funds from their downlines (instead of funding on their own), as such, they NPL applies a markup in the sender facing calculation - ie 1% whereas the cost of sending the funds via Aquanow is 0.8%. This arrangement is only applicable for Aquanow because the cost of sending the funds is less than 1%. however if they did it via Ali or Jeton, then the actual cost is already be 1% so there is no room for markup.
Also note that AQN is a new channel for these customers (where NPL helps them onboard and get an account directly). NPL then only has to faciliate the collection (i.e. share the collection wallet, confirming the funds have been received), everything else happens within the platform, including the conversion. The calculation summary is shared with the sender (typical flow) but there is no need to compare rates, etc. because there is no markup, etc. applied and the calculation is also visible inside sender/customer's Aqn account. The flow remains the same, but certain actions don't need to happen (like rate comparison, markup, approval, etc.)</t>
  </si>
  <si>
    <t xml:space="preserve">USDT </t>
  </si>
  <si>
    <t>EUR&gt;&gt;USDT
Market Rate: 1.14731528223956 (1 ÷ 0.8716)
Fee: 2%
Final Rate: 1.17026158788435
EUR 2,220 x 1.17026158788435 = USDT 2,597.98
--- Round-up to USDT 2,600</t>
  </si>
  <si>
    <t xml:space="preserve">Technically for game reseller, NPL is the client (we can imagine another business unit of NPL as the client if it makes it easier - e.g. NPLGR. </t>
  </si>
  <si>
    <t>Yes we round it up when possible.</t>
  </si>
  <si>
    <t>yes good to have.</t>
  </si>
  <si>
    <t>Bala is the reseller customer. So the allow list will be Sender (=Bala) -&gt; Receiver (NPL or NPL-GR)</t>
  </si>
  <si>
    <t>see the customer-facing calculation above</t>
  </si>
  <si>
    <t>Since NPL (or NPL-GR) takes the USDT, the earnings move to NPL's side. Nothing remains with the partner.</t>
  </si>
  <si>
    <t>sender-facing calculation
Market Rate: 0.0259463782412186
Fee: 2%
Updated Rate: 0.02542745
THB 17,000,000 x 0.02542745 = EUR 432,266.66
--- Rounded off to EUR 432,267</t>
  </si>
  <si>
    <t>partner rate used is THB&gt;USDT = 
THB 17,000,000 / 33.83 = USDT 502,513</t>
  </si>
  <si>
    <t xml:space="preserve">we should round up to nearest 1000. typically for asian currencies the round up to nearest 1000, but for high value currencies like USD, SGD or HKD, etc. nearest will be to the tens place or nearest 50. </t>
  </si>
  <si>
    <t>at collection time = 0.8708
at final payment = 0.87527</t>
  </si>
  <si>
    <t>Different vendors are paid on different days. As such there could be some forex gain/loss that can happen.</t>
  </si>
  <si>
    <t>Yes customer is given the THB equivalent calculation for their EUR invoice payment. Essentially from customer's standpoint they are paying the eur invoice in THB. The partner is asked to take the THB and convert it to USDT as subsequent payment happens in USDT.</t>
  </si>
  <si>
    <t>Applicable BF customer's  USDT wallet (counterparty receiver, wallet account)</t>
  </si>
  <si>
    <t>rebate yes</t>
  </si>
  <si>
    <t>fixed at 1% for BF withdrawal transactions via Jeton (for other partners e.g. Aquanow it might be different. Aquanow currently doesn't allow withdrawals from BF to its customers (but may allow in the future)</t>
  </si>
  <si>
    <t>Jeton is the entity and its bank account is SWIFT.</t>
  </si>
  <si>
    <t>yes the recipients will have both ERC and TRC wallets</t>
  </si>
  <si>
    <t>Jonas</t>
  </si>
  <si>
    <t>Projects</t>
  </si>
  <si>
    <t>Context</t>
  </si>
  <si>
    <t>The below projects are just based on what NPL uses today</t>
  </si>
  <si>
    <t>BF withdrawal</t>
  </si>
  <si>
    <t>BF Sub (e.g. Raeen Sub type of cases</t>
  </si>
  <si>
    <t>Evo</t>
  </si>
  <si>
    <t>Game Reseller</t>
  </si>
  <si>
    <t>YN Remit</t>
  </si>
  <si>
    <t>Peru Remittance</t>
  </si>
  <si>
    <t>Category</t>
  </si>
  <si>
    <t>BF project is where the senders are customers of Betfair and they need to fund their own accounts with Betfair. These senders typically would send USDT which needs to be converted to EUR and sent to BF's receiving bank account. The collection methods are - USDT (but few years ago the collections also happened via INR cash and THB cash). For now its USDT only and additional currency pairs will be enabled if needed. The fund coversion is USDT to EUR. EUR gets sent to BF's receiving account (called Sporting Exchange). 
In case of Raeen (for the standard flow), they collect funds from their downlines (instead of funding on their own), as such, they NPL applies a markup in the sender facing calculation - ie 1% whereas the cost of sending the funds via Aquanow is 0.8%. This arrangement is only applicable for Aquanow because the cost of sending the funds is less than 1%. however if they did it via Ali or Jeton, then the actual cost is already be 1% so there is no room for markup.
Partners - 
NPL uses Jeton (although currently inactive), Ali and Aquanow. Aquanow is the most preferred partner right now (all transactions are happening via Aquanow currently) because they have the lowest fee for the customers. The process is also much faster as both the customers and BF has accounts within Aquanow platform and thus the EUR payment happens as an internal transfer within the platform, which is instantly recognized by BF. In contrast, a transfer from Ali's route (SWIFT) may take 1-2 days. 
Fee structure - 
for Jeton, the fee structure was straightforward i.e. Jeton applies 1% fee for most senders (for Novi the fee was 0.9%) and there is an arrangement that Jeton will pay NPL 0.4% for each transaction given as rebate (i.e. the earnings for NPL)
for Ali, NPL been calculating a revised base rate to match Jeton's 1% fee but still generate 0.3% to 0.4% margin. this is because Ali's rates are higher, so effectively the total fee applicable (against market rate) ends up around 1.5%.
for Aquanow, they charge a flat 0.8% (with 0.3% rebate for NPL, paid monthly)</t>
  </si>
  <si>
    <t>In case of Sub Accounts (also BF) Senders get a sub account from another customer. So they fund these accounts at a premium. NPL works out an arrangement with the customer providing the sub account to share the margin from the collections. As such, the sender facing rate is higher than what it actually costs to remit the funds. 
Partners - 
NPL will utilize either Aquanow or Ali for BF Sub type of transactions.
If its Ali, then the bank transfer is sent to BF under the narrative of the actual customer who is providing the sub accounts (e.g. Raeen). once the funds are received at Betfair, they are allocated into the sub account by the customer (ie Raeen)
If its Aquanow, then the funds go into Raeen's aquanow account and they allocate the funds into the sub account accordingly.
Fee structure - 
The sender collection computation will be similar for both Ali and Aquanow
first deduct the markup % from the sent amount 
then get the rest converted as per partner rate
then for customer, recompute using the converted EUR value.
if this was done via Aquanow, for a USDT 50K transfer, the actual amount being converted would be 48,500 (i.e. minus 3%) which yielded 48,500 x 0.856086 = EUR 41,520.71. So then for the customer, the calculation is reversed to show 50,000 x new_rate = EUR 41,520.71</t>
  </si>
  <si>
    <t xml:space="preserve">BF Withdrawal project is where the BF customers take funds back from their BF accounts. In this case BF sends the bank transfer to the partner that can receive bank transfer on behalf of the customer. Currently only partner that can do this is Jeton. The process is that customer requests BF to initiate the withdrawal to the Jeton provided bank account. NPL is notified that the transfer is initiated (and occasionally they may provide a transfer slip - mostly they dont). When Jeton receives the incoming wire transfer, they notify NPL. NPL then asks for the amount to be converted to USDT (Jeton applies their 1% fee over market rate) and the USDT is subsequently sent to the customer. </t>
  </si>
  <si>
    <t xml:space="preserve">Evo has multiple senders and 2 receiver groups - Bplay and Tbet. 
Bplay has 3 receiving entities:
-- Babylon (sending narrative is Bplay paying Babylon - invoice reference)
-- Bplay (sending narrative is Bplay transferring from its account with partner to its own bank account - self transfer)
-- Lex (sending narrative is Bplay transferring from its account with partner to its subsidiary - self transfer)
TBet has 1 receiving entity:
-- TBet (sending narrative is Tbet transferring from its account with partner to its own bank account - self transfer)
Senders are designated per group - i.e. some senders will belong to Bplay group and some will belong to TBet group. Senders are essentially customers of Evo and are paying their invoices to Evo. Some senders may pay what they can (collect-convert) and others pay exact invoice value (quote-collect-convert)
Partners:
Ali - can send to Babylon and TBet (SWIFT transfers). Ali can collect USDT as well as other currencies.
Jeton - can send to Bplay, Lex (not being used currently) and TBet. Jeton can only collect USDT
Fee Structure:
All conversions are done into EUR.
- Most collections are in USDT - where standard fee structure is sender 1.4% and receiver 0.6%. both sides of the calculation are applied at the time of conversion (a few senders have a discounted "sender" rate of 1%). The sender only sees the sender rate &amp; sender-facing calculation. If the collection is done via Ali, then rate comparison is done in the morning and anything before 2.30pm GMT+8 can be converted instantly. For collections initiated after 2.30pm GMT+8 Ali can't lock in the rate and thus, the collection is done and the sender-facing calculation is done as per the original approach, however the actual conversion only happens on the next business day. 
- for other currencies, the rate is taken from Ali in the morning and the deal is confirmed before 2.30pm GMT+8. the sender is required to complete the transfer during the day and the conversion is done once the collection is indicated as completed. The 2.30pm gmt+8 is essentially a bank cutoff where any currency pair that is dependent on the banking channel has to be locked in (since in Evo's case all conversions are to EUR, this condition is enforced). Even if the transaction happens later in the day, as long as the rate / deal is locked with the partner, the transaction can be converted on that day's Partner rate). </t>
  </si>
  <si>
    <t>JTN-JPY Cash</t>
  </si>
  <si>
    <t>JTN-JPY cash is where JTN sends USDT to Ali (NPL faciliates) and USDT is converted to JPY cash and handed over to them. So the sender and receiver are essentially the same party (we can just use the same names in both fields). The rate for the day is taken from Ali, compared, and then quoted with a variable markup. the markup differs based on how high or low the partner rate is. There is a max markup of 0.5%. Generally, the total fee = agent fee + 0.2% to 0.5% is between 1% to 1.8%</t>
  </si>
  <si>
    <t>YN Group has multiple third party invoice payments that they ask for NPL's help with. Usually they will have a clear sending entity and receiving entity relationship including the invoice that needs to be paid + KYC of the sending entity that can be onboarded on to Ali's PT channels. Once the route is reviewed and approved based on the provided documentation, NPL faciliates the collection based on quote first approach (the fee used is partner rate + 0.5% markup) - YN sends the required USDT to cover the invoice value to be transferred via bank transfer.
The common currency pairs are USDT&gt;USD, USDT&gt;EUR, USDT&gt;GBP
When sending the outgoing bank transfer (settlement), the sending entity and receiving entity are defined as per the invoice and KYC. Occassionally NPL's own entity may be used as a declared sender (if a route was not possible using the actual documentation).</t>
  </si>
  <si>
    <t xml:space="preserve">GDC needs to convert USDT to USD and wants the funds in their bank account. Similar to JTN-JPY Cash, the sender and receiver are the same. However GDC has multiple receiving entities and they specify how much needs to be sent to which receiving account.
few of the receiving entity accounts they use are:
- Adu Ads
- Ad Fusion
- TDC
- Pixel Labs
The process is straightforward - i.e. they specify the amount they need to transfer to receiver (bank transfer). Based on that NPL quotes the USDT value (USD-USDT rate is considered as 1:1 + 2.5% fee). The Fee is lowered to 2.25% if their monthly processing volume is more than USD 500,000 (as per calendar month). Their usual monthly volumes are less than 200k, but they have hit the 500K limit once few months ago. </t>
  </si>
  <si>
    <t>Game reseller is where NPL resells games to different customers (gets wholesale rate from vendors and sells at retail - thus an arbitrage play). From remittance standpoint, NPL needs to collect its invoice receivables from its customers, so that it can pay its vendors.
Partners:
Ali only (for THB cash), otherwise USDT collections happen directly into NPL's own wallet. Occassionally NPL can receive the USDT into Ali's wallet for holding (from the system standpoint, this wallet from Ali, in this case, can be considered as NPL's wallet). 
Fee structure:
For one customer (27 Group), they pay via THB cash, so in this case theTHB needs to be collected by Ali. Customer always pays based on an EUR value (either against an invoice or advance against a future invoice). As such, the customer is given a EUR&gt;THB rate (based on market rate + 2% markup). Consideration for this is that Ali will be required to convert the THB to USDT and that rate should be below 1.5% of market rate - this is to make sure NPL has a 0.5% margin (minimum). If Ali's rate is not acceptable, no collection will be arranged. Once the collection and subsequent conversion happens. the USDT is either moved to NPL's wallet or kept with Ali (NPL-as-a-client's balance). 
For all other customers, they pay in USDT itself, so they are given EUR&gt;USDT calculation and the USDT amount is collected by NPL.
After USDT accumulates in NPL's wallet, the funds are used to pay the vendors (different days).  Please note that the market rate for EUR&gt;USDT used at the time of collection (i.e. collecting USDT equivalent to the EUR invoice value) may have a positive/negative movement to the USDT&gt;EUR rate at the time of actual vendor invoice payment. While NPL's is collecting the EUR value based on retail invoice and paying vendor based on wholesale invoice value, the forex gain/loss from rate variance shouldn't eat into the reseller revenue. This is why the markup of 2% is charged on all collections. The 2% remittance markup needs to handle the forex variance without losing reseller revenue. 
There is a possibility that one of these customers may choose to pay in INR (cash). In such a scenario, the process will be same as THB Cash.</t>
  </si>
  <si>
    <t xml:space="preserve">AK personal is the account of one of the NPL stakeholder. This account is operated with Ali and while collection &amp; conversions happen normally the settlement is not done immediately. The balance simply sits with the partner (the balance holding threshold is refreshed/updated from time to time - but for the time being we can assume it to USD 400K equivalent). While the balances sit in the account, the stakeholder may request different payments/withdrawals (via local bank payment, SWIFT bank transfers, USDT transfers or cash withdrawals). There is no markup on these transactions, so the conversion simply happens as per the partner rate.
Also the currencies in which the balance is maintained (currently) are USD, SGD, USDT, however may change in the future. 
The USD, SGD conversion are dependent on bank cutoff as these are banking-ready balances. So if a collection of 10K USDT happens at night and it needs to be converted to SGD, the conversion will only happen next business day morning. </t>
  </si>
  <si>
    <t>66 Group sometimes requires their invoices to be paid in different currencies - exactly similar to YN Remit. However sometimes they may do the collections payment in INR (cash)</t>
  </si>
  <si>
    <t xml:space="preserve">Peru Remittance is a project where the client sends bank transfers to Ali's receiving entity (a production company in Indonesia - PT Silver Lining Production) and the amounts are subsequently converted to USDT. Ali's rate for this specific remittance USD&gt;USDT is 3% and NPL applies a 1% markup so total fee applied to the the client is 4%. </t>
  </si>
  <si>
    <t>With Ali:</t>
  </si>
  <si>
    <t>Bank Transfer (International - SWIFT, maybe SEPA in the future)</t>
  </si>
  <si>
    <t>Local Bank deposit/payment</t>
  </si>
  <si>
    <t>With Jeton:</t>
  </si>
  <si>
    <t>Bank Transfer (International - SWIFT/SEPA)</t>
  </si>
  <si>
    <t>Following Payment methods are possible (current)</t>
  </si>
  <si>
    <t>Process</t>
  </si>
  <si>
    <t>Methods</t>
  </si>
  <si>
    <t>Collection:
1. NPL asks the sender to declare their sending wallet.
2. NPL team does a screening of the source wallet
3. If the wallet risk profile is acceptable they share the appropriate partner's receiving wallet (where the collection will happen) with the sender. If the risk profile is high (but can still be accepted, there are alternate receiving wallets where the funds are sent. If the risk profile is not acceptable, then the sender is requested to arrange a different wallet. 
4. the sender sends the transfer and shares the Tx hash
5. NPL team verifies the Tx Hash on the blockchain (tronscan or etherscan)
6. if the funds are shown as confirmed on blockchain, the hash is shared with the partner
7. Partner confirms the funds are received. 
Note - for Evo, the upfront sender wallet screening is not done across all senders (as not all of them are okay with the friction).
Note - for settlement, NPL verifies the receiver's wallet and screens it and then proceeds to get the partner to execute the settlement transfer. Once the partner provides the hash, it is shared with the receiver and once the receiver confirms that the funds are received, the process is considered as completed.</t>
  </si>
  <si>
    <t>Same as above</t>
  </si>
  <si>
    <t xml:space="preserve">For Collection:
1. NPL gets the sender's bank account and company profile (company name, address, nature of business) and asks the partner for a receiving account. NPL also asks for additional KYC docs if the partner requires it.
2. If the partner approves the sender and arranges a collection receiving account, then the details are shared with the sender.
3. Sender executes the transfer and shares the proof of transfer with NPL team.
4. NPL team then shares the transfer proof/slip with the partner
5. once the partner gets the incoming transfer, they confirm with NPL team.
6. Based on the currency pair/conversion flow agreed with the sender prior to the transfer, NPL then asks the partner to convert the funds received via bank transfer. 
7. converted value is now available for settlement.
For Settlement:
1. NPL gets the receiver's bank details and company profile + additional KYC if needed. 
2. The partner confirms whether they can send to this destination or not and which route will be utilized. 
3. If the settlement bank details are approved, then the collection is initiated.
4. Once the collection has been completed, the settlement bank transfer is initiated.
5. The partner shares the transfer slip with NPL team.
6. NPL team shares this transfer slip with the client/receiver
7. Once the client/receiver confirms that the bank transfer has been received, the process is marked as complete. Occasionnaly the client/receiver will ask for the fees in the bank transfer to be covered (which will be accepted on special cases)
8. If the receiver doesn't receive the bank transfer, NPL team will ask partner to inquire with the banking channel (e.g. PT Sukses, PT Global). 
9. If the transfer gets returned to sender (i.e. back to the partner), NPL team will coordinate the follow up - either resend, use returned funds for another transfer or reconvert/return the funds to original sender/client. </t>
  </si>
  <si>
    <t xml:space="preserve">1. NPL shares the rate from the partner with the sender by afternoon HK time (depending on whether the conversion type involves bank route, this will likely happen before the 2.30pm GMT+8 cutoff time)
2. once the rate is confirmed by sender, NPL arranges the cash collection. This is done in the form of a "token" (a token is a local currency bill and the receiving party shares the serial number of the token and their contact details in advance)
3. NPL gets the token # + contact details of the receiving agent (from the partner) and shares it with sender.
4. Sender's point of contact communicates with the receiving agent and figures out the location/meeting time
5. at the meet, the receiving agent shows the token (since every currency bill has a unique serial #, this verifies that the receiving agent is the right person). 
6. the sender then gives the cash to the receiving agent. The receiving agent hands over the token as a proof of collection.
7. since the sender now has the physical token, they share a photo of the token with NPL team.
8. NPL team shares the token photo with the partner to close the loop.
9. once they count the funds, the partner confirms with NPL that the funds are accounted for. after this NPL arranges the settlement.
Note - the process for cash collection and cash settlement are exactly same, just that the sender and receiver roles are switched. 
For Cash collection/settlement, the general location needs to be known before the token can be arranged. The rates may also vary based on location. For eg. INR collection via Cash in Delhi vs. Mumbai will mean 2 different rates. USD cash in Bangkok vs. Singapore will equally be handled by different local agents, different rates, etc. </t>
  </si>
  <si>
    <t>For collection:
Local bank account deposits utilize ad hoc accounts arranged by the partner. These are not meant to be used perpetually and typically one time use only. 
1. NPL gets the local deposit bank details from the partner
2. NPL shares the local bank account (name, account number, bank name and specific amount to be deposited) with the sender
3. sender makes the payment (either deposit in the branch phyically or local online transfer)
4. sender than shares proof of the transfer/deposit/payment
5. NPL shares this proof of transfer/deposit/payment with the partner. 
6. Partner then confirms whether the funds have been recognized.
7. If there is any follow up issue with the transfer, e.g. the receiving account was frozen by the bank - then the partner will require the sender to confirm if their account is still functional (meaning they didn;t cause the freeze). If such a case happens and the receiver looses the funds due to sender's issue, then this will act as a reversal of collection. 
For settlement:
1. the receiver shares their local bank account (provided the partner confirms this option is possible and in which country it needs to be done). Usually local account payments (settlements) for small amounts are accepted for SG, HK, Indonesia, Thailand, etc. 
2. the NPL team shares the payment instructions (name, account number, bank, amount) with the partner.
3. Partner makes the payment and shares the proof (usually this is via cash deposits or in some cases bank to bank local online transfer)
4. Receiver confirms they received the funds. transaction is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</si>
</sst>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9" x14ac:knownFonts="1">
    <font>
      <sz val="11"/>
      <color theme="1"/>
      <name val="Calibri"/>
      <family val="2"/>
      <charset val="1"/>
    </font>
    <font>
      <sz val="10"/>
      <name val="Arial"/>
      <family val="2"/>
    </font>
    <font>
      <b/>
      <sz val="13"/>
      <color rgb="FF2F5D9E"/>
      <name val="Arial"/>
      <family val="2"/>
    </font>
    <font>
      <b/>
      <sz val="10"/>
      <name val="Arial"/>
      <family val="2"/>
    </font>
    <font>
      <sz val="10"/>
      <name val="Arial"/>
      <family val="2"/>
    </font>
    <font>
      <sz val="10"/>
      <color rgb="FF0000FF"/>
      <name val="Arial"/>
      <family val="2"/>
    </font>
    <font>
      <b/>
      <sz val="11"/>
      <color rgb="FF2F5D9E"/>
      <name val="Arial"/>
      <family val="2"/>
    </font>
    <font>
      <i/>
      <sz val="9"/>
      <color rgb="FF555555"/>
      <name val="Arial"/>
      <family val="2"/>
    </font>
    <font>
      <u/>
      <sz val="11"/>
      <color theme="1"/>
      <name val="Calibri"/>
      <family val="2"/>
      <charset val="1"/>
    </font>
  </fonts>
  <fills count="6">
    <fill>
      <patternFill patternType="none"/>
    </fill>
    <fill>
      <patternFill patternType="gray125"/>
    </fill>
    <fill>
      <patternFill patternType="solid">
        <fgColor rgb="FFFFFF00"/>
        <bgColor rgb="FFFFFF00"/>
      </patternFill>
    </fill>
    <fill>
      <patternFill patternType="solid">
        <fgColor rgb="FFE8EEF7"/>
        <bgColor rgb="FFF3F6FB"/>
      </patternFill>
    </fill>
    <fill>
      <patternFill patternType="solid">
        <fgColor rgb="FFF3F6FB"/>
        <bgColor rgb="FFE8EEF7"/>
      </patternFill>
    </fill>
    <fill>
      <patternFill patternType="solid">
        <fgColor rgb="FFFFFF00"/>
        <bgColor indexed="64"/>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51">
    <xf numFmtId="0" fontId="0" fillId="0" borderId="0" xfId="0"/>
    <xf numFmtId="0" fontId="4" fillId="0" borderId="0" xfId="0" applyFont="1" applyAlignment="1">
      <alignment vertical="top" wrapText="1"/>
    </xf>
    <xf numFmtId="0" fontId="2" fillId="0" borderId="0" xfId="0" applyFont="1"/>
    <xf numFmtId="0" fontId="3"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xf numFmtId="0" fontId="4" fillId="2" borderId="1" xfId="0" applyFont="1" applyFill="1" applyBorder="1"/>
    <xf numFmtId="0" fontId="4" fillId="0" borderId="1" xfId="0" applyFont="1" applyBorder="1"/>
    <xf numFmtId="0" fontId="5" fillId="0" borderId="1" xfId="0" applyFont="1" applyBorder="1"/>
    <xf numFmtId="0" fontId="3" fillId="3" borderId="1" xfId="0" applyFont="1" applyFill="1" applyBorder="1" applyAlignment="1">
      <alignment vertical="top" wrapText="1"/>
    </xf>
    <xf numFmtId="0" fontId="5" fillId="0" borderId="1" xfId="0" applyFont="1" applyBorder="1" applyAlignment="1">
      <alignment vertical="top" wrapText="1"/>
    </xf>
    <xf numFmtId="0" fontId="4" fillId="2" borderId="1" xfId="0" applyFont="1" applyFill="1" applyBorder="1" applyAlignment="1">
      <alignment vertical="top" wrapText="1"/>
    </xf>
    <xf numFmtId="10" fontId="5" fillId="0" borderId="1" xfId="0" applyNumberFormat="1" applyFont="1" applyBorder="1" applyAlignment="1">
      <alignment vertical="top" wrapText="1"/>
    </xf>
    <xf numFmtId="0" fontId="3" fillId="0" borderId="0" xfId="0" applyFont="1"/>
    <xf numFmtId="0" fontId="4" fillId="0" borderId="0" xfId="0" applyFont="1"/>
    <xf numFmtId="0" fontId="4" fillId="0" borderId="0" xfId="0" applyFont="1" applyAlignment="1">
      <alignment vertical="top" wrapText="1"/>
    </xf>
    <xf numFmtId="0" fontId="6" fillId="0" borderId="0" xfId="0" applyFont="1"/>
    <xf numFmtId="0" fontId="3" fillId="3" borderId="1" xfId="0" applyFont="1" applyFill="1" applyBorder="1"/>
    <xf numFmtId="0" fontId="7" fillId="0" borderId="1" xfId="0" applyFont="1" applyBorder="1" applyAlignment="1">
      <alignment vertical="top" wrapText="1"/>
    </xf>
    <xf numFmtId="0" fontId="7" fillId="0" borderId="1" xfId="0" applyFont="1" applyBorder="1"/>
    <xf numFmtId="4" fontId="5" fillId="0" borderId="1" xfId="0" applyNumberFormat="1" applyFont="1" applyBorder="1"/>
    <xf numFmtId="164" fontId="5" fillId="0" borderId="1" xfId="0" applyNumberFormat="1" applyFont="1" applyBorder="1"/>
    <xf numFmtId="164" fontId="4" fillId="2" borderId="1" xfId="0" applyNumberFormat="1" applyFont="1" applyFill="1" applyBorder="1"/>
    <xf numFmtId="10" fontId="5" fillId="0" borderId="1" xfId="0" applyNumberFormat="1" applyFont="1" applyBorder="1"/>
    <xf numFmtId="10" fontId="4" fillId="2" borderId="1" xfId="0" applyNumberFormat="1" applyFont="1" applyFill="1" applyBorder="1"/>
    <xf numFmtId="164" fontId="4" fillId="0" borderId="1" xfId="0" applyNumberFormat="1" applyFont="1" applyBorder="1"/>
    <xf numFmtId="4" fontId="4" fillId="0" borderId="1" xfId="0" applyNumberFormat="1" applyFont="1" applyBorder="1"/>
    <xf numFmtId="10" fontId="4" fillId="0" borderId="1" xfId="0" applyNumberFormat="1" applyFont="1" applyBorder="1"/>
    <xf numFmtId="0" fontId="3" fillId="4" borderId="1" xfId="0" applyFont="1" applyFill="1" applyBorder="1" applyAlignment="1">
      <alignment vertical="top" wrapText="1"/>
    </xf>
    <xf numFmtId="4" fontId="4" fillId="4" borderId="1" xfId="0" applyNumberFormat="1" applyFont="1" applyFill="1" applyBorder="1"/>
    <xf numFmtId="4" fontId="4" fillId="2" borderId="1" xfId="0" applyNumberFormat="1" applyFont="1" applyFill="1" applyBorder="1"/>
    <xf numFmtId="10" fontId="4" fillId="4" borderId="1" xfId="0" applyNumberFormat="1" applyFont="1" applyFill="1" applyBorder="1"/>
    <xf numFmtId="0" fontId="1" fillId="2" borderId="1" xfId="0" applyFont="1" applyFill="1" applyBorder="1" applyAlignment="1">
      <alignment vertical="top" wrapText="1"/>
    </xf>
    <xf numFmtId="10" fontId="1" fillId="2" borderId="1" xfId="0" applyNumberFormat="1" applyFont="1" applyFill="1" applyBorder="1"/>
    <xf numFmtId="0" fontId="1" fillId="0" borderId="0" xfId="0" applyFont="1" applyAlignment="1">
      <alignment vertical="top" wrapText="1"/>
    </xf>
    <xf numFmtId="0" fontId="1" fillId="0" borderId="0" xfId="0" applyFont="1" applyAlignment="1">
      <alignment horizontal="left" vertical="top" wrapText="1"/>
    </xf>
    <xf numFmtId="164" fontId="5" fillId="5" borderId="1" xfId="0" applyNumberFormat="1" applyFont="1" applyFill="1" applyBorder="1" applyAlignment="1">
      <alignment wrapText="1"/>
    </xf>
    <xf numFmtId="10" fontId="5" fillId="5" borderId="1" xfId="0" applyNumberFormat="1" applyFont="1" applyFill="1" applyBorder="1"/>
    <xf numFmtId="10" fontId="1" fillId="2" borderId="1" xfId="0" applyNumberFormat="1" applyFont="1" applyFill="1" applyBorder="1" applyAlignment="1">
      <alignment wrapText="1"/>
    </xf>
    <xf numFmtId="0" fontId="5" fillId="5" borderId="1" xfId="0" applyFont="1" applyFill="1" applyBorder="1" applyAlignment="1">
      <alignment vertical="top" wrapText="1"/>
    </xf>
    <xf numFmtId="0" fontId="0" fillId="0" borderId="0" xfId="0" applyAlignment="1">
      <alignment wrapText="1"/>
    </xf>
    <xf numFmtId="0" fontId="0" fillId="5" borderId="0" xfId="0" applyFill="1"/>
    <xf numFmtId="0" fontId="0" fillId="0" borderId="0" xfId="0" applyAlignment="1">
      <alignment horizontal="left" vertical="top" wrapText="1"/>
    </xf>
    <xf numFmtId="10" fontId="4" fillId="2" borderId="1" xfId="0" applyNumberFormat="1" applyFont="1" applyFill="1" applyBorder="1" applyAlignment="1">
      <alignment vertical="top" wrapText="1"/>
    </xf>
    <xf numFmtId="0" fontId="4" fillId="0" borderId="0" xfId="0" applyFont="1" applyAlignment="1">
      <alignment horizontal="left" vertical="top" wrapText="1"/>
    </xf>
    <xf numFmtId="164" fontId="1" fillId="2" borderId="1" xfId="0" applyNumberFormat="1" applyFont="1" applyFill="1" applyBorder="1" applyAlignment="1">
      <alignment wrapText="1"/>
    </xf>
    <xf numFmtId="4" fontId="1" fillId="2" borderId="1" xfId="0" applyNumberFormat="1" applyFont="1" applyFill="1" applyBorder="1" applyAlignment="1">
      <alignment wrapText="1"/>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8" fillId="0" borderId="0" xfId="0" applyFont="1" applyAlignment="1">
      <alignment vertical="top"/>
    </xf>
  </cellXfs>
  <cellStyles count="1">
    <cellStyle name="Normal" xfId="0" builtinId="0"/>
  </cellStyles>
  <dxfs count="0"/>
  <tableStyles count="0" defaultTableStyle="TableStyleMedium2" defaultPivotStyle="PivotStyleLight16"/>
  <colors>
    <indexedColors>
      <rgbColor rgb="FF000000"/>
      <rgbColor rgb="FFF3F6FB"/>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E8EEF7"/>
      <rgbColor rgb="FF660066"/>
      <rgbColor rgb="FFFF8080"/>
      <rgbColor rgb="FF2F5D9E"/>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zoomScaleNormal="100" workbookViewId="0">
      <selection activeCell="B4" sqref="B4"/>
    </sheetView>
  </sheetViews>
  <sheetFormatPr baseColWidth="10" defaultColWidth="8.6640625" defaultRowHeight="15" x14ac:dyDescent="0.2"/>
  <cols>
    <col min="1" max="1" width="30" customWidth="1"/>
    <col min="2" max="2" width="110" customWidth="1"/>
  </cols>
  <sheetData>
    <row r="1" spans="1:2" ht="17" x14ac:dyDescent="0.2">
      <c r="A1" s="2" t="s">
        <v>0</v>
      </c>
    </row>
    <row r="3" spans="1:2" ht="61.5" customHeight="1" x14ac:dyDescent="0.2">
      <c r="A3" s="3" t="s">
        <v>1</v>
      </c>
      <c r="B3" s="4" t="s">
        <v>2</v>
      </c>
    </row>
    <row r="4" spans="1:2" ht="61.5" customHeight="1" x14ac:dyDescent="0.2">
      <c r="A4" s="3" t="s">
        <v>3</v>
      </c>
      <c r="B4" s="4" t="s">
        <v>4</v>
      </c>
    </row>
    <row r="5" spans="1:2" ht="61.5" customHeight="1" x14ac:dyDescent="0.2">
      <c r="A5" s="3" t="s">
        <v>5</v>
      </c>
      <c r="B5" s="4" t="s">
        <v>6</v>
      </c>
    </row>
    <row r="6" spans="1:2" ht="61.5" customHeight="1" x14ac:dyDescent="0.2">
      <c r="A6" s="3" t="s">
        <v>7</v>
      </c>
      <c r="B6" s="4" t="s">
        <v>8</v>
      </c>
    </row>
    <row r="7" spans="1:2" ht="61.5" customHeight="1" x14ac:dyDescent="0.2">
      <c r="A7" s="3" t="s">
        <v>9</v>
      </c>
      <c r="B7" s="4" t="s">
        <v>10</v>
      </c>
    </row>
    <row r="8" spans="1:2" ht="61.5" customHeight="1" x14ac:dyDescent="0.2">
      <c r="A8" s="3" t="s">
        <v>11</v>
      </c>
      <c r="B8" s="4" t="s">
        <v>12</v>
      </c>
    </row>
    <row r="10" spans="1:2" x14ac:dyDescent="0.2">
      <c r="A10" s="5" t="s">
        <v>13</v>
      </c>
      <c r="B10" s="5" t="s">
        <v>14</v>
      </c>
    </row>
    <row r="11" spans="1:2" x14ac:dyDescent="0.2">
      <c r="A11" s="6" t="s">
        <v>15</v>
      </c>
      <c r="B11" s="7" t="s">
        <v>16</v>
      </c>
    </row>
    <row r="12" spans="1:2" x14ac:dyDescent="0.2">
      <c r="A12" s="8" t="s">
        <v>17</v>
      </c>
      <c r="B12" s="7" t="s">
        <v>18</v>
      </c>
    </row>
    <row r="13" spans="1:2" x14ac:dyDescent="0.2">
      <c r="A13" s="7" t="s">
        <v>19</v>
      </c>
      <c r="B13" s="7" t="s">
        <v>20</v>
      </c>
    </row>
    <row r="15" spans="1:2" x14ac:dyDescent="0.2">
      <c r="A15" s="5" t="s">
        <v>21</v>
      </c>
      <c r="B15" s="5" t="s">
        <v>22</v>
      </c>
    </row>
    <row r="16" spans="1:2" x14ac:dyDescent="0.2">
      <c r="A16" s="7" t="s">
        <v>23</v>
      </c>
      <c r="B16" s="7" t="s">
        <v>24</v>
      </c>
    </row>
    <row r="17" spans="1:2" x14ac:dyDescent="0.2">
      <c r="A17" s="7" t="s">
        <v>25</v>
      </c>
      <c r="B17" s="7" t="s">
        <v>26</v>
      </c>
    </row>
    <row r="18" spans="1:2" x14ac:dyDescent="0.2">
      <c r="A18" s="7" t="s">
        <v>27</v>
      </c>
      <c r="B18" s="7" t="s">
        <v>28</v>
      </c>
    </row>
    <row r="19" spans="1:2" x14ac:dyDescent="0.2">
      <c r="A19" s="7" t="s">
        <v>29</v>
      </c>
      <c r="B19" s="7" t="s">
        <v>30</v>
      </c>
    </row>
    <row r="20" spans="1:2" x14ac:dyDescent="0.2">
      <c r="A20" s="7" t="s">
        <v>31</v>
      </c>
      <c r="B20" s="7" t="s">
        <v>32</v>
      </c>
    </row>
    <row r="21" spans="1:2" x14ac:dyDescent="0.2">
      <c r="A21" s="7" t="s">
        <v>33</v>
      </c>
      <c r="B21" s="7" t="s">
        <v>34</v>
      </c>
    </row>
    <row r="22" spans="1:2" x14ac:dyDescent="0.2">
      <c r="A22" s="7" t="s">
        <v>35</v>
      </c>
      <c r="B22" s="7" t="s">
        <v>36</v>
      </c>
    </row>
    <row r="23" spans="1:2" x14ac:dyDescent="0.2">
      <c r="A23" s="7" t="s">
        <v>37</v>
      </c>
      <c r="B23" s="7" t="s">
        <v>38</v>
      </c>
    </row>
    <row r="24" spans="1:2" x14ac:dyDescent="0.2">
      <c r="A24" s="7" t="s">
        <v>39</v>
      </c>
      <c r="B24" s="7" t="s">
        <v>40</v>
      </c>
    </row>
    <row r="25" spans="1:2" x14ac:dyDescent="0.2">
      <c r="A25" s="7" t="s">
        <v>41</v>
      </c>
      <c r="B25" s="7" t="s">
        <v>42</v>
      </c>
    </row>
    <row r="26" spans="1:2" x14ac:dyDescent="0.2">
      <c r="A26" s="7" t="s">
        <v>43</v>
      </c>
      <c r="B26" s="7" t="s">
        <v>44</v>
      </c>
    </row>
    <row r="27" spans="1:2" x14ac:dyDescent="0.2">
      <c r="A27" s="7" t="s">
        <v>45</v>
      </c>
      <c r="B27" s="7" t="s">
        <v>46</v>
      </c>
    </row>
  </sheetData>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46"/>
  <sheetViews>
    <sheetView zoomScaleNormal="100" workbookViewId="0">
      <pane xSplit="4" ySplit="1" topLeftCell="E25" activePane="bottomRight" state="frozen"/>
      <selection pane="topRight" activeCell="E1" sqref="E1"/>
      <selection pane="bottomLeft" activeCell="A2" sqref="A2"/>
      <selection pane="bottomRight" activeCell="E28" sqref="E28"/>
    </sheetView>
  </sheetViews>
  <sheetFormatPr baseColWidth="10" defaultColWidth="8.6640625" defaultRowHeight="15" x14ac:dyDescent="0.2"/>
  <cols>
    <col min="1" max="1" width="5" customWidth="1"/>
    <col min="2" max="2" width="7" customWidth="1"/>
    <col min="3" max="3" width="30" customWidth="1"/>
    <col min="4" max="4" width="8" customWidth="1"/>
    <col min="5" max="5" width="44" customWidth="1"/>
    <col min="6" max="6" width="18" customWidth="1"/>
    <col min="7" max="7" width="22" customWidth="1"/>
    <col min="8" max="8" width="24" customWidth="1"/>
    <col min="9" max="9" width="16" customWidth="1"/>
    <col min="10" max="10" width="28" customWidth="1"/>
    <col min="11" max="11" width="16" customWidth="1"/>
    <col min="12" max="13" width="18" customWidth="1"/>
    <col min="14" max="14" width="14" customWidth="1"/>
    <col min="15" max="15" width="12" customWidth="1"/>
    <col min="16" max="16" width="10" customWidth="1"/>
    <col min="17" max="19" width="11" customWidth="1"/>
    <col min="20" max="21" width="9" customWidth="1"/>
    <col min="22" max="22" width="10" customWidth="1"/>
    <col min="23" max="25" width="12" customWidth="1"/>
    <col min="26" max="26" width="18" customWidth="1"/>
    <col min="27" max="27" width="14" customWidth="1"/>
    <col min="28" max="28" width="22" customWidth="1"/>
    <col min="29" max="29" width="18" customWidth="1"/>
    <col min="30" max="31" width="16" customWidth="1"/>
    <col min="32" max="32" width="14" customWidth="1"/>
    <col min="33" max="33" width="16" customWidth="1"/>
    <col min="34" max="35" width="40" customWidth="1"/>
  </cols>
  <sheetData>
    <row r="1" spans="1:35" ht="78" customHeight="1" x14ac:dyDescent="0.2">
      <c r="A1" s="9" t="s">
        <v>47</v>
      </c>
      <c r="B1" s="9" t="s">
        <v>48</v>
      </c>
      <c r="C1" s="9" t="s">
        <v>49</v>
      </c>
      <c r="D1" s="9" t="s">
        <v>21</v>
      </c>
      <c r="E1" s="9" t="s">
        <v>50</v>
      </c>
      <c r="F1" s="9" t="s">
        <v>51</v>
      </c>
      <c r="G1" s="9" t="s">
        <v>52</v>
      </c>
      <c r="H1" s="9" t="s">
        <v>53</v>
      </c>
      <c r="I1" s="9" t="s">
        <v>54</v>
      </c>
      <c r="J1" s="9" t="s">
        <v>55</v>
      </c>
      <c r="K1" s="9" t="s">
        <v>56</v>
      </c>
      <c r="L1" s="9" t="s">
        <v>57</v>
      </c>
      <c r="M1" s="9" t="s">
        <v>58</v>
      </c>
      <c r="N1" s="9" t="s">
        <v>59</v>
      </c>
      <c r="O1" s="9" t="s">
        <v>60</v>
      </c>
      <c r="P1" s="9" t="s">
        <v>61</v>
      </c>
      <c r="Q1" s="9" t="s">
        <v>62</v>
      </c>
      <c r="R1" s="9" t="s">
        <v>63</v>
      </c>
      <c r="S1" s="9" t="s">
        <v>64</v>
      </c>
      <c r="T1" s="9" t="s">
        <v>65</v>
      </c>
      <c r="U1" s="9" t="s">
        <v>66</v>
      </c>
      <c r="V1" s="9" t="s">
        <v>67</v>
      </c>
      <c r="W1" s="9" t="s">
        <v>68</v>
      </c>
      <c r="X1" s="9" t="s">
        <v>69</v>
      </c>
      <c r="Y1" s="9" t="s">
        <v>70</v>
      </c>
      <c r="Z1" s="9" t="s">
        <v>71</v>
      </c>
      <c r="AA1" s="9" t="s">
        <v>72</v>
      </c>
      <c r="AB1" s="9" t="s">
        <v>73</v>
      </c>
      <c r="AC1" s="9" t="s">
        <v>74</v>
      </c>
      <c r="AD1" s="9" t="s">
        <v>75</v>
      </c>
      <c r="AE1" s="9" t="s">
        <v>76</v>
      </c>
      <c r="AF1" s="9" t="s">
        <v>77</v>
      </c>
      <c r="AG1" s="9" t="s">
        <v>78</v>
      </c>
      <c r="AH1" s="9" t="s">
        <v>79</v>
      </c>
      <c r="AI1" s="9" t="s">
        <v>80</v>
      </c>
    </row>
    <row r="2" spans="1:35" ht="60" customHeight="1" x14ac:dyDescent="0.2">
      <c r="A2" s="4">
        <v>1</v>
      </c>
      <c r="B2" s="4">
        <v>3</v>
      </c>
      <c r="C2" s="10" t="s">
        <v>81</v>
      </c>
      <c r="D2" s="4" t="s">
        <v>23</v>
      </c>
      <c r="E2" s="10" t="s">
        <v>82</v>
      </c>
      <c r="F2" s="11"/>
      <c r="G2" s="11"/>
      <c r="H2" s="11"/>
      <c r="I2" s="11"/>
      <c r="J2" s="11"/>
      <c r="K2" s="10" t="s">
        <v>83</v>
      </c>
      <c r="L2" s="10" t="s">
        <v>84</v>
      </c>
      <c r="M2" s="10" t="s">
        <v>85</v>
      </c>
      <c r="N2" s="11"/>
      <c r="O2" s="11"/>
      <c r="P2" s="10" t="s">
        <v>86</v>
      </c>
      <c r="Q2" s="12">
        <v>0.01</v>
      </c>
      <c r="R2" s="12">
        <v>0.01</v>
      </c>
      <c r="S2" s="12">
        <v>0</v>
      </c>
      <c r="T2" s="11"/>
      <c r="U2" s="11"/>
      <c r="V2" s="11"/>
      <c r="W2" s="11"/>
      <c r="X2" s="12">
        <v>6.0000000000000001E-3</v>
      </c>
      <c r="Y2" s="12">
        <v>4.0000000000000001E-3</v>
      </c>
      <c r="Z2" s="4" t="s">
        <v>87</v>
      </c>
      <c r="AA2" s="11"/>
      <c r="AB2" s="11"/>
      <c r="AC2" s="11"/>
      <c r="AD2" s="11"/>
      <c r="AE2" s="11"/>
      <c r="AF2" s="11"/>
      <c r="AG2" s="11"/>
      <c r="AH2" s="10" t="s">
        <v>88</v>
      </c>
      <c r="AI2" s="4" t="s">
        <v>89</v>
      </c>
    </row>
    <row r="3" spans="1:35" ht="60" customHeight="1" x14ac:dyDescent="0.2">
      <c r="A3" s="4">
        <v>2</v>
      </c>
      <c r="B3" s="4">
        <v>4</v>
      </c>
      <c r="C3" s="10" t="s">
        <v>81</v>
      </c>
      <c r="D3" s="4" t="s">
        <v>23</v>
      </c>
      <c r="E3" s="10" t="s">
        <v>90</v>
      </c>
      <c r="F3" s="11"/>
      <c r="G3" s="11"/>
      <c r="H3" s="11"/>
      <c r="I3" s="11"/>
      <c r="J3" s="11"/>
      <c r="K3" s="10" t="s">
        <v>91</v>
      </c>
      <c r="L3" s="10" t="s">
        <v>84</v>
      </c>
      <c r="M3" s="10" t="s">
        <v>85</v>
      </c>
      <c r="N3" s="11"/>
      <c r="O3" s="11"/>
      <c r="P3" s="10" t="s">
        <v>86</v>
      </c>
      <c r="Q3" s="12">
        <v>8.0000000000000002E-3</v>
      </c>
      <c r="R3" s="12">
        <v>8.0000000000000002E-3</v>
      </c>
      <c r="S3" s="12">
        <v>0</v>
      </c>
      <c r="T3" s="11"/>
      <c r="U3" s="11"/>
      <c r="V3" s="11"/>
      <c r="W3" s="11"/>
      <c r="X3" s="12">
        <v>5.0000000000000001E-3</v>
      </c>
      <c r="Y3" s="12">
        <v>3.0000000000000001E-3</v>
      </c>
      <c r="Z3" s="4" t="s">
        <v>87</v>
      </c>
      <c r="AA3" s="11"/>
      <c r="AB3" s="11"/>
      <c r="AC3" s="11"/>
      <c r="AD3" s="11"/>
      <c r="AE3" s="11"/>
      <c r="AF3" s="11"/>
      <c r="AG3" s="11"/>
      <c r="AH3" s="10" t="s">
        <v>88</v>
      </c>
      <c r="AI3" s="4" t="s">
        <v>89</v>
      </c>
    </row>
    <row r="4" spans="1:35" ht="60" customHeight="1" x14ac:dyDescent="0.2">
      <c r="A4" s="4">
        <v>3</v>
      </c>
      <c r="B4" s="4">
        <v>5</v>
      </c>
      <c r="C4" s="10" t="s">
        <v>81</v>
      </c>
      <c r="D4" s="4" t="s">
        <v>25</v>
      </c>
      <c r="E4" s="10" t="s">
        <v>92</v>
      </c>
      <c r="F4" s="11"/>
      <c r="G4" s="11"/>
      <c r="H4" s="11"/>
      <c r="I4" s="11"/>
      <c r="J4" s="11"/>
      <c r="K4" s="10" t="s">
        <v>93</v>
      </c>
      <c r="L4" s="10" t="s">
        <v>94</v>
      </c>
      <c r="M4" s="10" t="s">
        <v>85</v>
      </c>
      <c r="N4" s="11"/>
      <c r="O4" s="11"/>
      <c r="P4" s="10" t="s">
        <v>86</v>
      </c>
      <c r="Q4" s="12">
        <v>1.4E-2</v>
      </c>
      <c r="R4" s="12">
        <v>1.4E-2</v>
      </c>
      <c r="S4" s="12">
        <v>0</v>
      </c>
      <c r="T4" s="11"/>
      <c r="U4" s="11"/>
      <c r="V4" s="11"/>
      <c r="W4" s="11"/>
      <c r="X4" s="12">
        <v>0.01</v>
      </c>
      <c r="Y4" s="12">
        <v>4.0000000000000001E-3</v>
      </c>
      <c r="Z4" s="4" t="s">
        <v>95</v>
      </c>
      <c r="AA4" s="11"/>
      <c r="AB4" s="11"/>
      <c r="AC4" s="11"/>
      <c r="AD4" s="11"/>
      <c r="AE4" s="11"/>
      <c r="AF4" s="11"/>
      <c r="AG4" s="11"/>
      <c r="AH4" s="4"/>
      <c r="AI4" s="4" t="s">
        <v>96</v>
      </c>
    </row>
    <row r="5" spans="1:35" ht="60" customHeight="1" x14ac:dyDescent="0.2">
      <c r="A5" s="4">
        <v>4</v>
      </c>
      <c r="B5" s="4">
        <v>6</v>
      </c>
      <c r="C5" s="10" t="s">
        <v>97</v>
      </c>
      <c r="D5" s="4" t="s">
        <v>23</v>
      </c>
      <c r="E5" s="10" t="s">
        <v>98</v>
      </c>
      <c r="F5" s="11"/>
      <c r="G5" s="11"/>
      <c r="H5" s="11"/>
      <c r="I5" s="11"/>
      <c r="J5" s="11"/>
      <c r="K5" s="10" t="s">
        <v>83</v>
      </c>
      <c r="L5" s="10" t="s">
        <v>84</v>
      </c>
      <c r="M5" s="10" t="s">
        <v>85</v>
      </c>
      <c r="N5" s="11"/>
      <c r="O5" s="11"/>
      <c r="P5" s="10" t="s">
        <v>86</v>
      </c>
      <c r="Q5" s="12">
        <v>0.01</v>
      </c>
      <c r="R5" s="12">
        <v>0.01</v>
      </c>
      <c r="S5" s="12">
        <v>0</v>
      </c>
      <c r="T5" s="11"/>
      <c r="U5" s="11"/>
      <c r="V5" s="11"/>
      <c r="W5" s="11"/>
      <c r="X5" s="12">
        <v>6.0000000000000001E-3</v>
      </c>
      <c r="Y5" s="12">
        <v>4.0000000000000001E-3</v>
      </c>
      <c r="Z5" s="4" t="s">
        <v>87</v>
      </c>
      <c r="AA5" s="11"/>
      <c r="AB5" s="11"/>
      <c r="AC5" s="11"/>
      <c r="AD5" s="11"/>
      <c r="AE5" s="11"/>
      <c r="AF5" s="11"/>
      <c r="AG5" s="11"/>
      <c r="AH5" s="10" t="s">
        <v>88</v>
      </c>
      <c r="AI5" s="4" t="s">
        <v>89</v>
      </c>
    </row>
    <row r="6" spans="1:35" ht="60" customHeight="1" x14ac:dyDescent="0.2">
      <c r="A6" s="4">
        <v>5</v>
      </c>
      <c r="B6" s="4">
        <v>7</v>
      </c>
      <c r="C6" s="10" t="s">
        <v>97</v>
      </c>
      <c r="D6" s="4" t="s">
        <v>25</v>
      </c>
      <c r="E6" s="10" t="s">
        <v>99</v>
      </c>
      <c r="F6" s="11"/>
      <c r="G6" s="11"/>
      <c r="H6" s="11"/>
      <c r="I6" s="11"/>
      <c r="J6" s="11"/>
      <c r="K6" s="10" t="s">
        <v>93</v>
      </c>
      <c r="L6" s="10" t="s">
        <v>94</v>
      </c>
      <c r="M6" s="10" t="s">
        <v>85</v>
      </c>
      <c r="N6" s="11"/>
      <c r="O6" s="11"/>
      <c r="P6" s="10" t="s">
        <v>86</v>
      </c>
      <c r="Q6" s="12">
        <v>1.4E-2</v>
      </c>
      <c r="R6" s="12">
        <v>1.4E-2</v>
      </c>
      <c r="S6" s="12">
        <v>0</v>
      </c>
      <c r="T6" s="11"/>
      <c r="U6" s="11"/>
      <c r="V6" s="11"/>
      <c r="W6" s="11"/>
      <c r="X6" s="12">
        <v>0.01</v>
      </c>
      <c r="Y6" s="12">
        <v>4.0000000000000001E-3</v>
      </c>
      <c r="Z6" s="4" t="s">
        <v>95</v>
      </c>
      <c r="AA6" s="11"/>
      <c r="AB6" s="11"/>
      <c r="AC6" s="11"/>
      <c r="AD6" s="11"/>
      <c r="AE6" s="11"/>
      <c r="AF6" s="11"/>
      <c r="AG6" s="11"/>
      <c r="AH6" s="4"/>
      <c r="AI6" s="4" t="s">
        <v>96</v>
      </c>
    </row>
    <row r="7" spans="1:35" ht="60" customHeight="1" x14ac:dyDescent="0.2">
      <c r="A7" s="4">
        <v>6</v>
      </c>
      <c r="B7" s="4">
        <v>8</v>
      </c>
      <c r="C7" s="10" t="s">
        <v>100</v>
      </c>
      <c r="D7" s="4" t="s">
        <v>29</v>
      </c>
      <c r="E7" s="11"/>
      <c r="F7" s="11"/>
      <c r="G7" s="11"/>
      <c r="H7" s="11"/>
      <c r="I7" s="11"/>
      <c r="J7" s="11"/>
      <c r="K7" s="10" t="s">
        <v>83</v>
      </c>
      <c r="L7" s="10" t="s">
        <v>84</v>
      </c>
      <c r="M7" s="10" t="s">
        <v>85</v>
      </c>
      <c r="N7" s="11"/>
      <c r="O7" s="11"/>
      <c r="P7" s="10" t="s">
        <v>86</v>
      </c>
      <c r="Q7" s="12">
        <v>0.01</v>
      </c>
      <c r="R7" s="12">
        <v>0.01</v>
      </c>
      <c r="S7" s="12">
        <v>0</v>
      </c>
      <c r="T7" s="11"/>
      <c r="U7" s="11"/>
      <c r="V7" s="11"/>
      <c r="W7" s="11"/>
      <c r="X7" s="12">
        <v>5.0000000000000001E-3</v>
      </c>
      <c r="Y7" s="12">
        <v>4.0000000000000001E-3</v>
      </c>
      <c r="Z7" s="4" t="s">
        <v>87</v>
      </c>
      <c r="AA7" s="11"/>
      <c r="AB7" s="11"/>
      <c r="AC7" s="11"/>
      <c r="AD7" s="11"/>
      <c r="AE7" s="11"/>
      <c r="AF7" s="11"/>
      <c r="AG7" s="11"/>
      <c r="AH7" s="10" t="s">
        <v>88</v>
      </c>
      <c r="AI7" s="4" t="s">
        <v>89</v>
      </c>
    </row>
    <row r="8" spans="1:35" ht="60" customHeight="1" x14ac:dyDescent="0.2">
      <c r="A8" s="4">
        <v>7</v>
      </c>
      <c r="B8" s="4">
        <v>9</v>
      </c>
      <c r="C8" s="10" t="s">
        <v>101</v>
      </c>
      <c r="D8" s="4" t="s">
        <v>23</v>
      </c>
      <c r="E8" s="10" t="s">
        <v>102</v>
      </c>
      <c r="F8" s="11"/>
      <c r="G8" s="11"/>
      <c r="H8" s="11"/>
      <c r="I8" s="11"/>
      <c r="J8" s="11"/>
      <c r="K8" s="10" t="s">
        <v>83</v>
      </c>
      <c r="L8" s="10" t="s">
        <v>84</v>
      </c>
      <c r="M8" s="10" t="s">
        <v>85</v>
      </c>
      <c r="N8" s="11"/>
      <c r="O8" s="11"/>
      <c r="P8" s="10" t="s">
        <v>86</v>
      </c>
      <c r="Q8" s="12">
        <v>0.01</v>
      </c>
      <c r="R8" s="12">
        <v>0.01</v>
      </c>
      <c r="S8" s="12">
        <v>0</v>
      </c>
      <c r="T8" s="11"/>
      <c r="U8" s="11"/>
      <c r="V8" s="11"/>
      <c r="W8" s="11"/>
      <c r="X8" s="12">
        <v>6.0000000000000001E-3</v>
      </c>
      <c r="Y8" s="12">
        <v>4.0000000000000001E-3</v>
      </c>
      <c r="Z8" s="4" t="s">
        <v>87</v>
      </c>
      <c r="AA8" s="11"/>
      <c r="AB8" s="11"/>
      <c r="AC8" s="11"/>
      <c r="AD8" s="11"/>
      <c r="AE8" s="11"/>
      <c r="AF8" s="11"/>
      <c r="AG8" s="11"/>
      <c r="AH8" s="10" t="s">
        <v>88</v>
      </c>
      <c r="AI8" s="4" t="s">
        <v>89</v>
      </c>
    </row>
    <row r="9" spans="1:35" ht="60" customHeight="1" x14ac:dyDescent="0.2">
      <c r="A9" s="4">
        <v>8</v>
      </c>
      <c r="B9" s="4">
        <v>10</v>
      </c>
      <c r="C9" s="10" t="s">
        <v>103</v>
      </c>
      <c r="D9" s="4" t="s">
        <v>23</v>
      </c>
      <c r="E9" s="10" t="s">
        <v>104</v>
      </c>
      <c r="F9" s="11"/>
      <c r="G9" s="11"/>
      <c r="H9" s="11"/>
      <c r="I9" s="11"/>
      <c r="J9" s="11"/>
      <c r="K9" s="10" t="s">
        <v>83</v>
      </c>
      <c r="L9" s="10" t="s">
        <v>84</v>
      </c>
      <c r="M9" s="10" t="s">
        <v>85</v>
      </c>
      <c r="N9" s="11"/>
      <c r="O9" s="11"/>
      <c r="P9" s="10" t="s">
        <v>86</v>
      </c>
      <c r="Q9" s="12">
        <v>0.01</v>
      </c>
      <c r="R9" s="12">
        <v>0.01</v>
      </c>
      <c r="S9" s="12">
        <v>0</v>
      </c>
      <c r="T9" s="11"/>
      <c r="U9" s="11"/>
      <c r="V9" s="11"/>
      <c r="W9" s="11"/>
      <c r="X9" s="12">
        <v>6.0000000000000001E-3</v>
      </c>
      <c r="Y9" s="12">
        <v>4.0000000000000001E-3</v>
      </c>
      <c r="Z9" s="4" t="s">
        <v>87</v>
      </c>
      <c r="AA9" s="11"/>
      <c r="AB9" s="11"/>
      <c r="AC9" s="11"/>
      <c r="AD9" s="11"/>
      <c r="AE9" s="11"/>
      <c r="AF9" s="11"/>
      <c r="AG9" s="11"/>
      <c r="AH9" s="10" t="s">
        <v>88</v>
      </c>
      <c r="AI9" s="4" t="s">
        <v>89</v>
      </c>
    </row>
    <row r="10" spans="1:35" ht="60" customHeight="1" x14ac:dyDescent="0.2">
      <c r="A10" s="4">
        <v>9</v>
      </c>
      <c r="B10" s="4">
        <v>11</v>
      </c>
      <c r="C10" s="10" t="s">
        <v>103</v>
      </c>
      <c r="D10" s="4" t="s">
        <v>23</v>
      </c>
      <c r="E10" s="10" t="s">
        <v>105</v>
      </c>
      <c r="F10" s="11"/>
      <c r="G10" s="11"/>
      <c r="H10" s="11"/>
      <c r="I10" s="11"/>
      <c r="J10" s="11"/>
      <c r="K10" s="10" t="s">
        <v>91</v>
      </c>
      <c r="L10" s="10" t="s">
        <v>84</v>
      </c>
      <c r="M10" s="10" t="s">
        <v>85</v>
      </c>
      <c r="N10" s="11"/>
      <c r="O10" s="11"/>
      <c r="P10" s="10" t="s">
        <v>86</v>
      </c>
      <c r="Q10" s="12">
        <v>8.0000000000000002E-3</v>
      </c>
      <c r="R10" s="12">
        <v>8.0000000000000002E-3</v>
      </c>
      <c r="S10" s="12">
        <v>0</v>
      </c>
      <c r="T10" s="11"/>
      <c r="U10" s="11"/>
      <c r="V10" s="11"/>
      <c r="W10" s="11"/>
      <c r="X10" s="12">
        <v>5.0000000000000001E-3</v>
      </c>
      <c r="Y10" s="12">
        <v>3.0000000000000001E-3</v>
      </c>
      <c r="Z10" s="4" t="s">
        <v>87</v>
      </c>
      <c r="AA10" s="11"/>
      <c r="AB10" s="11"/>
      <c r="AC10" s="11"/>
      <c r="AD10" s="11"/>
      <c r="AE10" s="11"/>
      <c r="AF10" s="11"/>
      <c r="AG10" s="11"/>
      <c r="AH10" s="10" t="s">
        <v>88</v>
      </c>
      <c r="AI10" s="4" t="s">
        <v>89</v>
      </c>
    </row>
    <row r="11" spans="1:35" ht="60" customHeight="1" x14ac:dyDescent="0.2">
      <c r="A11" s="4">
        <v>10</v>
      </c>
      <c r="B11" s="4">
        <v>12</v>
      </c>
      <c r="C11" s="10" t="s">
        <v>103</v>
      </c>
      <c r="D11" s="4" t="s">
        <v>25</v>
      </c>
      <c r="E11" s="10" t="s">
        <v>106</v>
      </c>
      <c r="F11" s="11"/>
      <c r="G11" s="11"/>
      <c r="H11" s="11"/>
      <c r="I11" s="11"/>
      <c r="J11" s="11"/>
      <c r="K11" s="10" t="s">
        <v>93</v>
      </c>
      <c r="L11" s="10" t="s">
        <v>94</v>
      </c>
      <c r="M11" s="10" t="s">
        <v>85</v>
      </c>
      <c r="N11" s="11"/>
      <c r="O11" s="11"/>
      <c r="P11" s="10" t="s">
        <v>86</v>
      </c>
      <c r="Q11" s="12">
        <v>1.4E-2</v>
      </c>
      <c r="R11" s="12">
        <v>1.4E-2</v>
      </c>
      <c r="S11" s="12">
        <v>0</v>
      </c>
      <c r="T11" s="11"/>
      <c r="U11" s="11"/>
      <c r="V11" s="11"/>
      <c r="W11" s="11"/>
      <c r="X11" s="12">
        <v>0.01</v>
      </c>
      <c r="Y11" s="12">
        <v>4.0000000000000001E-3</v>
      </c>
      <c r="Z11" s="4" t="s">
        <v>95</v>
      </c>
      <c r="AA11" s="11"/>
      <c r="AB11" s="11"/>
      <c r="AC11" s="11"/>
      <c r="AD11" s="11"/>
      <c r="AE11" s="11"/>
      <c r="AF11" s="11"/>
      <c r="AG11" s="11"/>
      <c r="AH11" s="4"/>
      <c r="AI11" s="4" t="s">
        <v>96</v>
      </c>
    </row>
    <row r="12" spans="1:35" ht="60" customHeight="1" x14ac:dyDescent="0.2">
      <c r="A12" s="4">
        <v>11</v>
      </c>
      <c r="B12" s="4">
        <v>13</v>
      </c>
      <c r="C12" s="10" t="s">
        <v>107</v>
      </c>
      <c r="D12" s="4" t="s">
        <v>23</v>
      </c>
      <c r="E12" s="10" t="s">
        <v>108</v>
      </c>
      <c r="F12" s="11"/>
      <c r="G12" s="11"/>
      <c r="H12" s="11"/>
      <c r="I12" s="11"/>
      <c r="J12" s="11"/>
      <c r="K12" s="10" t="s">
        <v>83</v>
      </c>
      <c r="L12" s="10" t="s">
        <v>84</v>
      </c>
      <c r="M12" s="10" t="s">
        <v>85</v>
      </c>
      <c r="N12" s="11"/>
      <c r="O12" s="11"/>
      <c r="P12" s="10" t="s">
        <v>86</v>
      </c>
      <c r="Q12" s="12">
        <v>0.01</v>
      </c>
      <c r="R12" s="12">
        <v>0.01</v>
      </c>
      <c r="S12" s="12">
        <v>0</v>
      </c>
      <c r="T12" s="11"/>
      <c r="U12" s="11"/>
      <c r="V12" s="11"/>
      <c r="W12" s="11"/>
      <c r="X12" s="12">
        <v>6.0000000000000001E-3</v>
      </c>
      <c r="Y12" s="12">
        <v>4.0000000000000001E-3</v>
      </c>
      <c r="Z12" s="4" t="s">
        <v>87</v>
      </c>
      <c r="AA12" s="11"/>
      <c r="AB12" s="11"/>
      <c r="AC12" s="11"/>
      <c r="AD12" s="11"/>
      <c r="AE12" s="11"/>
      <c r="AF12" s="11"/>
      <c r="AG12" s="11"/>
      <c r="AH12" s="10" t="s">
        <v>88</v>
      </c>
      <c r="AI12" s="4" t="s">
        <v>89</v>
      </c>
    </row>
    <row r="13" spans="1:35" ht="60" customHeight="1" x14ac:dyDescent="0.2">
      <c r="A13" s="4">
        <v>12</v>
      </c>
      <c r="B13" s="4">
        <v>14</v>
      </c>
      <c r="C13" s="10" t="s">
        <v>109</v>
      </c>
      <c r="D13" s="4" t="s">
        <v>33</v>
      </c>
      <c r="E13" s="10" t="s">
        <v>110</v>
      </c>
      <c r="F13" s="11"/>
      <c r="G13" s="11"/>
      <c r="H13" s="11"/>
      <c r="I13" s="11"/>
      <c r="J13" s="11"/>
      <c r="K13" s="10" t="s">
        <v>91</v>
      </c>
      <c r="L13" s="10" t="s">
        <v>84</v>
      </c>
      <c r="M13" s="10" t="s">
        <v>85</v>
      </c>
      <c r="N13" s="11"/>
      <c r="O13" s="11"/>
      <c r="P13" s="10" t="s">
        <v>86</v>
      </c>
      <c r="Q13" s="12">
        <v>0.01</v>
      </c>
      <c r="R13" s="12">
        <v>0.01</v>
      </c>
      <c r="S13" s="12">
        <v>0</v>
      </c>
      <c r="T13" s="11"/>
      <c r="U13" s="11"/>
      <c r="V13" s="11"/>
      <c r="W13" s="11"/>
      <c r="X13" s="12">
        <v>5.0000000000000001E-3</v>
      </c>
      <c r="Y13" s="12">
        <v>3.0000000000000001E-3</v>
      </c>
      <c r="Z13" s="4" t="s">
        <v>87</v>
      </c>
      <c r="AA13" s="11"/>
      <c r="AB13" s="10" t="s">
        <v>111</v>
      </c>
      <c r="AC13" s="11"/>
      <c r="AD13" s="11"/>
      <c r="AE13" s="11"/>
      <c r="AF13" s="11"/>
      <c r="AG13" s="11"/>
      <c r="AH13" s="10" t="s">
        <v>88</v>
      </c>
      <c r="AI13" s="4" t="s">
        <v>89</v>
      </c>
    </row>
    <row r="14" spans="1:35" ht="60" customHeight="1" x14ac:dyDescent="0.2">
      <c r="A14" s="4">
        <v>13</v>
      </c>
      <c r="B14" s="4">
        <v>15</v>
      </c>
      <c r="C14" s="10" t="s">
        <v>107</v>
      </c>
      <c r="D14" s="4" t="s">
        <v>25</v>
      </c>
      <c r="E14" s="10" t="s">
        <v>112</v>
      </c>
      <c r="F14" s="11"/>
      <c r="G14" s="11"/>
      <c r="H14" s="11"/>
      <c r="I14" s="11"/>
      <c r="J14" s="11"/>
      <c r="K14" s="10" t="s">
        <v>93</v>
      </c>
      <c r="L14" s="10" t="s">
        <v>94</v>
      </c>
      <c r="M14" s="10" t="s">
        <v>85</v>
      </c>
      <c r="N14" s="11"/>
      <c r="O14" s="11"/>
      <c r="P14" s="10" t="s">
        <v>86</v>
      </c>
      <c r="Q14" s="12">
        <v>1.4E-2</v>
      </c>
      <c r="R14" s="12">
        <v>1.4E-2</v>
      </c>
      <c r="S14" s="12">
        <v>0</v>
      </c>
      <c r="T14" s="11"/>
      <c r="U14" s="11"/>
      <c r="V14" s="11"/>
      <c r="W14" s="11"/>
      <c r="X14" s="12">
        <v>0.01</v>
      </c>
      <c r="Y14" s="12">
        <v>4.0000000000000001E-3</v>
      </c>
      <c r="Z14" s="4" t="s">
        <v>95</v>
      </c>
      <c r="AA14" s="11"/>
      <c r="AB14" s="11"/>
      <c r="AC14" s="11"/>
      <c r="AD14" s="11"/>
      <c r="AE14" s="11"/>
      <c r="AF14" s="11"/>
      <c r="AG14" s="11"/>
      <c r="AH14" s="4"/>
      <c r="AI14" s="4" t="s">
        <v>96</v>
      </c>
    </row>
    <row r="15" spans="1:35" ht="60" customHeight="1" x14ac:dyDescent="0.2">
      <c r="A15" s="4">
        <v>14</v>
      </c>
      <c r="B15" s="4">
        <v>16</v>
      </c>
      <c r="C15" s="10" t="s">
        <v>113</v>
      </c>
      <c r="D15" s="4" t="s">
        <v>33</v>
      </c>
      <c r="E15" s="10" t="s">
        <v>114</v>
      </c>
      <c r="F15" s="11"/>
      <c r="G15" s="11"/>
      <c r="H15" s="11"/>
      <c r="I15" s="11"/>
      <c r="J15" s="11"/>
      <c r="K15" s="10" t="s">
        <v>91</v>
      </c>
      <c r="L15" s="10" t="s">
        <v>84</v>
      </c>
      <c r="M15" s="10" t="s">
        <v>85</v>
      </c>
      <c r="N15" s="11"/>
      <c r="O15" s="11"/>
      <c r="P15" s="10" t="s">
        <v>86</v>
      </c>
      <c r="Q15" s="12">
        <v>0.04</v>
      </c>
      <c r="R15" s="12">
        <v>0.04</v>
      </c>
      <c r="S15" s="12">
        <v>0</v>
      </c>
      <c r="T15" s="11"/>
      <c r="U15" s="11"/>
      <c r="V15" s="11"/>
      <c r="W15" s="11"/>
      <c r="X15" s="12">
        <v>5.0000000000000001E-3</v>
      </c>
      <c r="Y15" s="12">
        <v>0.02</v>
      </c>
      <c r="Z15" s="4" t="s">
        <v>115</v>
      </c>
      <c r="AA15" s="11"/>
      <c r="AB15" s="10" t="s">
        <v>116</v>
      </c>
      <c r="AC15" s="11"/>
      <c r="AD15" s="11"/>
      <c r="AE15" s="11"/>
      <c r="AF15" s="11"/>
      <c r="AG15" s="11"/>
      <c r="AH15" s="4"/>
      <c r="AI15" s="4" t="s">
        <v>89</v>
      </c>
    </row>
    <row r="16" spans="1:35" ht="60" customHeight="1" x14ac:dyDescent="0.2">
      <c r="A16" s="4">
        <v>15</v>
      </c>
      <c r="B16" s="4">
        <v>17</v>
      </c>
      <c r="C16" s="10" t="s">
        <v>117</v>
      </c>
      <c r="D16" s="4" t="s">
        <v>23</v>
      </c>
      <c r="E16" s="10" t="s">
        <v>118</v>
      </c>
      <c r="F16" s="11"/>
      <c r="G16" s="11"/>
      <c r="H16" s="11"/>
      <c r="I16" s="11"/>
      <c r="J16" s="11"/>
      <c r="K16" s="10" t="s">
        <v>83</v>
      </c>
      <c r="L16" s="10" t="s">
        <v>84</v>
      </c>
      <c r="M16" s="10" t="s">
        <v>85</v>
      </c>
      <c r="N16" s="11"/>
      <c r="O16" s="11"/>
      <c r="P16" s="10" t="s">
        <v>86</v>
      </c>
      <c r="Q16" s="12">
        <v>8.9999999999999993E-3</v>
      </c>
      <c r="R16" s="12">
        <v>8.9999999999999993E-3</v>
      </c>
      <c r="S16" s="12">
        <v>0</v>
      </c>
      <c r="T16" s="11"/>
      <c r="U16" s="11"/>
      <c r="V16" s="11"/>
      <c r="W16" s="11"/>
      <c r="X16" s="12">
        <v>6.0000000000000001E-3</v>
      </c>
      <c r="Y16" s="12">
        <v>3.0000000000000001E-3</v>
      </c>
      <c r="Z16" s="4" t="s">
        <v>87</v>
      </c>
      <c r="AA16" s="11"/>
      <c r="AB16" s="11"/>
      <c r="AC16" s="11"/>
      <c r="AD16" s="11"/>
      <c r="AE16" s="11"/>
      <c r="AF16" s="11"/>
      <c r="AG16" s="11"/>
      <c r="AH16" s="10" t="s">
        <v>88</v>
      </c>
      <c r="AI16" s="4" t="s">
        <v>89</v>
      </c>
    </row>
    <row r="17" spans="1:35" ht="60" customHeight="1" x14ac:dyDescent="0.2">
      <c r="A17" s="4">
        <v>16</v>
      </c>
      <c r="B17" s="4">
        <v>18</v>
      </c>
      <c r="C17" s="10" t="s">
        <v>117</v>
      </c>
      <c r="D17" s="4" t="s">
        <v>23</v>
      </c>
      <c r="E17" s="10" t="s">
        <v>105</v>
      </c>
      <c r="F17" s="11"/>
      <c r="G17" s="11"/>
      <c r="H17" s="11"/>
      <c r="I17" s="11"/>
      <c r="J17" s="11"/>
      <c r="K17" s="10" t="s">
        <v>91</v>
      </c>
      <c r="L17" s="10" t="s">
        <v>84</v>
      </c>
      <c r="M17" s="10" t="s">
        <v>85</v>
      </c>
      <c r="N17" s="11"/>
      <c r="O17" s="11"/>
      <c r="P17" s="10" t="s">
        <v>86</v>
      </c>
      <c r="Q17" s="12">
        <v>8.0000000000000002E-3</v>
      </c>
      <c r="R17" s="12">
        <v>8.0000000000000002E-3</v>
      </c>
      <c r="S17" s="12">
        <v>0</v>
      </c>
      <c r="T17" s="11"/>
      <c r="U17" s="11"/>
      <c r="V17" s="11"/>
      <c r="W17" s="11"/>
      <c r="X17" s="12">
        <v>5.0000000000000001E-3</v>
      </c>
      <c r="Y17" s="12">
        <v>3.0000000000000001E-3</v>
      </c>
      <c r="Z17" s="4" t="s">
        <v>87</v>
      </c>
      <c r="AA17" s="11"/>
      <c r="AB17" s="11"/>
      <c r="AC17" s="11"/>
      <c r="AD17" s="11"/>
      <c r="AE17" s="11"/>
      <c r="AF17" s="11"/>
      <c r="AG17" s="11"/>
      <c r="AH17" s="10" t="s">
        <v>88</v>
      </c>
      <c r="AI17" s="4" t="s">
        <v>89</v>
      </c>
    </row>
    <row r="18" spans="1:35" ht="60" customHeight="1" x14ac:dyDescent="0.2">
      <c r="A18" s="4">
        <v>17</v>
      </c>
      <c r="B18" s="4">
        <v>19</v>
      </c>
      <c r="C18" s="10" t="s">
        <v>117</v>
      </c>
      <c r="D18" s="4" t="s">
        <v>25</v>
      </c>
      <c r="E18" s="10" t="s">
        <v>119</v>
      </c>
      <c r="F18" s="11"/>
      <c r="G18" s="11"/>
      <c r="H18" s="11"/>
      <c r="I18" s="11"/>
      <c r="J18" s="11"/>
      <c r="K18" s="10" t="s">
        <v>93</v>
      </c>
      <c r="L18" s="10" t="s">
        <v>94</v>
      </c>
      <c r="M18" s="10" t="s">
        <v>85</v>
      </c>
      <c r="N18" s="11"/>
      <c r="O18" s="11"/>
      <c r="P18" s="10" t="s">
        <v>86</v>
      </c>
      <c r="Q18" s="12">
        <v>1.2999999999999999E-2</v>
      </c>
      <c r="R18" s="12">
        <v>1.2999999999999999E-2</v>
      </c>
      <c r="S18" s="12">
        <v>0</v>
      </c>
      <c r="T18" s="11"/>
      <c r="U18" s="11"/>
      <c r="V18" s="11"/>
      <c r="W18" s="11"/>
      <c r="X18" s="12">
        <v>0.01</v>
      </c>
      <c r="Y18" s="12">
        <v>3.0000000000000001E-3</v>
      </c>
      <c r="Z18" s="4" t="s">
        <v>95</v>
      </c>
      <c r="AA18" s="11"/>
      <c r="AB18" s="11"/>
      <c r="AC18" s="11"/>
      <c r="AD18" s="11"/>
      <c r="AE18" s="11"/>
      <c r="AF18" s="11"/>
      <c r="AG18" s="11"/>
      <c r="AH18" s="10" t="s">
        <v>88</v>
      </c>
      <c r="AI18" s="4" t="s">
        <v>96</v>
      </c>
    </row>
    <row r="19" spans="1:35" ht="60" customHeight="1" x14ac:dyDescent="0.2">
      <c r="A19" s="4">
        <v>18</v>
      </c>
      <c r="B19" s="4">
        <v>20</v>
      </c>
      <c r="C19" s="10" t="s">
        <v>120</v>
      </c>
      <c r="D19" s="4" t="s">
        <v>39</v>
      </c>
      <c r="E19" s="10" t="s">
        <v>121</v>
      </c>
      <c r="F19" s="11"/>
      <c r="G19" s="11"/>
      <c r="H19" s="11"/>
      <c r="I19" s="11"/>
      <c r="J19" s="11"/>
      <c r="K19" s="10" t="s">
        <v>83</v>
      </c>
      <c r="L19" s="10" t="s">
        <v>84</v>
      </c>
      <c r="M19" s="10" t="s">
        <v>122</v>
      </c>
      <c r="N19" s="11"/>
      <c r="O19" s="11"/>
      <c r="P19" s="10" t="s">
        <v>123</v>
      </c>
      <c r="Q19" s="12">
        <v>0.01</v>
      </c>
      <c r="R19" s="12">
        <v>0.01</v>
      </c>
      <c r="S19" s="12">
        <v>0</v>
      </c>
      <c r="T19" s="11"/>
      <c r="U19" s="11"/>
      <c r="V19" s="11"/>
      <c r="W19" s="11"/>
      <c r="X19" s="12">
        <v>6.0000000000000001E-3</v>
      </c>
      <c r="Y19" s="12">
        <v>4.0000000000000001E-3</v>
      </c>
      <c r="Z19" s="4" t="s">
        <v>87</v>
      </c>
      <c r="AA19" s="11"/>
      <c r="AB19" s="11"/>
      <c r="AC19" s="11"/>
      <c r="AD19" s="11"/>
      <c r="AE19" s="11"/>
      <c r="AF19" s="11"/>
      <c r="AG19" s="11"/>
      <c r="AH19" s="10" t="s">
        <v>124</v>
      </c>
      <c r="AI19" s="4" t="s">
        <v>125</v>
      </c>
    </row>
    <row r="20" spans="1:35" ht="60" customHeight="1" x14ac:dyDescent="0.2">
      <c r="A20" s="4">
        <v>19</v>
      </c>
      <c r="B20" s="4">
        <v>21</v>
      </c>
      <c r="C20" s="10" t="s">
        <v>126</v>
      </c>
      <c r="D20" s="4" t="s">
        <v>27</v>
      </c>
      <c r="E20" s="10" t="s">
        <v>127</v>
      </c>
      <c r="F20" s="11"/>
      <c r="G20" s="11"/>
      <c r="H20" s="11"/>
      <c r="I20" s="11"/>
      <c r="J20" s="11"/>
      <c r="K20" s="10" t="s">
        <v>93</v>
      </c>
      <c r="L20" s="10" t="s">
        <v>94</v>
      </c>
      <c r="M20" s="10" t="s">
        <v>85</v>
      </c>
      <c r="N20" s="11"/>
      <c r="O20" s="11"/>
      <c r="P20" s="10" t="s">
        <v>86</v>
      </c>
      <c r="Q20" s="12">
        <v>0.02</v>
      </c>
      <c r="R20" s="12">
        <v>1.4E-2</v>
      </c>
      <c r="S20" s="12">
        <v>6.0000000000000001E-3</v>
      </c>
      <c r="T20" s="11"/>
      <c r="U20" s="11"/>
      <c r="V20" s="11"/>
      <c r="W20" s="11"/>
      <c r="X20" s="12">
        <v>8.5000000000000006E-3</v>
      </c>
      <c r="Y20" s="12">
        <v>1.15E-2</v>
      </c>
      <c r="Z20" s="4" t="s">
        <v>95</v>
      </c>
      <c r="AA20" s="11"/>
      <c r="AB20" s="11"/>
      <c r="AC20" s="11"/>
      <c r="AD20" s="11"/>
      <c r="AE20" s="11"/>
      <c r="AF20" s="11"/>
      <c r="AG20" s="11"/>
      <c r="AH20" s="10" t="s">
        <v>128</v>
      </c>
      <c r="AI20" s="4"/>
    </row>
    <row r="21" spans="1:35" ht="60" customHeight="1" x14ac:dyDescent="0.2">
      <c r="A21" s="4">
        <v>20</v>
      </c>
      <c r="B21" s="4">
        <v>22</v>
      </c>
      <c r="C21" s="10" t="s">
        <v>126</v>
      </c>
      <c r="D21" s="4" t="s">
        <v>27</v>
      </c>
      <c r="E21" s="10" t="s">
        <v>127</v>
      </c>
      <c r="F21" s="11"/>
      <c r="G21" s="11"/>
      <c r="H21" s="11"/>
      <c r="I21" s="11"/>
      <c r="J21" s="11"/>
      <c r="K21" s="10" t="s">
        <v>83</v>
      </c>
      <c r="L21" s="10" t="s">
        <v>84</v>
      </c>
      <c r="M21" s="10" t="s">
        <v>85</v>
      </c>
      <c r="N21" s="11"/>
      <c r="O21" s="11"/>
      <c r="P21" s="10" t="s">
        <v>86</v>
      </c>
      <c r="Q21" s="12">
        <v>0.02</v>
      </c>
      <c r="R21" s="12">
        <v>1.4E-2</v>
      </c>
      <c r="S21" s="12">
        <v>6.0000000000000001E-3</v>
      </c>
      <c r="T21" s="11"/>
      <c r="U21" s="11"/>
      <c r="V21" s="11"/>
      <c r="W21" s="11"/>
      <c r="X21" s="12">
        <v>8.5000000000000006E-3</v>
      </c>
      <c r="Y21" s="12">
        <v>1.15E-2</v>
      </c>
      <c r="Z21" s="4" t="s">
        <v>115</v>
      </c>
      <c r="AA21" s="11"/>
      <c r="AB21" s="11"/>
      <c r="AC21" s="11"/>
      <c r="AD21" s="11"/>
      <c r="AE21" s="11"/>
      <c r="AF21" s="11"/>
      <c r="AG21" s="11"/>
      <c r="AH21" s="10" t="s">
        <v>128</v>
      </c>
      <c r="AI21" s="4" t="s">
        <v>89</v>
      </c>
    </row>
    <row r="22" spans="1:35" ht="60" customHeight="1" x14ac:dyDescent="0.2">
      <c r="A22" s="4">
        <v>21</v>
      </c>
      <c r="B22" s="4">
        <v>23</v>
      </c>
      <c r="C22" s="10" t="s">
        <v>129</v>
      </c>
      <c r="D22" s="4" t="s">
        <v>27</v>
      </c>
      <c r="E22" s="10" t="s">
        <v>130</v>
      </c>
      <c r="F22" s="11"/>
      <c r="G22" s="11"/>
      <c r="H22" s="11"/>
      <c r="I22" s="11"/>
      <c r="J22" s="11"/>
      <c r="K22" s="10" t="s">
        <v>93</v>
      </c>
      <c r="L22" s="10" t="s">
        <v>94</v>
      </c>
      <c r="M22" s="10" t="s">
        <v>85</v>
      </c>
      <c r="N22" s="11"/>
      <c r="O22" s="11"/>
      <c r="P22" s="10" t="s">
        <v>86</v>
      </c>
      <c r="Q22" s="12">
        <v>1.6E-2</v>
      </c>
      <c r="R22" s="12">
        <v>0.01</v>
      </c>
      <c r="S22" s="12">
        <v>6.0000000000000001E-3</v>
      </c>
      <c r="T22" s="11"/>
      <c r="U22" s="11"/>
      <c r="V22" s="11"/>
      <c r="W22" s="11"/>
      <c r="X22" s="12">
        <v>7.4999999999999997E-3</v>
      </c>
      <c r="Y22" s="12">
        <v>8.5000000000000006E-3</v>
      </c>
      <c r="Z22" s="4" t="s">
        <v>95</v>
      </c>
      <c r="AA22" s="11"/>
      <c r="AB22" s="11"/>
      <c r="AC22" s="11"/>
      <c r="AD22" s="11"/>
      <c r="AE22" s="11"/>
      <c r="AF22" s="11"/>
      <c r="AG22" s="11"/>
      <c r="AH22" s="10" t="s">
        <v>131</v>
      </c>
      <c r="AI22" s="4"/>
    </row>
    <row r="23" spans="1:35" ht="60" customHeight="1" x14ac:dyDescent="0.2">
      <c r="A23" s="4">
        <v>22</v>
      </c>
      <c r="B23" s="4">
        <v>24</v>
      </c>
      <c r="C23" s="10" t="s">
        <v>129</v>
      </c>
      <c r="D23" s="4" t="s">
        <v>27</v>
      </c>
      <c r="E23" s="10" t="s">
        <v>132</v>
      </c>
      <c r="F23" s="11"/>
      <c r="G23" s="11"/>
      <c r="H23" s="11"/>
      <c r="I23" s="11"/>
      <c r="J23" s="11"/>
      <c r="K23" s="10" t="s">
        <v>83</v>
      </c>
      <c r="L23" s="10" t="s">
        <v>84</v>
      </c>
      <c r="M23" s="10" t="s">
        <v>85</v>
      </c>
      <c r="N23" s="11"/>
      <c r="O23" s="11"/>
      <c r="P23" s="10" t="s">
        <v>86</v>
      </c>
      <c r="Q23" s="12">
        <v>1.6E-2</v>
      </c>
      <c r="R23" s="12">
        <v>0.01</v>
      </c>
      <c r="S23" s="12">
        <v>6.0000000000000001E-3</v>
      </c>
      <c r="T23" s="11"/>
      <c r="U23" s="11"/>
      <c r="V23" s="11"/>
      <c r="W23" s="11"/>
      <c r="X23" s="12">
        <v>7.4999999999999997E-3</v>
      </c>
      <c r="Y23" s="12">
        <v>8.5000000000000006E-3</v>
      </c>
      <c r="Z23" s="4" t="s">
        <v>115</v>
      </c>
      <c r="AA23" s="11"/>
      <c r="AB23" s="11"/>
      <c r="AC23" s="11"/>
      <c r="AD23" s="11"/>
      <c r="AE23" s="11"/>
      <c r="AF23" s="11"/>
      <c r="AG23" s="11"/>
      <c r="AH23" s="10" t="s">
        <v>131</v>
      </c>
      <c r="AI23" s="4" t="s">
        <v>89</v>
      </c>
    </row>
    <row r="24" spans="1:35" ht="60" customHeight="1" x14ac:dyDescent="0.2">
      <c r="A24" s="4">
        <v>23</v>
      </c>
      <c r="B24" s="4">
        <v>25</v>
      </c>
      <c r="C24" s="10" t="s">
        <v>133</v>
      </c>
      <c r="D24" s="4" t="s">
        <v>29</v>
      </c>
      <c r="E24" s="10" t="s">
        <v>134</v>
      </c>
      <c r="F24" s="11"/>
      <c r="G24" s="11"/>
      <c r="H24" s="11"/>
      <c r="I24" s="11"/>
      <c r="J24" s="11"/>
      <c r="K24" s="10" t="s">
        <v>93</v>
      </c>
      <c r="L24" s="10" t="s">
        <v>94</v>
      </c>
      <c r="M24" s="10" t="s">
        <v>135</v>
      </c>
      <c r="N24" s="11"/>
      <c r="O24" s="11"/>
      <c r="P24" s="10" t="s">
        <v>123</v>
      </c>
      <c r="Q24" s="12">
        <v>6.7500000000000004E-2</v>
      </c>
      <c r="R24" s="12">
        <v>6.7500000000000004E-2</v>
      </c>
      <c r="S24" s="12">
        <v>0</v>
      </c>
      <c r="T24" s="11"/>
      <c r="U24" s="11"/>
      <c r="V24" s="11"/>
      <c r="W24" s="11"/>
      <c r="X24" s="12">
        <v>3.5000000000000003E-2</v>
      </c>
      <c r="Y24" s="12">
        <v>0.01</v>
      </c>
      <c r="Z24" s="4" t="s">
        <v>95</v>
      </c>
      <c r="AA24" s="11"/>
      <c r="AB24" s="11"/>
      <c r="AC24" s="11"/>
      <c r="AD24" s="11"/>
      <c r="AE24" s="11"/>
      <c r="AF24" s="11"/>
      <c r="AG24" s="11"/>
      <c r="AH24" s="10" t="s">
        <v>136</v>
      </c>
      <c r="AI24" s="4"/>
    </row>
    <row r="25" spans="1:35" ht="60" customHeight="1" x14ac:dyDescent="0.2">
      <c r="A25" s="4">
        <v>24</v>
      </c>
      <c r="B25" s="4">
        <v>26</v>
      </c>
      <c r="C25" s="10" t="s">
        <v>137</v>
      </c>
      <c r="D25" s="4" t="s">
        <v>29</v>
      </c>
      <c r="E25" s="10" t="s">
        <v>138</v>
      </c>
      <c r="F25" s="11"/>
      <c r="G25" s="11"/>
      <c r="H25" s="11"/>
      <c r="I25" s="11"/>
      <c r="J25" s="11"/>
      <c r="K25" s="10" t="s">
        <v>93</v>
      </c>
      <c r="L25" s="10" t="s">
        <v>94</v>
      </c>
      <c r="M25" s="10" t="s">
        <v>139</v>
      </c>
      <c r="N25" s="11"/>
      <c r="O25" s="11"/>
      <c r="P25" s="10" t="s">
        <v>86</v>
      </c>
      <c r="Q25" s="12">
        <v>3.2000000000000001E-2</v>
      </c>
      <c r="R25" s="12">
        <v>3.2000000000000001E-2</v>
      </c>
      <c r="S25" s="12">
        <v>0</v>
      </c>
      <c r="T25" s="11"/>
      <c r="U25" s="11"/>
      <c r="V25" s="11"/>
      <c r="W25" s="11"/>
      <c r="X25" s="12">
        <v>1.4999999999999999E-2</v>
      </c>
      <c r="Y25" s="12">
        <v>7.0000000000000001E-3</v>
      </c>
      <c r="Z25" s="4" t="s">
        <v>95</v>
      </c>
      <c r="AA25" s="11"/>
      <c r="AB25" s="11"/>
      <c r="AC25" s="11"/>
      <c r="AD25" s="11"/>
      <c r="AE25" s="11"/>
      <c r="AF25" s="11"/>
      <c r="AG25" s="11"/>
      <c r="AH25" s="10" t="s">
        <v>140</v>
      </c>
      <c r="AI25" s="4"/>
    </row>
    <row r="26" spans="1:35" ht="60" customHeight="1" x14ac:dyDescent="0.2">
      <c r="A26" s="4">
        <v>25</v>
      </c>
      <c r="B26" s="4">
        <v>27</v>
      </c>
      <c r="C26" s="10" t="s">
        <v>141</v>
      </c>
      <c r="D26" s="4" t="s">
        <v>45</v>
      </c>
      <c r="E26" s="11"/>
      <c r="F26" s="11"/>
      <c r="G26" s="11"/>
      <c r="H26" s="11"/>
      <c r="I26" s="11"/>
      <c r="J26" s="11"/>
      <c r="K26" s="10" t="s">
        <v>93</v>
      </c>
      <c r="L26" s="10" t="s">
        <v>94</v>
      </c>
      <c r="M26" s="10" t="s">
        <v>142</v>
      </c>
      <c r="N26" s="11"/>
      <c r="O26" s="11"/>
      <c r="P26" s="10" t="s">
        <v>86</v>
      </c>
      <c r="Q26" s="12">
        <v>2.8000000000000001E-2</v>
      </c>
      <c r="R26" s="12">
        <v>2.8000000000000001E-2</v>
      </c>
      <c r="S26" s="12">
        <v>0</v>
      </c>
      <c r="T26" s="11"/>
      <c r="U26" s="11"/>
      <c r="V26" s="11"/>
      <c r="W26" s="11"/>
      <c r="X26" s="10" t="s">
        <v>143</v>
      </c>
      <c r="Y26" s="10" t="s">
        <v>143</v>
      </c>
      <c r="Z26" s="4" t="s">
        <v>95</v>
      </c>
      <c r="AA26" s="11"/>
      <c r="AB26" s="11"/>
      <c r="AC26" s="11"/>
      <c r="AD26" s="11"/>
      <c r="AE26" s="11"/>
      <c r="AF26" s="11"/>
      <c r="AG26" s="11"/>
      <c r="AH26" s="10" t="s">
        <v>144</v>
      </c>
      <c r="AI26" s="4" t="s">
        <v>145</v>
      </c>
    </row>
    <row r="27" spans="1:35" ht="60" customHeight="1" x14ac:dyDescent="0.2">
      <c r="A27" s="4">
        <v>26</v>
      </c>
      <c r="B27" s="4">
        <v>28</v>
      </c>
      <c r="C27" s="10" t="s">
        <v>146</v>
      </c>
      <c r="D27" s="4" t="s">
        <v>41</v>
      </c>
      <c r="E27" s="11"/>
      <c r="F27" s="11"/>
      <c r="G27" s="11"/>
      <c r="H27" s="11"/>
      <c r="I27" s="11"/>
      <c r="J27" s="11"/>
      <c r="K27" s="10" t="s">
        <v>93</v>
      </c>
      <c r="L27" s="10" t="s">
        <v>94</v>
      </c>
      <c r="M27" s="10" t="s">
        <v>147</v>
      </c>
      <c r="N27" s="11"/>
      <c r="O27" s="11"/>
      <c r="P27" s="10" t="s">
        <v>86</v>
      </c>
      <c r="Q27" s="12">
        <v>5.5E-2</v>
      </c>
      <c r="R27" s="12">
        <v>5.5E-2</v>
      </c>
      <c r="S27" s="12">
        <v>0</v>
      </c>
      <c r="T27" s="11"/>
      <c r="U27" s="11"/>
      <c r="V27" s="11"/>
      <c r="W27" s="11"/>
      <c r="X27" s="10" t="s">
        <v>143</v>
      </c>
      <c r="Y27" s="10" t="s">
        <v>143</v>
      </c>
      <c r="Z27" s="4" t="s">
        <v>95</v>
      </c>
      <c r="AA27" s="11"/>
      <c r="AB27" s="11"/>
      <c r="AC27" s="11"/>
      <c r="AD27" s="11"/>
      <c r="AE27" s="11"/>
      <c r="AF27" s="11"/>
      <c r="AG27" s="11"/>
      <c r="AH27" s="10" t="s">
        <v>148</v>
      </c>
      <c r="AI27" s="4" t="s">
        <v>145</v>
      </c>
    </row>
    <row r="28" spans="1:35" ht="60" customHeight="1" x14ac:dyDescent="0.2">
      <c r="A28" s="4">
        <v>27</v>
      </c>
      <c r="B28" s="4">
        <v>29</v>
      </c>
      <c r="C28" s="10" t="s">
        <v>149</v>
      </c>
      <c r="D28" s="4" t="s">
        <v>29</v>
      </c>
      <c r="E28" s="10" t="s">
        <v>150</v>
      </c>
      <c r="F28" s="11"/>
      <c r="G28" s="11"/>
      <c r="H28" s="11"/>
      <c r="I28" s="11"/>
      <c r="J28" s="11"/>
      <c r="K28" s="10" t="s">
        <v>93</v>
      </c>
      <c r="L28" s="10" t="s">
        <v>94</v>
      </c>
      <c r="M28" s="10" t="s">
        <v>151</v>
      </c>
      <c r="N28" s="11"/>
      <c r="O28" s="11"/>
      <c r="P28" s="10" t="s">
        <v>123</v>
      </c>
      <c r="Q28" s="12">
        <v>7.0000000000000007E-2</v>
      </c>
      <c r="R28" s="12">
        <v>7.0000000000000007E-2</v>
      </c>
      <c r="S28" s="12">
        <v>0</v>
      </c>
      <c r="T28" s="11"/>
      <c r="U28" s="11"/>
      <c r="V28" s="11"/>
      <c r="W28" s="11"/>
      <c r="X28" s="12">
        <v>5.2499999999999998E-2</v>
      </c>
      <c r="Y28" s="12">
        <v>1.7500000000000002E-2</v>
      </c>
      <c r="Z28" s="4" t="s">
        <v>95</v>
      </c>
      <c r="AA28" s="11"/>
      <c r="AB28" s="11"/>
      <c r="AC28" s="11"/>
      <c r="AD28" s="11"/>
      <c r="AE28" s="11"/>
      <c r="AF28" s="11"/>
      <c r="AG28" s="11"/>
      <c r="AH28" s="10" t="s">
        <v>152</v>
      </c>
      <c r="AI28" s="4"/>
    </row>
    <row r="29" spans="1:35" ht="60" customHeight="1" x14ac:dyDescent="0.2">
      <c r="A29" s="4">
        <v>28</v>
      </c>
      <c r="B29" s="4">
        <v>30</v>
      </c>
      <c r="C29" s="10" t="s">
        <v>153</v>
      </c>
      <c r="D29" s="4" t="s">
        <v>25</v>
      </c>
      <c r="E29" s="10" t="s">
        <v>154</v>
      </c>
      <c r="F29" s="11"/>
      <c r="G29" s="11"/>
      <c r="H29" s="11"/>
      <c r="I29" s="11"/>
      <c r="J29" s="11"/>
      <c r="K29" s="10" t="s">
        <v>93</v>
      </c>
      <c r="L29" s="10" t="s">
        <v>94</v>
      </c>
      <c r="M29" s="10" t="s">
        <v>155</v>
      </c>
      <c r="N29" s="11"/>
      <c r="O29" s="11"/>
      <c r="P29" s="10" t="s">
        <v>86</v>
      </c>
      <c r="Q29" s="12">
        <v>1.4999999999999999E-2</v>
      </c>
      <c r="R29" s="12">
        <v>1.4999999999999999E-2</v>
      </c>
      <c r="S29" s="12">
        <v>0</v>
      </c>
      <c r="T29" s="11"/>
      <c r="U29" s="11"/>
      <c r="V29" s="11"/>
      <c r="W29" s="11"/>
      <c r="X29" s="12">
        <v>4.0000000000000001E-3</v>
      </c>
      <c r="Y29" s="12">
        <v>1.0999999999999999E-2</v>
      </c>
      <c r="Z29" s="4" t="s">
        <v>95</v>
      </c>
      <c r="AA29" s="11"/>
      <c r="AB29" s="11"/>
      <c r="AC29" s="11"/>
      <c r="AD29" s="11"/>
      <c r="AE29" s="11"/>
      <c r="AF29" s="11"/>
      <c r="AG29" s="11"/>
      <c r="AH29" s="10" t="s">
        <v>88</v>
      </c>
      <c r="AI29" s="4" t="s">
        <v>96</v>
      </c>
    </row>
    <row r="30" spans="1:35" ht="60" customHeight="1" x14ac:dyDescent="0.2">
      <c r="A30" s="4">
        <v>29</v>
      </c>
      <c r="B30" s="4">
        <v>31</v>
      </c>
      <c r="C30" s="10" t="s">
        <v>156</v>
      </c>
      <c r="D30" s="4" t="s">
        <v>25</v>
      </c>
      <c r="E30" s="10" t="s">
        <v>157</v>
      </c>
      <c r="F30" s="11"/>
      <c r="G30" s="11"/>
      <c r="H30" s="11"/>
      <c r="I30" s="11"/>
      <c r="J30" s="11"/>
      <c r="K30" s="10" t="s">
        <v>93</v>
      </c>
      <c r="L30" s="10" t="s">
        <v>94</v>
      </c>
      <c r="M30" s="10" t="s">
        <v>158</v>
      </c>
      <c r="N30" s="11"/>
      <c r="O30" s="11"/>
      <c r="P30" s="10" t="s">
        <v>86</v>
      </c>
      <c r="Q30" s="12">
        <v>2.2499999999999999E-2</v>
      </c>
      <c r="R30" s="12">
        <v>2.2499999999999999E-2</v>
      </c>
      <c r="S30" s="12">
        <v>0</v>
      </c>
      <c r="T30" s="11"/>
      <c r="U30" s="11"/>
      <c r="V30" s="11"/>
      <c r="W30" s="11"/>
      <c r="X30" s="12">
        <v>1.2200000000000001E-2</v>
      </c>
      <c r="Y30" s="12">
        <v>1.03E-2</v>
      </c>
      <c r="Z30" s="4" t="s">
        <v>95</v>
      </c>
      <c r="AA30" s="11"/>
      <c r="AB30" s="11"/>
      <c r="AC30" s="11"/>
      <c r="AD30" s="11"/>
      <c r="AE30" s="11"/>
      <c r="AF30" s="11"/>
      <c r="AG30" s="11"/>
      <c r="AH30" s="10" t="s">
        <v>88</v>
      </c>
      <c r="AI30" s="4" t="s">
        <v>96</v>
      </c>
    </row>
    <row r="31" spans="1:35" ht="60" customHeight="1" x14ac:dyDescent="0.2">
      <c r="A31" s="4">
        <v>30</v>
      </c>
      <c r="B31" s="4">
        <v>32</v>
      </c>
      <c r="C31" s="10" t="s">
        <v>159</v>
      </c>
      <c r="D31" s="4" t="s">
        <v>31</v>
      </c>
      <c r="E31" s="10" t="s">
        <v>160</v>
      </c>
      <c r="F31" s="11"/>
      <c r="G31" s="11"/>
      <c r="H31" s="11"/>
      <c r="I31" s="11"/>
      <c r="J31" s="11"/>
      <c r="K31" s="10" t="s">
        <v>93</v>
      </c>
      <c r="L31" s="10" t="s">
        <v>94</v>
      </c>
      <c r="M31" s="10" t="s">
        <v>155</v>
      </c>
      <c r="N31" s="11"/>
      <c r="O31" s="11"/>
      <c r="P31" s="10" t="s">
        <v>86</v>
      </c>
      <c r="Q31" s="12">
        <v>2.5000000000000001E-2</v>
      </c>
      <c r="R31" s="12">
        <v>2.5000000000000001E-2</v>
      </c>
      <c r="S31" s="12">
        <v>0</v>
      </c>
      <c r="T31" s="11"/>
      <c r="U31" s="11"/>
      <c r="V31" s="11"/>
      <c r="W31" s="11"/>
      <c r="X31" s="12">
        <v>4.0000000000000001E-3</v>
      </c>
      <c r="Y31" s="12">
        <v>2.1000000000000001E-2</v>
      </c>
      <c r="Z31" s="4" t="s">
        <v>95</v>
      </c>
      <c r="AA31" s="11"/>
      <c r="AB31" s="11"/>
      <c r="AC31" s="11"/>
      <c r="AD31" s="11"/>
      <c r="AE31" s="11"/>
      <c r="AF31" s="11"/>
      <c r="AG31" s="11"/>
      <c r="AH31" s="4"/>
      <c r="AI31" s="4"/>
    </row>
    <row r="32" spans="1:35" ht="60" customHeight="1" x14ac:dyDescent="0.2">
      <c r="A32" s="4">
        <v>31</v>
      </c>
      <c r="B32" s="4">
        <v>33</v>
      </c>
      <c r="C32" s="10" t="s">
        <v>161</v>
      </c>
      <c r="D32" s="4" t="s">
        <v>31</v>
      </c>
      <c r="E32" s="10" t="s">
        <v>162</v>
      </c>
      <c r="F32" s="11"/>
      <c r="G32" s="11"/>
      <c r="H32" s="11"/>
      <c r="I32" s="11"/>
      <c r="J32" s="11"/>
      <c r="K32" s="10" t="s">
        <v>93</v>
      </c>
      <c r="L32" s="10" t="s">
        <v>94</v>
      </c>
      <c r="M32" s="10" t="s">
        <v>155</v>
      </c>
      <c r="N32" s="11"/>
      <c r="O32" s="11"/>
      <c r="P32" s="10" t="s">
        <v>86</v>
      </c>
      <c r="Q32" s="12">
        <v>2.2499999999999999E-2</v>
      </c>
      <c r="R32" s="12">
        <v>2.2499999999999999E-2</v>
      </c>
      <c r="S32" s="12">
        <v>0</v>
      </c>
      <c r="T32" s="11"/>
      <c r="U32" s="11"/>
      <c r="V32" s="11"/>
      <c r="W32" s="11"/>
      <c r="X32" s="12">
        <v>4.0000000000000001E-3</v>
      </c>
      <c r="Y32" s="12">
        <v>1.8499999999999999E-2</v>
      </c>
      <c r="Z32" s="4" t="s">
        <v>95</v>
      </c>
      <c r="AA32" s="11"/>
      <c r="AB32" s="11"/>
      <c r="AC32" s="11"/>
      <c r="AD32" s="11"/>
      <c r="AE32" s="11"/>
      <c r="AF32" s="11"/>
      <c r="AG32" s="11"/>
      <c r="AH32" s="10" t="s">
        <v>163</v>
      </c>
      <c r="AI32" s="4"/>
    </row>
    <row r="33" spans="1:35" ht="60" customHeight="1" x14ac:dyDescent="0.2">
      <c r="A33" s="4">
        <v>32</v>
      </c>
      <c r="B33" s="4">
        <v>34</v>
      </c>
      <c r="C33" s="10" t="s">
        <v>164</v>
      </c>
      <c r="D33" s="4" t="s">
        <v>29</v>
      </c>
      <c r="E33" s="10" t="s">
        <v>165</v>
      </c>
      <c r="F33" s="11"/>
      <c r="G33" s="11"/>
      <c r="H33" s="11"/>
      <c r="I33" s="11"/>
      <c r="J33" s="11"/>
      <c r="K33" s="10" t="s">
        <v>93</v>
      </c>
      <c r="L33" s="10" t="s">
        <v>94</v>
      </c>
      <c r="M33" s="10" t="s">
        <v>166</v>
      </c>
      <c r="N33" s="11"/>
      <c r="O33" s="11"/>
      <c r="P33" s="10" t="s">
        <v>123</v>
      </c>
      <c r="Q33" s="12">
        <v>0.01</v>
      </c>
      <c r="R33" s="12">
        <v>0.01</v>
      </c>
      <c r="S33" s="12">
        <v>0</v>
      </c>
      <c r="T33" s="11"/>
      <c r="U33" s="11"/>
      <c r="V33" s="11"/>
      <c r="W33" s="11"/>
      <c r="X33" s="12">
        <v>6.4999999999999997E-3</v>
      </c>
      <c r="Y33" s="12">
        <v>3.5000000000000001E-3</v>
      </c>
      <c r="Z33" s="4" t="s">
        <v>95</v>
      </c>
      <c r="AA33" s="11"/>
      <c r="AB33" s="11"/>
      <c r="AC33" s="11"/>
      <c r="AD33" s="11"/>
      <c r="AE33" s="11"/>
      <c r="AF33" s="11"/>
      <c r="AG33" s="11"/>
      <c r="AH33" s="10" t="s">
        <v>167</v>
      </c>
      <c r="AI33" s="4" t="s">
        <v>168</v>
      </c>
    </row>
    <row r="34" spans="1:35" ht="60" customHeight="1" x14ac:dyDescent="0.2">
      <c r="A34" s="4">
        <v>33</v>
      </c>
      <c r="B34" s="4">
        <v>35</v>
      </c>
      <c r="C34" s="10" t="s">
        <v>169</v>
      </c>
      <c r="D34" s="4" t="s">
        <v>25</v>
      </c>
      <c r="E34" s="10" t="s">
        <v>170</v>
      </c>
      <c r="F34" s="11"/>
      <c r="G34" s="11"/>
      <c r="H34" s="11"/>
      <c r="I34" s="11"/>
      <c r="J34" s="11"/>
      <c r="K34" s="10" t="s">
        <v>93</v>
      </c>
      <c r="L34" s="10" t="s">
        <v>94</v>
      </c>
      <c r="M34" s="10" t="s">
        <v>155</v>
      </c>
      <c r="N34" s="11"/>
      <c r="O34" s="11"/>
      <c r="P34" s="10" t="s">
        <v>86</v>
      </c>
      <c r="Q34" s="12">
        <v>8.9999999999999993E-3</v>
      </c>
      <c r="R34" s="12">
        <v>8.9999999999999993E-3</v>
      </c>
      <c r="S34" s="12">
        <v>0</v>
      </c>
      <c r="T34" s="11"/>
      <c r="U34" s="11"/>
      <c r="V34" s="11"/>
      <c r="W34" s="11"/>
      <c r="X34" s="12">
        <v>4.0000000000000001E-3</v>
      </c>
      <c r="Y34" s="12">
        <v>5.0000000000000001E-3</v>
      </c>
      <c r="Z34" s="4" t="s">
        <v>95</v>
      </c>
      <c r="AA34" s="11"/>
      <c r="AB34" s="11"/>
      <c r="AC34" s="11"/>
      <c r="AD34" s="11"/>
      <c r="AE34" s="11"/>
      <c r="AF34" s="11"/>
      <c r="AG34" s="11"/>
      <c r="AH34" s="10" t="s">
        <v>88</v>
      </c>
      <c r="AI34" s="4" t="s">
        <v>96</v>
      </c>
    </row>
    <row r="35" spans="1:35" ht="60" customHeight="1" x14ac:dyDescent="0.2">
      <c r="A35" s="4">
        <v>34</v>
      </c>
      <c r="B35" s="4">
        <v>36</v>
      </c>
      <c r="C35" s="10" t="s">
        <v>171</v>
      </c>
      <c r="D35" s="4" t="s">
        <v>29</v>
      </c>
      <c r="E35" s="10" t="s">
        <v>172</v>
      </c>
      <c r="F35" s="11"/>
      <c r="G35" s="11"/>
      <c r="H35" s="11"/>
      <c r="I35" s="11"/>
      <c r="J35" s="11"/>
      <c r="K35" s="10" t="s">
        <v>93</v>
      </c>
      <c r="L35" s="10" t="s">
        <v>94</v>
      </c>
      <c r="M35" s="10" t="s">
        <v>173</v>
      </c>
      <c r="N35" s="11"/>
      <c r="O35" s="11"/>
      <c r="P35" s="10" t="s">
        <v>123</v>
      </c>
      <c r="Q35" s="12">
        <v>7.4999999999999997E-3</v>
      </c>
      <c r="R35" s="12">
        <v>7.4999999999999997E-3</v>
      </c>
      <c r="S35" s="12">
        <v>0</v>
      </c>
      <c r="T35" s="11"/>
      <c r="U35" s="11"/>
      <c r="V35" s="11"/>
      <c r="W35" s="11"/>
      <c r="X35" s="12">
        <v>4.0000000000000001E-3</v>
      </c>
      <c r="Y35" s="12">
        <v>3.5000000000000001E-3</v>
      </c>
      <c r="Z35" s="4" t="s">
        <v>95</v>
      </c>
      <c r="AA35" s="11"/>
      <c r="AB35" s="11"/>
      <c r="AC35" s="11"/>
      <c r="AD35" s="11"/>
      <c r="AE35" s="11"/>
      <c r="AF35" s="11"/>
      <c r="AG35" s="11"/>
      <c r="AH35" s="10" t="s">
        <v>174</v>
      </c>
      <c r="AI35" s="4" t="s">
        <v>168</v>
      </c>
    </row>
    <row r="36" spans="1:35" ht="60" customHeight="1" x14ac:dyDescent="0.2">
      <c r="A36" s="4">
        <v>35</v>
      </c>
      <c r="B36" s="4">
        <v>37</v>
      </c>
      <c r="C36" s="10" t="s">
        <v>175</v>
      </c>
      <c r="D36" s="4" t="s">
        <v>37</v>
      </c>
      <c r="E36" s="10" t="s">
        <v>176</v>
      </c>
      <c r="F36" s="11"/>
      <c r="G36" s="11"/>
      <c r="H36" s="11"/>
      <c r="I36" s="11"/>
      <c r="J36" s="11"/>
      <c r="K36" s="10" t="s">
        <v>93</v>
      </c>
      <c r="L36" s="10" t="s">
        <v>94</v>
      </c>
      <c r="M36" s="10" t="s">
        <v>177</v>
      </c>
      <c r="N36" s="11"/>
      <c r="O36" s="11"/>
      <c r="P36" s="10" t="s">
        <v>86</v>
      </c>
      <c r="Q36" s="12">
        <v>0.02</v>
      </c>
      <c r="R36" s="12">
        <v>0.02</v>
      </c>
      <c r="S36" s="12">
        <v>0</v>
      </c>
      <c r="T36" s="11"/>
      <c r="U36" s="11"/>
      <c r="V36" s="11"/>
      <c r="W36" s="11"/>
      <c r="X36" s="12">
        <v>5.0000000000000001E-3</v>
      </c>
      <c r="Y36" s="12">
        <v>1.4999999999999999E-2</v>
      </c>
      <c r="Z36" s="4" t="s">
        <v>95</v>
      </c>
      <c r="AA36" s="11"/>
      <c r="AB36" s="11"/>
      <c r="AC36" s="11"/>
      <c r="AD36" s="11"/>
      <c r="AE36" s="11"/>
      <c r="AF36" s="11"/>
      <c r="AG36" s="11"/>
      <c r="AH36" s="10" t="s">
        <v>178</v>
      </c>
      <c r="AI36" s="4"/>
    </row>
    <row r="37" spans="1:35" ht="60" customHeight="1" x14ac:dyDescent="0.2">
      <c r="A37" s="4">
        <v>36</v>
      </c>
      <c r="B37" s="4">
        <v>38</v>
      </c>
      <c r="C37" s="10" t="s">
        <v>179</v>
      </c>
      <c r="D37" s="4" t="s">
        <v>35</v>
      </c>
      <c r="E37" s="10" t="s">
        <v>180</v>
      </c>
      <c r="F37" s="11"/>
      <c r="G37" s="11"/>
      <c r="H37" s="11"/>
      <c r="I37" s="11"/>
      <c r="J37" s="11"/>
      <c r="K37" s="10" t="s">
        <v>181</v>
      </c>
      <c r="L37" s="10" t="s">
        <v>182</v>
      </c>
      <c r="M37" s="10" t="s">
        <v>85</v>
      </c>
      <c r="N37" s="11"/>
      <c r="O37" s="11"/>
      <c r="P37" s="10" t="s">
        <v>86</v>
      </c>
      <c r="Q37" s="12">
        <v>0.02</v>
      </c>
      <c r="R37" s="12">
        <v>0.02</v>
      </c>
      <c r="S37" s="12">
        <v>0</v>
      </c>
      <c r="T37" s="11"/>
      <c r="U37" s="11"/>
      <c r="V37" s="11"/>
      <c r="W37" s="11"/>
      <c r="X37" s="12">
        <v>0</v>
      </c>
      <c r="Y37" s="12">
        <v>0.02</v>
      </c>
      <c r="Z37" s="4" t="s">
        <v>183</v>
      </c>
      <c r="AA37" s="11"/>
      <c r="AB37" s="11"/>
      <c r="AC37" s="11"/>
      <c r="AD37" s="11"/>
      <c r="AE37" s="11"/>
      <c r="AF37" s="11"/>
      <c r="AG37" s="11"/>
      <c r="AH37" s="10" t="s">
        <v>184</v>
      </c>
      <c r="AI37" s="4"/>
    </row>
    <row r="38" spans="1:35" ht="60" customHeight="1" x14ac:dyDescent="0.2">
      <c r="A38" s="4">
        <v>37</v>
      </c>
      <c r="B38" s="4">
        <v>39</v>
      </c>
      <c r="C38" s="10" t="s">
        <v>185</v>
      </c>
      <c r="D38" s="4" t="s">
        <v>35</v>
      </c>
      <c r="E38" s="10" t="s">
        <v>186</v>
      </c>
      <c r="F38" s="11"/>
      <c r="G38" s="11"/>
      <c r="H38" s="11"/>
      <c r="I38" s="11"/>
      <c r="J38" s="11"/>
      <c r="K38" s="10" t="s">
        <v>181</v>
      </c>
      <c r="L38" s="10" t="s">
        <v>182</v>
      </c>
      <c r="M38" s="10" t="s">
        <v>85</v>
      </c>
      <c r="N38" s="11"/>
      <c r="O38" s="11"/>
      <c r="P38" s="10" t="s">
        <v>86</v>
      </c>
      <c r="Q38" s="12">
        <v>7.4999999999999997E-3</v>
      </c>
      <c r="R38" s="12">
        <v>7.4999999999999997E-3</v>
      </c>
      <c r="S38" s="12">
        <v>0</v>
      </c>
      <c r="T38" s="11"/>
      <c r="U38" s="11"/>
      <c r="V38" s="11"/>
      <c r="W38" s="11"/>
      <c r="X38" s="12">
        <v>0</v>
      </c>
      <c r="Y38" s="12">
        <v>7.4999999999999997E-3</v>
      </c>
      <c r="Z38" s="4" t="s">
        <v>183</v>
      </c>
      <c r="AA38" s="11"/>
      <c r="AB38" s="11"/>
      <c r="AC38" s="11"/>
      <c r="AD38" s="11"/>
      <c r="AE38" s="11"/>
      <c r="AF38" s="11"/>
      <c r="AG38" s="11"/>
      <c r="AH38" s="10" t="s">
        <v>184</v>
      </c>
      <c r="AI38" s="4"/>
    </row>
    <row r="39" spans="1:35" ht="60" customHeight="1" x14ac:dyDescent="0.2">
      <c r="A39" s="4">
        <v>38</v>
      </c>
      <c r="B39" s="4">
        <v>40</v>
      </c>
      <c r="C39" s="10" t="s">
        <v>187</v>
      </c>
      <c r="D39" s="4" t="s">
        <v>35</v>
      </c>
      <c r="E39" s="10" t="s">
        <v>188</v>
      </c>
      <c r="F39" s="11"/>
      <c r="G39" s="11"/>
      <c r="H39" s="11"/>
      <c r="I39" s="11"/>
      <c r="J39" s="11"/>
      <c r="K39" s="10" t="s">
        <v>181</v>
      </c>
      <c r="L39" s="10" t="s">
        <v>182</v>
      </c>
      <c r="M39" s="10" t="s">
        <v>85</v>
      </c>
      <c r="N39" s="11"/>
      <c r="O39" s="11"/>
      <c r="P39" s="10" t="s">
        <v>86</v>
      </c>
      <c r="Q39" s="12">
        <v>1.4999999999999999E-2</v>
      </c>
      <c r="R39" s="12">
        <v>1.4999999999999999E-2</v>
      </c>
      <c r="S39" s="12">
        <v>0</v>
      </c>
      <c r="T39" s="11"/>
      <c r="U39" s="11"/>
      <c r="V39" s="11"/>
      <c r="W39" s="11"/>
      <c r="X39" s="12">
        <v>0</v>
      </c>
      <c r="Y39" s="12">
        <v>1.4999999999999999E-2</v>
      </c>
      <c r="Z39" s="4" t="s">
        <v>183</v>
      </c>
      <c r="AA39" s="11"/>
      <c r="AB39" s="11"/>
      <c r="AC39" s="11"/>
      <c r="AD39" s="11"/>
      <c r="AE39" s="11"/>
      <c r="AF39" s="11"/>
      <c r="AG39" s="11"/>
      <c r="AH39" s="10" t="s">
        <v>184</v>
      </c>
      <c r="AI39" s="4"/>
    </row>
    <row r="40" spans="1:35" ht="60" customHeight="1" x14ac:dyDescent="0.2">
      <c r="A40" s="4">
        <v>39</v>
      </c>
      <c r="B40" s="4">
        <v>41</v>
      </c>
      <c r="C40" s="10" t="s">
        <v>189</v>
      </c>
      <c r="D40" s="4" t="s">
        <v>35</v>
      </c>
      <c r="E40" s="10" t="s">
        <v>190</v>
      </c>
      <c r="F40" s="11"/>
      <c r="G40" s="11"/>
      <c r="H40" s="11"/>
      <c r="I40" s="11"/>
      <c r="J40" s="11"/>
      <c r="K40" s="10" t="s">
        <v>181</v>
      </c>
      <c r="L40" s="10" t="s">
        <v>182</v>
      </c>
      <c r="M40" s="10" t="s">
        <v>85</v>
      </c>
      <c r="N40" s="11"/>
      <c r="O40" s="11"/>
      <c r="P40" s="10" t="s">
        <v>86</v>
      </c>
      <c r="Q40" s="12">
        <v>1.4999999999999999E-2</v>
      </c>
      <c r="R40" s="12">
        <v>1.4999999999999999E-2</v>
      </c>
      <c r="S40" s="12">
        <v>0</v>
      </c>
      <c r="T40" s="11"/>
      <c r="U40" s="11"/>
      <c r="V40" s="11"/>
      <c r="W40" s="11"/>
      <c r="X40" s="12">
        <v>0</v>
      </c>
      <c r="Y40" s="12">
        <v>1.4999999999999999E-2</v>
      </c>
      <c r="Z40" s="4" t="s">
        <v>183</v>
      </c>
      <c r="AA40" s="11"/>
      <c r="AB40" s="11"/>
      <c r="AC40" s="11"/>
      <c r="AD40" s="11"/>
      <c r="AE40" s="11"/>
      <c r="AF40" s="11"/>
      <c r="AG40" s="11"/>
      <c r="AH40" s="10" t="s">
        <v>184</v>
      </c>
      <c r="AI40" s="4"/>
    </row>
    <row r="41" spans="1:35" ht="60" customHeight="1" x14ac:dyDescent="0.2">
      <c r="A41" s="4">
        <v>40</v>
      </c>
      <c r="B41" s="4">
        <v>42</v>
      </c>
      <c r="C41" s="10" t="s">
        <v>191</v>
      </c>
      <c r="D41" s="4" t="s">
        <v>35</v>
      </c>
      <c r="E41" s="10" t="s">
        <v>192</v>
      </c>
      <c r="F41" s="11"/>
      <c r="G41" s="11"/>
      <c r="H41" s="11"/>
      <c r="I41" s="11"/>
      <c r="J41" s="11"/>
      <c r="K41" s="10" t="s">
        <v>181</v>
      </c>
      <c r="L41" s="10" t="s">
        <v>182</v>
      </c>
      <c r="M41" s="10" t="s">
        <v>85</v>
      </c>
      <c r="N41" s="11"/>
      <c r="O41" s="11"/>
      <c r="P41" s="10" t="s">
        <v>86</v>
      </c>
      <c r="Q41" s="12">
        <v>1.4999999999999999E-2</v>
      </c>
      <c r="R41" s="12">
        <v>1.4999999999999999E-2</v>
      </c>
      <c r="S41" s="12">
        <v>0</v>
      </c>
      <c r="T41" s="11"/>
      <c r="U41" s="11"/>
      <c r="V41" s="11"/>
      <c r="W41" s="11"/>
      <c r="X41" s="12">
        <v>0</v>
      </c>
      <c r="Y41" s="12">
        <v>1.4999999999999999E-2</v>
      </c>
      <c r="Z41" s="4" t="s">
        <v>183</v>
      </c>
      <c r="AA41" s="11"/>
      <c r="AB41" s="11"/>
      <c r="AC41" s="11"/>
      <c r="AD41" s="11"/>
      <c r="AE41" s="11"/>
      <c r="AF41" s="11"/>
      <c r="AG41" s="11"/>
      <c r="AH41" s="10" t="s">
        <v>184</v>
      </c>
      <c r="AI41" s="4"/>
    </row>
    <row r="42" spans="1:35" ht="60" customHeight="1" x14ac:dyDescent="0.2">
      <c r="A42" s="4">
        <v>41</v>
      </c>
      <c r="B42" s="4">
        <v>43</v>
      </c>
      <c r="C42" s="10" t="s">
        <v>193</v>
      </c>
      <c r="D42" s="4" t="s">
        <v>29</v>
      </c>
      <c r="E42" s="10" t="s">
        <v>194</v>
      </c>
      <c r="F42" s="11"/>
      <c r="G42" s="11"/>
      <c r="H42" s="11"/>
      <c r="I42" s="11"/>
      <c r="J42" s="11"/>
      <c r="K42" s="10" t="s">
        <v>93</v>
      </c>
      <c r="L42" s="10" t="s">
        <v>94</v>
      </c>
      <c r="M42" s="10" t="s">
        <v>195</v>
      </c>
      <c r="N42" s="11"/>
      <c r="O42" s="11"/>
      <c r="P42" s="10" t="s">
        <v>123</v>
      </c>
      <c r="Q42" s="12">
        <v>5.0000000000000001E-3</v>
      </c>
      <c r="R42" s="12">
        <v>5.0000000000000001E-3</v>
      </c>
      <c r="S42" s="12">
        <v>0</v>
      </c>
      <c r="T42" s="11"/>
      <c r="U42" s="11"/>
      <c r="V42" s="11"/>
      <c r="W42" s="11"/>
      <c r="X42" s="12">
        <v>8.3000000000000001E-3</v>
      </c>
      <c r="Y42" s="12">
        <v>5.0000000000000001E-3</v>
      </c>
      <c r="Z42" s="4" t="s">
        <v>95</v>
      </c>
      <c r="AA42" s="11"/>
      <c r="AB42" s="11"/>
      <c r="AC42" s="11"/>
      <c r="AD42" s="11"/>
      <c r="AE42" s="11"/>
      <c r="AF42" s="11"/>
      <c r="AG42" s="11"/>
      <c r="AH42" s="10" t="s">
        <v>196</v>
      </c>
      <c r="AI42" s="4" t="s">
        <v>168</v>
      </c>
    </row>
    <row r="43" spans="1:35" ht="60" customHeight="1" x14ac:dyDescent="0.2">
      <c r="A43" s="4">
        <v>42</v>
      </c>
      <c r="B43" s="4">
        <v>44</v>
      </c>
      <c r="C43" s="10" t="s">
        <v>197</v>
      </c>
      <c r="D43" s="4" t="s">
        <v>29</v>
      </c>
      <c r="E43" s="10" t="s">
        <v>198</v>
      </c>
      <c r="F43" s="11"/>
      <c r="G43" s="11"/>
      <c r="H43" s="11"/>
      <c r="I43" s="11"/>
      <c r="J43" s="11"/>
      <c r="K43" s="10" t="s">
        <v>93</v>
      </c>
      <c r="L43" s="10" t="s">
        <v>94</v>
      </c>
      <c r="M43" s="10" t="s">
        <v>199</v>
      </c>
      <c r="N43" s="11"/>
      <c r="O43" s="11"/>
      <c r="P43" s="10" t="s">
        <v>86</v>
      </c>
      <c r="Q43" s="12">
        <v>0.04</v>
      </c>
      <c r="R43" s="12">
        <v>0.04</v>
      </c>
      <c r="S43" s="12">
        <v>0</v>
      </c>
      <c r="T43" s="11"/>
      <c r="U43" s="11"/>
      <c r="V43" s="11"/>
      <c r="W43" s="11"/>
      <c r="X43" s="12">
        <v>0.03</v>
      </c>
      <c r="Y43" s="12">
        <v>0.01</v>
      </c>
      <c r="Z43" s="4" t="s">
        <v>95</v>
      </c>
      <c r="AA43" s="11"/>
      <c r="AB43" s="11"/>
      <c r="AC43" s="11"/>
      <c r="AD43" s="11"/>
      <c r="AE43" s="11"/>
      <c r="AF43" s="11"/>
      <c r="AG43" s="11"/>
      <c r="AH43" s="10" t="s">
        <v>88</v>
      </c>
      <c r="AI43" s="4"/>
    </row>
    <row r="44" spans="1:35" ht="60" customHeight="1" x14ac:dyDescent="0.2">
      <c r="A44" s="4">
        <v>43</v>
      </c>
      <c r="B44" s="4">
        <v>45</v>
      </c>
      <c r="C44" s="10" t="s">
        <v>200</v>
      </c>
      <c r="D44" s="4" t="s">
        <v>41</v>
      </c>
      <c r="E44" s="10" t="s">
        <v>201</v>
      </c>
      <c r="F44" s="11"/>
      <c r="G44" s="11"/>
      <c r="H44" s="11"/>
      <c r="I44" s="11"/>
      <c r="J44" s="11"/>
      <c r="K44" s="10" t="s">
        <v>93</v>
      </c>
      <c r="L44" s="10" t="s">
        <v>94</v>
      </c>
      <c r="M44" s="10" t="s">
        <v>202</v>
      </c>
      <c r="N44" s="11"/>
      <c r="O44" s="11"/>
      <c r="P44" s="10" t="s">
        <v>86</v>
      </c>
      <c r="Q44" s="12">
        <v>5.0000000000000001E-3</v>
      </c>
      <c r="R44" s="12">
        <v>5.0000000000000001E-3</v>
      </c>
      <c r="S44" s="12">
        <v>0</v>
      </c>
      <c r="T44" s="11"/>
      <c r="U44" s="11"/>
      <c r="V44" s="11"/>
      <c r="W44" s="11"/>
      <c r="X44" s="12">
        <v>5.5E-2</v>
      </c>
      <c r="Y44" s="12">
        <v>0</v>
      </c>
      <c r="Z44" s="4" t="s">
        <v>95</v>
      </c>
      <c r="AA44" s="11"/>
      <c r="AB44" s="11"/>
      <c r="AC44" s="11"/>
      <c r="AD44" s="11"/>
      <c r="AE44" s="11"/>
      <c r="AF44" s="11"/>
      <c r="AG44" s="11"/>
      <c r="AH44" s="4"/>
      <c r="AI44" s="4"/>
    </row>
    <row r="45" spans="1:35" ht="60" customHeight="1" x14ac:dyDescent="0.2">
      <c r="A45" s="4">
        <v>44</v>
      </c>
      <c r="B45" s="4">
        <v>46</v>
      </c>
      <c r="C45" s="10" t="s">
        <v>203</v>
      </c>
      <c r="D45" s="4" t="s">
        <v>43</v>
      </c>
      <c r="E45" s="10" t="s">
        <v>204</v>
      </c>
      <c r="F45" s="11"/>
      <c r="G45" s="11"/>
      <c r="H45" s="11"/>
      <c r="I45" s="11"/>
      <c r="J45" s="11"/>
      <c r="K45" s="10" t="s">
        <v>93</v>
      </c>
      <c r="L45" s="10" t="s">
        <v>94</v>
      </c>
      <c r="M45" s="10" t="s">
        <v>151</v>
      </c>
      <c r="N45" s="11"/>
      <c r="O45" s="11"/>
      <c r="P45" s="10" t="s">
        <v>86</v>
      </c>
      <c r="Q45" s="12">
        <v>0</v>
      </c>
      <c r="R45" s="12">
        <v>0</v>
      </c>
      <c r="S45" s="12">
        <v>0</v>
      </c>
      <c r="T45" s="11"/>
      <c r="U45" s="11"/>
      <c r="V45" s="11"/>
      <c r="W45" s="11"/>
      <c r="X45" s="12">
        <v>5.5E-2</v>
      </c>
      <c r="Y45" s="12">
        <v>0</v>
      </c>
      <c r="Z45" s="4" t="s">
        <v>95</v>
      </c>
      <c r="AA45" s="11"/>
      <c r="AB45" s="11"/>
      <c r="AC45" s="11"/>
      <c r="AD45" s="11"/>
      <c r="AE45" s="11"/>
      <c r="AF45" s="11"/>
      <c r="AG45" s="11"/>
      <c r="AH45" s="10" t="s">
        <v>205</v>
      </c>
      <c r="AI45" s="4"/>
    </row>
    <row r="46" spans="1:35" ht="60" customHeight="1" x14ac:dyDescent="0.2">
      <c r="A46" s="4">
        <v>45</v>
      </c>
      <c r="B46" s="4">
        <v>47</v>
      </c>
      <c r="C46" s="10" t="s">
        <v>206</v>
      </c>
      <c r="D46" s="4" t="s">
        <v>43</v>
      </c>
      <c r="E46" s="10" t="s">
        <v>207</v>
      </c>
      <c r="F46" s="11"/>
      <c r="G46" s="11"/>
      <c r="H46" s="11"/>
      <c r="I46" s="11"/>
      <c r="J46" s="11"/>
      <c r="K46" s="10" t="s">
        <v>93</v>
      </c>
      <c r="L46" s="10" t="s">
        <v>94</v>
      </c>
      <c r="M46" s="10" t="s">
        <v>208</v>
      </c>
      <c r="N46" s="11"/>
      <c r="O46" s="11"/>
      <c r="P46" s="10" t="s">
        <v>86</v>
      </c>
      <c r="Q46" s="12">
        <v>0</v>
      </c>
      <c r="R46" s="12">
        <v>0</v>
      </c>
      <c r="S46" s="12">
        <v>0</v>
      </c>
      <c r="T46" s="11"/>
      <c r="U46" s="11"/>
      <c r="V46" s="11"/>
      <c r="W46" s="11"/>
      <c r="X46" s="12">
        <v>4.0000000000000001E-3</v>
      </c>
      <c r="Y46" s="12">
        <v>0</v>
      </c>
      <c r="Z46" s="4" t="s">
        <v>95</v>
      </c>
      <c r="AA46" s="11"/>
      <c r="AB46" s="11"/>
      <c r="AC46" s="11"/>
      <c r="AD46" s="11"/>
      <c r="AE46" s="11"/>
      <c r="AF46" s="11"/>
      <c r="AG46" s="11"/>
      <c r="AH46" s="10" t="s">
        <v>205</v>
      </c>
      <c r="AI46" s="4"/>
    </row>
  </sheetData>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
  <sheetViews>
    <sheetView tabSelected="1" topLeftCell="A32" zoomScaleNormal="100" workbookViewId="0">
      <selection activeCell="C26" sqref="C26"/>
    </sheetView>
  </sheetViews>
  <sheetFormatPr baseColWidth="10" defaultColWidth="8.6640625" defaultRowHeight="15" x14ac:dyDescent="0.2"/>
  <cols>
    <col min="1" max="1" width="34" customWidth="1"/>
    <col min="2" max="2" width="39.6640625" customWidth="1"/>
    <col min="3" max="3" width="50.33203125" bestFit="1" customWidth="1"/>
    <col min="4" max="4" width="18" customWidth="1"/>
    <col min="5" max="5" width="48" customWidth="1"/>
  </cols>
  <sheetData>
    <row r="1" spans="1:5" ht="17" x14ac:dyDescent="0.2">
      <c r="A1" s="2" t="s">
        <v>209</v>
      </c>
    </row>
    <row r="2" spans="1:5" x14ac:dyDescent="0.2">
      <c r="A2" s="13" t="s">
        <v>210</v>
      </c>
      <c r="B2" s="14" t="s">
        <v>211</v>
      </c>
    </row>
    <row r="3" spans="1:5" ht="30" customHeight="1" x14ac:dyDescent="0.2">
      <c r="A3" s="13" t="s">
        <v>212</v>
      </c>
      <c r="B3" s="15" t="s">
        <v>213</v>
      </c>
    </row>
    <row r="5" spans="1:5" x14ac:dyDescent="0.2">
      <c r="A5" s="16" t="s">
        <v>214</v>
      </c>
    </row>
    <row r="6" spans="1:5" x14ac:dyDescent="0.2">
      <c r="A6" s="17" t="s">
        <v>215</v>
      </c>
      <c r="B6" s="17" t="s">
        <v>216</v>
      </c>
      <c r="C6" s="17" t="s">
        <v>217</v>
      </c>
      <c r="D6" s="17" t="s">
        <v>218</v>
      </c>
      <c r="E6" s="17" t="s">
        <v>219</v>
      </c>
    </row>
    <row r="7" spans="1:5" ht="30" customHeight="1" x14ac:dyDescent="0.2">
      <c r="A7" s="4" t="s">
        <v>220</v>
      </c>
      <c r="B7" s="4" t="s">
        <v>221</v>
      </c>
      <c r="C7" s="10" t="s">
        <v>81</v>
      </c>
      <c r="D7" s="4" t="s">
        <v>222</v>
      </c>
      <c r="E7" s="18" t="s">
        <v>223</v>
      </c>
    </row>
    <row r="8" spans="1:5" ht="30" customHeight="1" x14ac:dyDescent="0.2">
      <c r="A8" s="4" t="s">
        <v>224</v>
      </c>
      <c r="B8" s="4" t="s">
        <v>225</v>
      </c>
      <c r="C8" s="32" t="s">
        <v>617</v>
      </c>
      <c r="D8" s="4" t="s">
        <v>226</v>
      </c>
      <c r="E8" s="18" t="s">
        <v>227</v>
      </c>
    </row>
    <row r="9" spans="1:5" ht="30" customHeight="1" x14ac:dyDescent="0.2">
      <c r="A9" s="4" t="s">
        <v>228</v>
      </c>
      <c r="B9" s="4" t="s">
        <v>229</v>
      </c>
      <c r="C9" s="32" t="s">
        <v>618</v>
      </c>
      <c r="D9" s="4" t="s">
        <v>226</v>
      </c>
      <c r="E9" s="18" t="s">
        <v>230</v>
      </c>
    </row>
    <row r="10" spans="1:5" ht="30" customHeight="1" x14ac:dyDescent="0.2">
      <c r="A10" s="4" t="s">
        <v>231</v>
      </c>
      <c r="B10" s="4" t="s">
        <v>232</v>
      </c>
      <c r="C10" s="32" t="s">
        <v>619</v>
      </c>
      <c r="D10" s="4" t="s">
        <v>226</v>
      </c>
      <c r="E10" s="18" t="s">
        <v>233</v>
      </c>
    </row>
    <row r="11" spans="1:5" ht="15.75" customHeight="1" x14ac:dyDescent="0.2">
      <c r="A11" s="4" t="s">
        <v>234</v>
      </c>
      <c r="B11" s="4" t="s">
        <v>235</v>
      </c>
      <c r="C11" s="10" t="s">
        <v>236</v>
      </c>
      <c r="D11" s="4" t="s">
        <v>222</v>
      </c>
      <c r="E11" s="18" t="s">
        <v>237</v>
      </c>
    </row>
    <row r="12" spans="1:5" ht="30" customHeight="1" x14ac:dyDescent="0.2">
      <c r="A12" s="4" t="s">
        <v>238</v>
      </c>
      <c r="B12" s="4" t="s">
        <v>239</v>
      </c>
      <c r="C12" s="10" t="s">
        <v>620</v>
      </c>
      <c r="D12" s="4" t="s">
        <v>222</v>
      </c>
      <c r="E12" s="18" t="s">
        <v>240</v>
      </c>
    </row>
    <row r="13" spans="1:5" ht="15.75" customHeight="1" x14ac:dyDescent="0.2">
      <c r="A13" s="4" t="s">
        <v>241</v>
      </c>
      <c r="B13" s="4" t="s">
        <v>242</v>
      </c>
      <c r="C13" s="10" t="s">
        <v>83</v>
      </c>
      <c r="D13" s="4" t="s">
        <v>222</v>
      </c>
      <c r="E13" s="18"/>
    </row>
    <row r="14" spans="1:5" ht="30" customHeight="1" x14ac:dyDescent="0.2">
      <c r="A14" s="4" t="s">
        <v>243</v>
      </c>
      <c r="B14" s="4" t="s">
        <v>244</v>
      </c>
      <c r="C14" s="10" t="s">
        <v>84</v>
      </c>
      <c r="D14" s="4" t="s">
        <v>222</v>
      </c>
      <c r="E14" s="18" t="s">
        <v>245</v>
      </c>
    </row>
    <row r="15" spans="1:5" ht="15.75" customHeight="1" x14ac:dyDescent="0.2">
      <c r="A15" s="4" t="s">
        <v>246</v>
      </c>
      <c r="B15" s="4" t="s">
        <v>247</v>
      </c>
      <c r="C15" s="10" t="s">
        <v>85</v>
      </c>
      <c r="D15" s="4" t="s">
        <v>222</v>
      </c>
      <c r="E15" s="18" t="s">
        <v>248</v>
      </c>
    </row>
    <row r="16" spans="1:5" ht="30" customHeight="1" x14ac:dyDescent="0.2">
      <c r="A16" s="4" t="s">
        <v>249</v>
      </c>
      <c r="B16" s="4" t="s">
        <v>250</v>
      </c>
      <c r="C16" s="10" t="s">
        <v>251</v>
      </c>
      <c r="D16" s="4" t="s">
        <v>222</v>
      </c>
      <c r="E16" s="18" t="s">
        <v>252</v>
      </c>
    </row>
    <row r="17" spans="1:5" ht="30" customHeight="1" x14ac:dyDescent="0.2">
      <c r="A17" s="4" t="s">
        <v>253</v>
      </c>
      <c r="B17" s="4" t="s">
        <v>254</v>
      </c>
      <c r="C17" s="10" t="s">
        <v>255</v>
      </c>
      <c r="D17" s="4" t="s">
        <v>222</v>
      </c>
      <c r="E17" s="18" t="s">
        <v>256</v>
      </c>
    </row>
    <row r="18" spans="1:5" ht="15.75" customHeight="1" x14ac:dyDescent="0.2">
      <c r="A18" s="4" t="s">
        <v>257</v>
      </c>
      <c r="B18" s="4" t="s">
        <v>258</v>
      </c>
      <c r="C18" s="10" t="s">
        <v>86</v>
      </c>
      <c r="D18" s="4" t="s">
        <v>222</v>
      </c>
      <c r="E18" s="18" t="s">
        <v>259</v>
      </c>
    </row>
    <row r="19" spans="1:5" ht="15.75" customHeight="1" x14ac:dyDescent="0.2">
      <c r="A19" s="4" t="s">
        <v>260</v>
      </c>
      <c r="B19" s="4" t="s">
        <v>261</v>
      </c>
      <c r="C19" s="12">
        <v>0.01</v>
      </c>
      <c r="D19" s="4" t="s">
        <v>222</v>
      </c>
      <c r="E19" s="18" t="s">
        <v>262</v>
      </c>
    </row>
    <row r="20" spans="1:5" ht="15.75" customHeight="1" x14ac:dyDescent="0.2">
      <c r="A20" s="4" t="s">
        <v>263</v>
      </c>
      <c r="B20" s="4" t="s">
        <v>264</v>
      </c>
      <c r="C20" s="12">
        <v>0.01</v>
      </c>
      <c r="D20" s="4" t="s">
        <v>222</v>
      </c>
      <c r="E20" s="18"/>
    </row>
    <row r="21" spans="1:5" ht="30" customHeight="1" x14ac:dyDescent="0.2">
      <c r="A21" s="4" t="s">
        <v>265</v>
      </c>
      <c r="B21" s="4" t="s">
        <v>266</v>
      </c>
      <c r="C21" s="12">
        <v>0</v>
      </c>
      <c r="D21" s="4" t="s">
        <v>222</v>
      </c>
      <c r="E21" s="18" t="s">
        <v>267</v>
      </c>
    </row>
    <row r="22" spans="1:5" ht="15.75" customHeight="1" x14ac:dyDescent="0.2">
      <c r="A22" s="4" t="s">
        <v>268</v>
      </c>
      <c r="B22" s="4" t="s">
        <v>269</v>
      </c>
      <c r="C22" s="32" t="s">
        <v>630</v>
      </c>
      <c r="D22" s="4" t="s">
        <v>226</v>
      </c>
      <c r="E22" s="18" t="s">
        <v>270</v>
      </c>
    </row>
    <row r="23" spans="1:5" ht="15.75" customHeight="1" x14ac:dyDescent="0.2">
      <c r="A23" s="4" t="s">
        <v>271</v>
      </c>
      <c r="B23" s="4" t="s">
        <v>272</v>
      </c>
      <c r="C23" s="32" t="s">
        <v>630</v>
      </c>
      <c r="D23" s="4" t="s">
        <v>226</v>
      </c>
      <c r="E23" s="18" t="s">
        <v>270</v>
      </c>
    </row>
    <row r="24" spans="1:5" ht="15.75" customHeight="1" x14ac:dyDescent="0.2">
      <c r="A24" s="4" t="s">
        <v>273</v>
      </c>
      <c r="B24" s="4" t="s">
        <v>274</v>
      </c>
      <c r="C24" s="32" t="s">
        <v>630</v>
      </c>
      <c r="D24" s="4" t="s">
        <v>226</v>
      </c>
      <c r="E24" s="18" t="s">
        <v>275</v>
      </c>
    </row>
    <row r="25" spans="1:5" ht="30" customHeight="1" x14ac:dyDescent="0.2">
      <c r="A25" s="4" t="s">
        <v>276</v>
      </c>
      <c r="B25" s="4" t="s">
        <v>277</v>
      </c>
      <c r="C25" s="32" t="s">
        <v>631</v>
      </c>
      <c r="D25" s="4" t="s">
        <v>278</v>
      </c>
      <c r="E25" s="18" t="s">
        <v>279</v>
      </c>
    </row>
    <row r="26" spans="1:5" ht="15.75" customHeight="1" x14ac:dyDescent="0.2">
      <c r="A26" s="4" t="s">
        <v>280</v>
      </c>
      <c r="B26" s="4" t="s">
        <v>281</v>
      </c>
      <c r="C26" s="10" t="s">
        <v>623</v>
      </c>
      <c r="D26" s="4" t="s">
        <v>80</v>
      </c>
      <c r="E26" s="18" t="s">
        <v>282</v>
      </c>
    </row>
    <row r="27" spans="1:5" ht="15.75" customHeight="1" x14ac:dyDescent="0.2">
      <c r="A27" s="4" t="s">
        <v>283</v>
      </c>
      <c r="B27" s="4" t="s">
        <v>284</v>
      </c>
      <c r="C27" s="12">
        <v>0.4</v>
      </c>
      <c r="D27" s="4" t="s">
        <v>285</v>
      </c>
      <c r="E27" s="18" t="s">
        <v>286</v>
      </c>
    </row>
    <row r="28" spans="1:5" ht="28" x14ac:dyDescent="0.2">
      <c r="A28" s="4" t="s">
        <v>287</v>
      </c>
      <c r="B28" s="4" t="s">
        <v>288</v>
      </c>
      <c r="C28" s="10" t="s">
        <v>621</v>
      </c>
      <c r="D28" s="4" t="s">
        <v>278</v>
      </c>
      <c r="E28" s="18" t="s">
        <v>289</v>
      </c>
    </row>
    <row r="29" spans="1:5" ht="30" customHeight="1" x14ac:dyDescent="0.2">
      <c r="A29" s="4" t="s">
        <v>290</v>
      </c>
      <c r="B29" s="4" t="s">
        <v>291</v>
      </c>
      <c r="C29" s="10" t="s">
        <v>292</v>
      </c>
      <c r="D29" s="4" t="s">
        <v>222</v>
      </c>
      <c r="E29" s="18" t="s">
        <v>293</v>
      </c>
    </row>
    <row r="30" spans="1:5" ht="15.75" customHeight="1" x14ac:dyDescent="0.2">
      <c r="A30" s="4" t="s">
        <v>294</v>
      </c>
      <c r="B30" s="4" t="s">
        <v>295</v>
      </c>
      <c r="C30" s="32" t="s">
        <v>83</v>
      </c>
      <c r="D30" s="4" t="s">
        <v>226</v>
      </c>
      <c r="E30" s="18"/>
    </row>
    <row r="31" spans="1:5" ht="15.75" customHeight="1" x14ac:dyDescent="0.2">
      <c r="A31" s="4" t="s">
        <v>296</v>
      </c>
      <c r="B31" s="4" t="s">
        <v>297</v>
      </c>
      <c r="C31" s="32" t="s">
        <v>624</v>
      </c>
      <c r="D31" s="4" t="s">
        <v>226</v>
      </c>
      <c r="E31" s="18" t="s">
        <v>298</v>
      </c>
    </row>
    <row r="32" spans="1:5" ht="30" customHeight="1" x14ac:dyDescent="0.2">
      <c r="A32" s="4" t="s">
        <v>299</v>
      </c>
      <c r="B32" s="4" t="s">
        <v>300</v>
      </c>
      <c r="C32" s="32" t="s">
        <v>625</v>
      </c>
      <c r="D32" s="4" t="s">
        <v>226</v>
      </c>
      <c r="E32" s="18" t="s">
        <v>301</v>
      </c>
    </row>
    <row r="34" spans="1:5" x14ac:dyDescent="0.2">
      <c r="A34" s="16" t="s">
        <v>302</v>
      </c>
    </row>
    <row r="35" spans="1:5" x14ac:dyDescent="0.2">
      <c r="A35" s="17" t="s">
        <v>303</v>
      </c>
      <c r="B35" s="17" t="s">
        <v>304</v>
      </c>
      <c r="C35" s="17" t="s">
        <v>217</v>
      </c>
      <c r="D35" s="17" t="s">
        <v>305</v>
      </c>
      <c r="E35" s="17" t="s">
        <v>306</v>
      </c>
    </row>
    <row r="36" spans="1:5" x14ac:dyDescent="0.2">
      <c r="A36" s="4" t="s">
        <v>307</v>
      </c>
      <c r="B36" s="19" t="s">
        <v>308</v>
      </c>
      <c r="C36" s="20">
        <v>661060</v>
      </c>
      <c r="D36" s="19" t="s">
        <v>309</v>
      </c>
      <c r="E36" s="18" t="s">
        <v>310</v>
      </c>
    </row>
    <row r="37" spans="1:5" x14ac:dyDescent="0.2">
      <c r="A37" s="4" t="s">
        <v>311</v>
      </c>
      <c r="B37" s="19" t="s">
        <v>312</v>
      </c>
      <c r="C37" s="8" t="s">
        <v>313</v>
      </c>
      <c r="D37" s="19" t="s">
        <v>314</v>
      </c>
      <c r="E37" s="18"/>
    </row>
    <row r="38" spans="1:5" x14ac:dyDescent="0.2">
      <c r="A38" s="4" t="s">
        <v>315</v>
      </c>
      <c r="B38" s="19" t="s">
        <v>316</v>
      </c>
      <c r="C38" s="8" t="s">
        <v>317</v>
      </c>
      <c r="D38" s="19" t="s">
        <v>314</v>
      </c>
      <c r="E38" s="18"/>
    </row>
    <row r="39" spans="1:5" x14ac:dyDescent="0.2">
      <c r="A39" s="4" t="s">
        <v>318</v>
      </c>
      <c r="B39" s="19" t="s">
        <v>319</v>
      </c>
      <c r="C39" s="8" t="s">
        <v>320</v>
      </c>
      <c r="D39" s="19" t="s">
        <v>314</v>
      </c>
      <c r="E39" s="18" t="s">
        <v>321</v>
      </c>
    </row>
    <row r="40" spans="1:5" x14ac:dyDescent="0.2">
      <c r="A40" s="4" t="s">
        <v>322</v>
      </c>
      <c r="B40" s="19" t="s">
        <v>323</v>
      </c>
      <c r="C40" s="21">
        <v>0.857097</v>
      </c>
      <c r="D40" s="19" t="s">
        <v>324</v>
      </c>
      <c r="E40" s="18" t="s">
        <v>325</v>
      </c>
    </row>
    <row r="41" spans="1:5" ht="26" x14ac:dyDescent="0.2">
      <c r="A41" s="4" t="s">
        <v>326</v>
      </c>
      <c r="B41" s="19" t="s">
        <v>327</v>
      </c>
      <c r="C41" s="22">
        <v>0.84852603000000004</v>
      </c>
      <c r="D41" s="19" t="s">
        <v>324</v>
      </c>
      <c r="E41" s="18" t="s">
        <v>328</v>
      </c>
    </row>
    <row r="42" spans="1:5" ht="26" x14ac:dyDescent="0.2">
      <c r="A42" s="4" t="s">
        <v>329</v>
      </c>
      <c r="B42" s="19" t="s">
        <v>330</v>
      </c>
      <c r="C42" s="23">
        <v>0.01</v>
      </c>
      <c r="D42" s="19" t="s">
        <v>331</v>
      </c>
      <c r="E42" s="18" t="s">
        <v>332</v>
      </c>
    </row>
    <row r="43" spans="1:5" x14ac:dyDescent="0.2">
      <c r="A43" s="4" t="s">
        <v>333</v>
      </c>
      <c r="B43" s="19" t="s">
        <v>334</v>
      </c>
      <c r="C43" s="23">
        <v>0.01</v>
      </c>
      <c r="D43" s="19" t="s">
        <v>331</v>
      </c>
      <c r="E43" s="18" t="s">
        <v>261</v>
      </c>
    </row>
    <row r="44" spans="1:5" x14ac:dyDescent="0.2">
      <c r="A44" s="4" t="s">
        <v>335</v>
      </c>
      <c r="B44" s="19" t="s">
        <v>336</v>
      </c>
      <c r="C44" s="23">
        <v>0.01</v>
      </c>
      <c r="D44" s="19" t="s">
        <v>331</v>
      </c>
      <c r="E44" s="18" t="s">
        <v>264</v>
      </c>
    </row>
    <row r="45" spans="1:5" x14ac:dyDescent="0.2">
      <c r="A45" s="4" t="s">
        <v>337</v>
      </c>
      <c r="B45" s="19" t="s">
        <v>338</v>
      </c>
      <c r="C45" s="23">
        <v>0</v>
      </c>
      <c r="D45" s="19" t="s">
        <v>331</v>
      </c>
      <c r="E45" s="18" t="s">
        <v>266</v>
      </c>
    </row>
    <row r="46" spans="1:5" x14ac:dyDescent="0.2">
      <c r="A46" s="4" t="s">
        <v>253</v>
      </c>
      <c r="B46" s="19" t="s">
        <v>339</v>
      </c>
      <c r="C46" s="8" t="s">
        <v>255</v>
      </c>
      <c r="D46" s="19" t="s">
        <v>314</v>
      </c>
      <c r="E46" s="18" t="s">
        <v>340</v>
      </c>
    </row>
    <row r="47" spans="1:5" x14ac:dyDescent="0.2">
      <c r="A47" s="4" t="s">
        <v>243</v>
      </c>
      <c r="B47" s="19" t="s">
        <v>341</v>
      </c>
      <c r="C47" s="8" t="s">
        <v>84</v>
      </c>
      <c r="D47" s="19" t="s">
        <v>314</v>
      </c>
      <c r="E47" s="18" t="s">
        <v>342</v>
      </c>
    </row>
    <row r="48" spans="1:5" x14ac:dyDescent="0.2">
      <c r="A48" s="4" t="s">
        <v>249</v>
      </c>
      <c r="B48" s="19" t="s">
        <v>343</v>
      </c>
      <c r="C48" s="8" t="s">
        <v>251</v>
      </c>
      <c r="D48" s="19" t="s">
        <v>314</v>
      </c>
      <c r="E48" s="18" t="s">
        <v>344</v>
      </c>
    </row>
    <row r="49" spans="1:5" x14ac:dyDescent="0.2">
      <c r="A49" s="4" t="s">
        <v>345</v>
      </c>
      <c r="B49" s="19" t="s">
        <v>346</v>
      </c>
      <c r="C49" s="8" t="s">
        <v>347</v>
      </c>
      <c r="D49" s="19" t="s">
        <v>314</v>
      </c>
      <c r="E49" s="18" t="s">
        <v>348</v>
      </c>
    </row>
    <row r="50" spans="1:5" x14ac:dyDescent="0.2">
      <c r="A50" s="4" t="s">
        <v>349</v>
      </c>
      <c r="B50" s="19" t="s">
        <v>350</v>
      </c>
      <c r="C50" s="20">
        <v>1</v>
      </c>
      <c r="D50" s="19" t="s">
        <v>309</v>
      </c>
      <c r="E50" s="18" t="s">
        <v>351</v>
      </c>
    </row>
    <row r="51" spans="1:5" x14ac:dyDescent="0.2">
      <c r="A51" s="4" t="s">
        <v>352</v>
      </c>
      <c r="B51" s="19" t="s">
        <v>353</v>
      </c>
      <c r="C51" s="23">
        <v>3.0000000000000001E-3</v>
      </c>
      <c r="D51" s="19" t="s">
        <v>331</v>
      </c>
      <c r="E51" s="18" t="s">
        <v>274</v>
      </c>
    </row>
    <row r="52" spans="1:5" x14ac:dyDescent="0.2">
      <c r="A52" s="4" t="s">
        <v>354</v>
      </c>
      <c r="B52" s="19" t="s">
        <v>355</v>
      </c>
      <c r="C52" s="33" t="s">
        <v>622</v>
      </c>
      <c r="D52" s="19" t="s">
        <v>331</v>
      </c>
      <c r="E52" s="18" t="s">
        <v>356</v>
      </c>
    </row>
    <row r="53" spans="1:5" x14ac:dyDescent="0.2">
      <c r="A53" s="4" t="s">
        <v>280</v>
      </c>
      <c r="B53" s="19" t="s">
        <v>357</v>
      </c>
      <c r="C53" s="8" t="s">
        <v>358</v>
      </c>
      <c r="D53" s="19" t="s">
        <v>314</v>
      </c>
      <c r="E53" s="18" t="s">
        <v>359</v>
      </c>
    </row>
    <row r="54" spans="1:5" x14ac:dyDescent="0.2">
      <c r="A54" s="4" t="s">
        <v>283</v>
      </c>
      <c r="B54" s="19" t="s">
        <v>358</v>
      </c>
      <c r="C54" s="23">
        <v>0.4</v>
      </c>
      <c r="D54" s="19" t="s">
        <v>331</v>
      </c>
      <c r="E54" s="18" t="s">
        <v>360</v>
      </c>
    </row>
    <row r="55" spans="1:5" x14ac:dyDescent="0.2">
      <c r="A55" s="4" t="s">
        <v>361</v>
      </c>
      <c r="B55" s="19" t="s">
        <v>362</v>
      </c>
      <c r="C55" s="23">
        <v>0</v>
      </c>
      <c r="D55" s="19" t="s">
        <v>331</v>
      </c>
      <c r="E55" s="18" t="s">
        <v>363</v>
      </c>
    </row>
    <row r="57" spans="1:5" x14ac:dyDescent="0.2">
      <c r="A57" s="16" t="s">
        <v>364</v>
      </c>
    </row>
    <row r="58" spans="1:5" x14ac:dyDescent="0.2">
      <c r="A58" s="17" t="s">
        <v>365</v>
      </c>
      <c r="B58" s="17" t="s">
        <v>366</v>
      </c>
      <c r="C58" s="17" t="s">
        <v>217</v>
      </c>
      <c r="D58" s="17"/>
      <c r="E58" s="17" t="s">
        <v>367</v>
      </c>
    </row>
    <row r="59" spans="1:5" ht="26" x14ac:dyDescent="0.2">
      <c r="A59" s="4" t="s">
        <v>368</v>
      </c>
      <c r="B59" s="18" t="s">
        <v>369</v>
      </c>
      <c r="C59" s="25">
        <f>IF($C$46="market",$C$40,$C$41)</f>
        <v>0.857097</v>
      </c>
      <c r="E59" s="18" t="s">
        <v>370</v>
      </c>
    </row>
    <row r="60" spans="1:5" ht="39" x14ac:dyDescent="0.2">
      <c r="A60" s="4" t="s">
        <v>371</v>
      </c>
      <c r="B60" s="18" t="s">
        <v>372</v>
      </c>
      <c r="C60" s="25">
        <f>IF($C$48="in_per_out",$C$59/(1+$C$44),$C$59*(1-$C$44))</f>
        <v>0.84852603000000004</v>
      </c>
      <c r="E60" s="18" t="s">
        <v>373</v>
      </c>
    </row>
    <row r="61" spans="1:5" ht="28" x14ac:dyDescent="0.2">
      <c r="A61" s="4" t="s">
        <v>374</v>
      </c>
      <c r="B61" s="18" t="s">
        <v>375</v>
      </c>
      <c r="C61" s="26">
        <f>$C$36*$C$60</f>
        <v>560926.61739180004</v>
      </c>
      <c r="E61" s="18" t="s">
        <v>376</v>
      </c>
    </row>
    <row r="62" spans="1:5" x14ac:dyDescent="0.2">
      <c r="A62" s="4" t="s">
        <v>377</v>
      </c>
      <c r="B62" s="18" t="s">
        <v>378</v>
      </c>
      <c r="C62" s="26">
        <f>$C$61*$C$45</f>
        <v>0</v>
      </c>
      <c r="E62" s="18" t="s">
        <v>376</v>
      </c>
    </row>
    <row r="63" spans="1:5" x14ac:dyDescent="0.2">
      <c r="A63" s="4" t="s">
        <v>379</v>
      </c>
      <c r="B63" s="18" t="s">
        <v>380</v>
      </c>
      <c r="C63" s="26">
        <f>$C$61-$C$62</f>
        <v>560926.61739180004</v>
      </c>
      <c r="E63" s="18" t="s">
        <v>381</v>
      </c>
    </row>
    <row r="64" spans="1:5" ht="39" x14ac:dyDescent="0.2">
      <c r="A64" s="4" t="s">
        <v>382</v>
      </c>
      <c r="B64" s="18" t="s">
        <v>383</v>
      </c>
      <c r="C64" s="26">
        <f>IF($C$47="own_desk",$C$36*$C$40,IF($C$47="market_plus_pct",$C$36*$C$40*(1-$C$42),$C$36*$C$41))</f>
        <v>560926.61739179993</v>
      </c>
      <c r="E64" s="18" t="s">
        <v>384</v>
      </c>
    </row>
    <row r="65" spans="1:5" x14ac:dyDescent="0.2">
      <c r="A65" s="4" t="s">
        <v>385</v>
      </c>
      <c r="B65" s="18" t="s">
        <v>386</v>
      </c>
      <c r="C65" s="26">
        <f>$C$36*$C$40-$C$64</f>
        <v>5665.9254282000475</v>
      </c>
      <c r="E65" s="18" t="s">
        <v>381</v>
      </c>
    </row>
    <row r="66" spans="1:5" x14ac:dyDescent="0.2">
      <c r="A66" s="4" t="s">
        <v>387</v>
      </c>
      <c r="B66" s="18" t="s">
        <v>388</v>
      </c>
      <c r="C66" s="26">
        <f>$C$64-$C$63</f>
        <v>0</v>
      </c>
      <c r="E66" s="18" t="s">
        <v>389</v>
      </c>
    </row>
    <row r="67" spans="1:5" x14ac:dyDescent="0.2">
      <c r="A67" s="4" t="s">
        <v>390</v>
      </c>
      <c r="B67" s="18" t="s">
        <v>391</v>
      </c>
      <c r="C67" s="27">
        <f>IF($C$36*$C$40=0,0,$C$66/($C$36*$C$40))</f>
        <v>0</v>
      </c>
      <c r="E67" s="18" t="s">
        <v>381</v>
      </c>
    </row>
    <row r="68" spans="1:5" ht="26" x14ac:dyDescent="0.2">
      <c r="A68" s="4" t="s">
        <v>392</v>
      </c>
      <c r="B68" s="18" t="s">
        <v>393</v>
      </c>
      <c r="C68" s="7" t="str">
        <f>IF($C$67&lt;$C$51,"YES — Finance approval","no")</f>
        <v>YES — Finance approval</v>
      </c>
      <c r="E68" s="18" t="s">
        <v>394</v>
      </c>
    </row>
    <row r="69" spans="1:5" ht="26" x14ac:dyDescent="0.2">
      <c r="A69" s="4" t="s">
        <v>395</v>
      </c>
      <c r="B69" s="18" t="s">
        <v>396</v>
      </c>
      <c r="C69" s="26">
        <f>IF($C$49="round_up_unit",CEILING($C$63,$C$50),IF($C$49="nearest_unit",MROUND($C$63,$C$50),IF($C$49="nearest_n",MROUND($C$63,$C$50),FLOOR($C$63,$C$50))))</f>
        <v>560926</v>
      </c>
      <c r="E69" s="18" t="s">
        <v>397</v>
      </c>
    </row>
    <row r="70" spans="1:5" ht="28" x14ac:dyDescent="0.2">
      <c r="A70" s="4" t="s">
        <v>398</v>
      </c>
      <c r="B70" s="18" t="s">
        <v>399</v>
      </c>
      <c r="C70" s="26">
        <f>$C$63-$C$69</f>
        <v>0.61739180004224181</v>
      </c>
      <c r="E70" s="18" t="s">
        <v>400</v>
      </c>
    </row>
    <row r="71" spans="1:5" ht="26" x14ac:dyDescent="0.2">
      <c r="A71" s="4" t="s">
        <v>401</v>
      </c>
      <c r="B71" s="18" t="s">
        <v>402</v>
      </c>
      <c r="C71" s="25" t="e">
        <f>IF($C$52="",$C$59,$C$60/(1-$C$52))</f>
        <v>#VALUE!</v>
      </c>
      <c r="E71" s="18" t="s">
        <v>356</v>
      </c>
    </row>
    <row r="72" spans="1:5" x14ac:dyDescent="0.2">
      <c r="A72" s="4" t="s">
        <v>403</v>
      </c>
      <c r="B72" s="18" t="s">
        <v>404</v>
      </c>
      <c r="C72" s="26">
        <f>IF($C$53="rebate",$C$65*$C$54,0)</f>
        <v>2266.3701712800189</v>
      </c>
      <c r="E72" s="18" t="s">
        <v>405</v>
      </c>
    </row>
    <row r="73" spans="1:5" x14ac:dyDescent="0.2">
      <c r="A73" s="4" t="s">
        <v>406</v>
      </c>
      <c r="B73" s="18" t="s">
        <v>407</v>
      </c>
      <c r="C73" s="26">
        <f>$C$36*$C$40*$C$55</f>
        <v>0</v>
      </c>
      <c r="E73" s="18" t="s">
        <v>408</v>
      </c>
    </row>
    <row r="74" spans="1:5" ht="28" x14ac:dyDescent="0.2">
      <c r="A74" s="4" t="s">
        <v>409</v>
      </c>
      <c r="B74" s="18" t="s">
        <v>410</v>
      </c>
      <c r="C74" s="26">
        <f>ROUND($C$63+$C$65+$C$66-$C$36*$C$40,6)</f>
        <v>0</v>
      </c>
      <c r="E74" s="18" t="s">
        <v>411</v>
      </c>
    </row>
    <row r="76" spans="1:5" x14ac:dyDescent="0.2">
      <c r="A76" s="16" t="s">
        <v>412</v>
      </c>
    </row>
    <row r="77" spans="1:5" x14ac:dyDescent="0.2">
      <c r="A77" s="17" t="s">
        <v>413</v>
      </c>
      <c r="B77" s="17" t="s">
        <v>414</v>
      </c>
      <c r="C77" s="17" t="s">
        <v>415</v>
      </c>
      <c r="D77" s="17" t="s">
        <v>416</v>
      </c>
      <c r="E77" s="17" t="s">
        <v>417</v>
      </c>
    </row>
    <row r="78" spans="1:5" x14ac:dyDescent="0.2">
      <c r="A78" s="7" t="str">
        <f>"CL."&amp;$C$39&amp;"."&amp;$C$37&amp;".COLLECTED"</f>
        <v>CL.JETON.USDT.COLLECTED</v>
      </c>
      <c r="B78" s="7" t="s">
        <v>418</v>
      </c>
      <c r="C78" s="26">
        <f>$C$36</f>
        <v>661060</v>
      </c>
      <c r="D78" s="19" t="s">
        <v>419</v>
      </c>
      <c r="E78" s="19" t="s">
        <v>420</v>
      </c>
    </row>
    <row r="79" spans="1:5" x14ac:dyDescent="0.2">
      <c r="A79" s="7" t="str">
        <f>"CL.PROJECT."&amp;$C$37&amp;".PAYABLE"</f>
        <v>CL.PROJECT.USDT.PAYABLE</v>
      </c>
      <c r="B79" s="7" t="s">
        <v>421</v>
      </c>
      <c r="C79" s="26">
        <f>$C$36</f>
        <v>661060</v>
      </c>
      <c r="D79" s="19" t="s">
        <v>419</v>
      </c>
      <c r="E79" s="19" t="s">
        <v>420</v>
      </c>
    </row>
    <row r="80" spans="1:5" x14ac:dyDescent="0.2">
      <c r="A80" s="7" t="str">
        <f>"CL.PROJECT."&amp;$C$37&amp;".PAYABLE"</f>
        <v>CL.PROJECT.USDT.PAYABLE</v>
      </c>
      <c r="B80" s="7" t="s">
        <v>418</v>
      </c>
      <c r="C80" s="26">
        <f>$C$36</f>
        <v>661060</v>
      </c>
      <c r="D80" s="19" t="s">
        <v>419</v>
      </c>
      <c r="E80" s="19" t="s">
        <v>422</v>
      </c>
    </row>
    <row r="81" spans="1:5" x14ac:dyDescent="0.2">
      <c r="A81" s="7" t="str">
        <f>"CL."&amp;$C$39&amp;"."&amp;$C$37&amp;".COLLECTED"</f>
        <v>CL.JETON.USDT.COLLECTED</v>
      </c>
      <c r="B81" s="7" t="s">
        <v>421</v>
      </c>
      <c r="C81" s="26">
        <f>$C$36</f>
        <v>661060</v>
      </c>
      <c r="D81" s="19" t="s">
        <v>419</v>
      </c>
      <c r="E81" s="19" t="s">
        <v>422</v>
      </c>
    </row>
    <row r="82" spans="1:5" x14ac:dyDescent="0.2">
      <c r="A82" s="7" t="str">
        <f>"CL."&amp;$C$39&amp;"."&amp;$C$38&amp;".DUE"</f>
        <v>CL.JETON.EUR.DUE</v>
      </c>
      <c r="B82" s="7" t="s">
        <v>418</v>
      </c>
      <c r="C82" s="26">
        <f>$C$63</f>
        <v>560926.61739180004</v>
      </c>
      <c r="D82" s="19" t="s">
        <v>423</v>
      </c>
      <c r="E82" s="19" t="s">
        <v>424</v>
      </c>
    </row>
    <row r="83" spans="1:5" x14ac:dyDescent="0.2">
      <c r="A83" s="7" t="str">
        <f>"CO."&amp;$C$39&amp;"."&amp;$C$38&amp;".POOL"</f>
        <v>CO.JETON.EUR.POOL</v>
      </c>
      <c r="B83" s="7" t="s">
        <v>418</v>
      </c>
      <c r="C83" s="26">
        <f>IF($C$53="rebate",0,$C$66)</f>
        <v>0</v>
      </c>
      <c r="D83" s="19" t="s">
        <v>425</v>
      </c>
      <c r="E83" s="19" t="s">
        <v>426</v>
      </c>
    </row>
    <row r="84" spans="1:5" x14ac:dyDescent="0.2">
      <c r="A84" s="7" t="str">
        <f>"CO."&amp;$C$39&amp;"."&amp;$C$38&amp;".REBATE_RECEIVABLE"</f>
        <v>CO.JETON.EUR.REBATE_RECEIVABLE</v>
      </c>
      <c r="B84" s="7" t="s">
        <v>418</v>
      </c>
      <c r="C84" s="26">
        <f>$C$72</f>
        <v>2266.3701712800189</v>
      </c>
      <c r="D84" s="19" t="s">
        <v>425</v>
      </c>
      <c r="E84" s="19" t="s">
        <v>427</v>
      </c>
    </row>
    <row r="85" spans="1:5" x14ac:dyDescent="0.2">
      <c r="A85" s="7" t="str">
        <f>"CL.PROJECT."&amp;$C$38&amp;".PAYABLE"</f>
        <v>CL.PROJECT.EUR.PAYABLE</v>
      </c>
      <c r="B85" s="7" t="s">
        <v>421</v>
      </c>
      <c r="C85" s="26">
        <f>$C$63</f>
        <v>560926.61739180004</v>
      </c>
      <c r="D85" s="19" t="s">
        <v>419</v>
      </c>
      <c r="E85" s="19" t="s">
        <v>424</v>
      </c>
    </row>
    <row r="86" spans="1:5" x14ac:dyDescent="0.2">
      <c r="A86" s="7" t="str">
        <f>"CO.NONE."&amp;$C$38&amp;".EARN_GROSS"</f>
        <v>CO.NONE.EUR.EARN_GROSS</v>
      </c>
      <c r="B86" s="7" t="s">
        <v>421</v>
      </c>
      <c r="C86" s="26">
        <f>$C$66+$C$72</f>
        <v>2266.3701712800189</v>
      </c>
      <c r="D86" s="19" t="s">
        <v>425</v>
      </c>
      <c r="E86" s="19" t="s">
        <v>428</v>
      </c>
    </row>
    <row r="87" spans="1:5" x14ac:dyDescent="0.2">
      <c r="A87" s="7" t="str">
        <f>"CL."&amp;$C$39&amp;"."&amp;$C$38&amp;".INTRANSIT"</f>
        <v>CL.JETON.EUR.INTRANSIT</v>
      </c>
      <c r="B87" s="7" t="s">
        <v>418</v>
      </c>
      <c r="C87" s="26">
        <f>$C$69</f>
        <v>560926</v>
      </c>
      <c r="D87" s="19" t="s">
        <v>419</v>
      </c>
      <c r="E87" s="19" t="s">
        <v>429</v>
      </c>
    </row>
    <row r="88" spans="1:5" x14ac:dyDescent="0.2">
      <c r="A88" s="7" t="str">
        <f>"CL."&amp;$C$39&amp;"."&amp;$C$38&amp;".DUE"</f>
        <v>CL.JETON.EUR.DUE</v>
      </c>
      <c r="B88" s="7" t="s">
        <v>421</v>
      </c>
      <c r="C88" s="26">
        <f>$C$69</f>
        <v>560926</v>
      </c>
      <c r="D88" s="19" t="s">
        <v>419</v>
      </c>
      <c r="E88" s="19" t="s">
        <v>430</v>
      </c>
    </row>
    <row r="89" spans="1:5" x14ac:dyDescent="0.2">
      <c r="A89" s="7" t="str">
        <f>"CL.PROJECT."&amp;$C$38&amp;".PAYABLE"</f>
        <v>CL.PROJECT.EUR.PAYABLE</v>
      </c>
      <c r="B89" s="7" t="s">
        <v>418</v>
      </c>
      <c r="C89" s="26">
        <f>$C$69</f>
        <v>560926</v>
      </c>
      <c r="D89" s="19" t="s">
        <v>419</v>
      </c>
      <c r="E89" s="19" t="s">
        <v>431</v>
      </c>
    </row>
    <row r="90" spans="1:5" x14ac:dyDescent="0.2">
      <c r="A90" s="7" t="str">
        <f>"CL."&amp;$C$39&amp;"."&amp;$C$38&amp;".INTRANSIT"</f>
        <v>CL.JETON.EUR.INTRANSIT</v>
      </c>
      <c r="B90" s="7" t="s">
        <v>421</v>
      </c>
      <c r="C90" s="26">
        <f>$C$69</f>
        <v>560926</v>
      </c>
      <c r="D90" s="19" t="s">
        <v>419</v>
      </c>
      <c r="E90" s="19" t="s">
        <v>431</v>
      </c>
    </row>
    <row r="91" spans="1:5" x14ac:dyDescent="0.2">
      <c r="A91" s="7" t="str">
        <f>"CO.NONE."&amp;$C$38&amp;".EARN_GROSS"</f>
        <v>CO.NONE.EUR.EARN_GROSS</v>
      </c>
      <c r="B91" s="7" t="s">
        <v>418</v>
      </c>
      <c r="C91" s="26">
        <f>$C$73</f>
        <v>0</v>
      </c>
      <c r="D91" s="19" t="s">
        <v>432</v>
      </c>
      <c r="E91" s="19" t="s">
        <v>433</v>
      </c>
    </row>
    <row r="92" spans="1:5" x14ac:dyDescent="0.2">
      <c r="A92" s="7" t="str">
        <f>"CO.INTRODUCER."&amp;$C$38&amp;".REFERRAL_PAYABLE"</f>
        <v>CO.INTRODUCER.EUR.REFERRAL_PAYABLE</v>
      </c>
      <c r="B92" s="7" t="s">
        <v>421</v>
      </c>
      <c r="C92" s="26">
        <f>$C$73</f>
        <v>0</v>
      </c>
      <c r="D92" s="19" t="s">
        <v>432</v>
      </c>
      <c r="E92" s="19" t="s">
        <v>434</v>
      </c>
    </row>
    <row r="93" spans="1:5" ht="30" customHeight="1" x14ac:dyDescent="0.2">
      <c r="A93" s="28" t="s">
        <v>435</v>
      </c>
      <c r="C93" s="29">
        <f>ROUND(SUMIF($B$82:$B$92,"Dr",$C$82:$C$92)-SUMIF($B$82:$B$92,"Cr",$C$82:$C$92),6)</f>
        <v>0</v>
      </c>
      <c r="E93" s="18" t="s">
        <v>436</v>
      </c>
    </row>
    <row r="95" spans="1:5" x14ac:dyDescent="0.2">
      <c r="A95" s="16" t="s">
        <v>437</v>
      </c>
    </row>
    <row r="96" spans="1:5" x14ac:dyDescent="0.2">
      <c r="A96" s="17" t="s">
        <v>438</v>
      </c>
      <c r="B96" s="17" t="s">
        <v>439</v>
      </c>
      <c r="C96" s="17" t="s">
        <v>440</v>
      </c>
      <c r="D96" s="17" t="s">
        <v>441</v>
      </c>
      <c r="E96" s="17" t="s">
        <v>442</v>
      </c>
    </row>
    <row r="97" spans="1:5" ht="15.75" customHeight="1" x14ac:dyDescent="0.2">
      <c r="A97" s="4" t="s">
        <v>443</v>
      </c>
      <c r="B97" s="20">
        <v>560927</v>
      </c>
      <c r="C97" s="26">
        <f>$C$61</f>
        <v>560926.61739180004</v>
      </c>
      <c r="D97" s="29">
        <f>ROUND(C97-B97,2)</f>
        <v>-0.38</v>
      </c>
      <c r="E97" s="18" t="s">
        <v>444</v>
      </c>
    </row>
    <row r="99" spans="1:5" x14ac:dyDescent="0.2">
      <c r="A99" s="16" t="s">
        <v>445</v>
      </c>
    </row>
    <row r="100" spans="1:5" ht="31.5" customHeight="1" x14ac:dyDescent="0.2">
      <c r="A100" s="14" t="s">
        <v>446</v>
      </c>
      <c r="B100" s="1" t="s">
        <v>447</v>
      </c>
      <c r="C100" s="1"/>
      <c r="D100" s="1"/>
      <c r="E100" s="1"/>
    </row>
    <row r="101" spans="1:5" ht="31.5" customHeight="1" x14ac:dyDescent="0.2">
      <c r="A101" s="14"/>
      <c r="B101" s="35" t="s">
        <v>626</v>
      </c>
      <c r="C101" s="35"/>
      <c r="D101" s="35"/>
      <c r="E101" s="35"/>
    </row>
    <row r="102" spans="1:5" ht="31.5" customHeight="1" x14ac:dyDescent="0.2">
      <c r="A102" s="14" t="s">
        <v>446</v>
      </c>
      <c r="B102" s="1" t="s">
        <v>448</v>
      </c>
      <c r="C102" s="1"/>
      <c r="D102" s="1"/>
      <c r="E102" s="1"/>
    </row>
    <row r="103" spans="1:5" ht="31.5" customHeight="1" x14ac:dyDescent="0.2">
      <c r="A103" s="14"/>
      <c r="B103" s="35" t="s">
        <v>627</v>
      </c>
      <c r="C103" s="35"/>
      <c r="D103" s="35"/>
      <c r="E103" s="35"/>
    </row>
    <row r="104" spans="1:5" ht="31.5" customHeight="1" x14ac:dyDescent="0.2">
      <c r="A104" s="14" t="s">
        <v>446</v>
      </c>
      <c r="B104" s="1" t="s">
        <v>449</v>
      </c>
      <c r="C104" s="1"/>
      <c r="D104" s="1"/>
      <c r="E104" s="1"/>
    </row>
    <row r="105" spans="1:5" x14ac:dyDescent="0.2">
      <c r="B105" t="s">
        <v>628</v>
      </c>
    </row>
  </sheetData>
  <mergeCells count="5">
    <mergeCell ref="B100:E100"/>
    <mergeCell ref="B102:E102"/>
    <mergeCell ref="B104:E104"/>
    <mergeCell ref="B101:E101"/>
    <mergeCell ref="B103:E103"/>
  </mergeCell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8"/>
  <sheetViews>
    <sheetView topLeftCell="A3" zoomScaleNormal="100" workbookViewId="0">
      <selection activeCell="B102" sqref="B102"/>
    </sheetView>
  </sheetViews>
  <sheetFormatPr baseColWidth="10" defaultColWidth="8.6640625" defaultRowHeight="15" x14ac:dyDescent="0.2"/>
  <cols>
    <col min="1" max="2" width="34" customWidth="1"/>
    <col min="3" max="3" width="35.33203125" customWidth="1"/>
    <col min="4" max="4" width="18" customWidth="1"/>
    <col min="5" max="5" width="48" customWidth="1"/>
  </cols>
  <sheetData>
    <row r="1" spans="1:5" ht="17" x14ac:dyDescent="0.2">
      <c r="A1" s="2" t="s">
        <v>450</v>
      </c>
    </row>
    <row r="2" spans="1:5" x14ac:dyDescent="0.2">
      <c r="A2" s="13" t="s">
        <v>210</v>
      </c>
      <c r="B2" s="14" t="s">
        <v>451</v>
      </c>
    </row>
    <row r="3" spans="1:5" ht="70" x14ac:dyDescent="0.2">
      <c r="A3" s="13" t="s">
        <v>212</v>
      </c>
      <c r="B3" s="15" t="s">
        <v>452</v>
      </c>
    </row>
    <row r="5" spans="1:5" x14ac:dyDescent="0.2">
      <c r="A5" s="16" t="s">
        <v>214</v>
      </c>
    </row>
    <row r="6" spans="1:5" x14ac:dyDescent="0.2">
      <c r="A6" s="17" t="s">
        <v>215</v>
      </c>
      <c r="B6" s="17" t="s">
        <v>216</v>
      </c>
      <c r="C6" s="17" t="s">
        <v>217</v>
      </c>
      <c r="D6" s="17" t="s">
        <v>218</v>
      </c>
      <c r="E6" s="17" t="s">
        <v>219</v>
      </c>
    </row>
    <row r="7" spans="1:5" ht="30" customHeight="1" x14ac:dyDescent="0.2">
      <c r="A7" s="4" t="s">
        <v>220</v>
      </c>
      <c r="B7" s="4" t="s">
        <v>221</v>
      </c>
      <c r="C7" s="10" t="s">
        <v>81</v>
      </c>
      <c r="D7" s="4" t="s">
        <v>222</v>
      </c>
      <c r="E7" s="18" t="s">
        <v>223</v>
      </c>
    </row>
    <row r="8" spans="1:5" ht="30" customHeight="1" x14ac:dyDescent="0.2">
      <c r="A8" s="4" t="s">
        <v>224</v>
      </c>
      <c r="B8" s="4" t="s">
        <v>225</v>
      </c>
      <c r="C8" s="32" t="s">
        <v>617</v>
      </c>
      <c r="D8" s="4" t="s">
        <v>226</v>
      </c>
      <c r="E8" s="18" t="s">
        <v>227</v>
      </c>
    </row>
    <row r="9" spans="1:5" ht="30" customHeight="1" x14ac:dyDescent="0.2">
      <c r="A9" s="4" t="s">
        <v>228</v>
      </c>
      <c r="B9" s="4" t="s">
        <v>229</v>
      </c>
      <c r="C9" s="32" t="s">
        <v>618</v>
      </c>
      <c r="D9" s="4" t="s">
        <v>226</v>
      </c>
      <c r="E9" s="18" t="s">
        <v>230</v>
      </c>
    </row>
    <row r="10" spans="1:5" ht="30" customHeight="1" x14ac:dyDescent="0.2">
      <c r="A10" s="4" t="s">
        <v>231</v>
      </c>
      <c r="B10" s="4" t="s">
        <v>232</v>
      </c>
      <c r="C10" s="32" t="s">
        <v>619</v>
      </c>
      <c r="D10" s="4" t="s">
        <v>226</v>
      </c>
      <c r="E10" s="18" t="s">
        <v>233</v>
      </c>
    </row>
    <row r="11" spans="1:5" ht="15.75" customHeight="1" x14ac:dyDescent="0.2">
      <c r="A11" s="4" t="s">
        <v>234</v>
      </c>
      <c r="B11" s="4" t="s">
        <v>235</v>
      </c>
      <c r="C11" s="10" t="s">
        <v>236</v>
      </c>
      <c r="D11" s="4" t="s">
        <v>222</v>
      </c>
      <c r="E11" s="18" t="s">
        <v>237</v>
      </c>
    </row>
    <row r="12" spans="1:5" ht="30" customHeight="1" x14ac:dyDescent="0.2">
      <c r="A12" s="4" t="s">
        <v>238</v>
      </c>
      <c r="B12" s="4" t="s">
        <v>239</v>
      </c>
      <c r="C12" s="10" t="s">
        <v>453</v>
      </c>
      <c r="D12" s="4" t="s">
        <v>222</v>
      </c>
      <c r="E12" s="18" t="s">
        <v>240</v>
      </c>
    </row>
    <row r="13" spans="1:5" ht="15.75" customHeight="1" x14ac:dyDescent="0.2">
      <c r="A13" s="4" t="s">
        <v>241</v>
      </c>
      <c r="B13" s="4" t="s">
        <v>242</v>
      </c>
      <c r="C13" s="10" t="s">
        <v>93</v>
      </c>
      <c r="D13" s="4" t="s">
        <v>222</v>
      </c>
      <c r="E13" s="18"/>
    </row>
    <row r="14" spans="1:5" ht="30" customHeight="1" x14ac:dyDescent="0.2">
      <c r="A14" s="4" t="s">
        <v>243</v>
      </c>
      <c r="B14" s="4" t="s">
        <v>244</v>
      </c>
      <c r="C14" s="10" t="s">
        <v>94</v>
      </c>
      <c r="D14" s="4" t="s">
        <v>222</v>
      </c>
      <c r="E14" s="18" t="s">
        <v>245</v>
      </c>
    </row>
    <row r="15" spans="1:5" ht="15.75" customHeight="1" x14ac:dyDescent="0.2">
      <c r="A15" s="4" t="s">
        <v>246</v>
      </c>
      <c r="B15" s="4" t="s">
        <v>247</v>
      </c>
      <c r="C15" s="10" t="s">
        <v>85</v>
      </c>
      <c r="D15" s="4" t="s">
        <v>222</v>
      </c>
      <c r="E15" s="18" t="s">
        <v>248</v>
      </c>
    </row>
    <row r="16" spans="1:5" ht="30" customHeight="1" x14ac:dyDescent="0.2">
      <c r="A16" s="4" t="s">
        <v>249</v>
      </c>
      <c r="B16" s="4" t="s">
        <v>250</v>
      </c>
      <c r="C16" s="10" t="s">
        <v>251</v>
      </c>
      <c r="D16" s="4" t="s">
        <v>222</v>
      </c>
      <c r="E16" s="18" t="s">
        <v>252</v>
      </c>
    </row>
    <row r="17" spans="1:5" ht="30" customHeight="1" x14ac:dyDescent="0.2">
      <c r="A17" s="4" t="s">
        <v>253</v>
      </c>
      <c r="B17" s="4" t="s">
        <v>254</v>
      </c>
      <c r="C17" s="10" t="s">
        <v>454</v>
      </c>
      <c r="D17" s="4" t="s">
        <v>222</v>
      </c>
      <c r="E17" s="18" t="s">
        <v>256</v>
      </c>
    </row>
    <row r="18" spans="1:5" ht="15.75" customHeight="1" x14ac:dyDescent="0.2">
      <c r="A18" s="4" t="s">
        <v>257</v>
      </c>
      <c r="B18" s="4" t="s">
        <v>258</v>
      </c>
      <c r="C18" s="10" t="s">
        <v>86</v>
      </c>
      <c r="D18" s="4" t="s">
        <v>222</v>
      </c>
      <c r="E18" s="18" t="s">
        <v>259</v>
      </c>
    </row>
    <row r="19" spans="1:5" ht="15.75" customHeight="1" x14ac:dyDescent="0.2">
      <c r="A19" s="4" t="s">
        <v>260</v>
      </c>
      <c r="B19" s="4" t="s">
        <v>261</v>
      </c>
      <c r="C19" s="12">
        <v>4.0000000000000001E-3</v>
      </c>
      <c r="D19" s="4" t="s">
        <v>222</v>
      </c>
      <c r="E19" s="18" t="s">
        <v>262</v>
      </c>
    </row>
    <row r="20" spans="1:5" ht="15.75" customHeight="1" x14ac:dyDescent="0.2">
      <c r="A20" s="4" t="s">
        <v>263</v>
      </c>
      <c r="B20" s="4" t="s">
        <v>264</v>
      </c>
      <c r="C20" s="12">
        <v>4.0000000000000001E-3</v>
      </c>
      <c r="D20" s="4" t="s">
        <v>222</v>
      </c>
      <c r="E20" s="18"/>
    </row>
    <row r="21" spans="1:5" ht="30" customHeight="1" x14ac:dyDescent="0.2">
      <c r="A21" s="4" t="s">
        <v>265</v>
      </c>
      <c r="B21" s="4" t="s">
        <v>266</v>
      </c>
      <c r="C21" s="12">
        <v>0</v>
      </c>
      <c r="D21" s="4" t="s">
        <v>222</v>
      </c>
      <c r="E21" s="18" t="s">
        <v>267</v>
      </c>
    </row>
    <row r="22" spans="1:5" ht="15.75" customHeight="1" x14ac:dyDescent="0.2">
      <c r="A22" s="4" t="s">
        <v>268</v>
      </c>
      <c r="B22" s="4" t="s">
        <v>269</v>
      </c>
      <c r="C22" s="32" t="s">
        <v>630</v>
      </c>
      <c r="D22" s="4" t="s">
        <v>226</v>
      </c>
      <c r="E22" s="18" t="s">
        <v>270</v>
      </c>
    </row>
    <row r="23" spans="1:5" ht="15.75" customHeight="1" x14ac:dyDescent="0.2">
      <c r="A23" s="4" t="s">
        <v>271</v>
      </c>
      <c r="B23" s="4" t="s">
        <v>272</v>
      </c>
      <c r="C23" s="32" t="s">
        <v>630</v>
      </c>
      <c r="D23" s="4" t="s">
        <v>226</v>
      </c>
      <c r="E23" s="18" t="s">
        <v>270</v>
      </c>
    </row>
    <row r="24" spans="1:5" ht="15.75" customHeight="1" x14ac:dyDescent="0.2">
      <c r="A24" s="4" t="s">
        <v>273</v>
      </c>
      <c r="B24" s="4" t="s">
        <v>274</v>
      </c>
      <c r="C24" s="32" t="s">
        <v>630</v>
      </c>
      <c r="D24" s="4" t="s">
        <v>226</v>
      </c>
      <c r="E24" s="18" t="s">
        <v>275</v>
      </c>
    </row>
    <row r="25" spans="1:5" ht="30" customHeight="1" x14ac:dyDescent="0.2">
      <c r="A25" s="4" t="s">
        <v>276</v>
      </c>
      <c r="B25" s="4" t="s">
        <v>277</v>
      </c>
      <c r="C25" s="12">
        <v>0.01</v>
      </c>
      <c r="D25" s="4" t="s">
        <v>222</v>
      </c>
      <c r="E25" s="18" t="s">
        <v>279</v>
      </c>
    </row>
    <row r="26" spans="1:5" ht="15.75" customHeight="1" x14ac:dyDescent="0.2">
      <c r="A26" s="4" t="s">
        <v>280</v>
      </c>
      <c r="B26" s="4" t="s">
        <v>281</v>
      </c>
      <c r="C26" s="10" t="s">
        <v>95</v>
      </c>
      <c r="D26" s="4" t="s">
        <v>222</v>
      </c>
      <c r="E26" s="18" t="s">
        <v>282</v>
      </c>
    </row>
    <row r="27" spans="1:5" ht="15.75" customHeight="1" x14ac:dyDescent="0.2">
      <c r="A27" s="4" t="s">
        <v>283</v>
      </c>
      <c r="B27" s="4" t="s">
        <v>284</v>
      </c>
      <c r="C27" s="32" t="s">
        <v>621</v>
      </c>
      <c r="D27" s="4" t="s">
        <v>278</v>
      </c>
      <c r="E27" s="18" t="s">
        <v>286</v>
      </c>
    </row>
    <row r="28" spans="1:5" ht="15.75" customHeight="1" x14ac:dyDescent="0.2">
      <c r="A28" s="4" t="s">
        <v>287</v>
      </c>
      <c r="B28" s="4" t="s">
        <v>288</v>
      </c>
      <c r="C28" s="10"/>
      <c r="D28" s="4" t="s">
        <v>278</v>
      </c>
      <c r="E28" s="18" t="s">
        <v>289</v>
      </c>
    </row>
    <row r="29" spans="1:5" ht="30" customHeight="1" x14ac:dyDescent="0.2">
      <c r="A29" s="4" t="s">
        <v>290</v>
      </c>
      <c r="B29" s="4" t="s">
        <v>291</v>
      </c>
      <c r="C29" s="10" t="s">
        <v>292</v>
      </c>
      <c r="D29" s="4" t="s">
        <v>222</v>
      </c>
      <c r="E29" s="18" t="s">
        <v>293</v>
      </c>
    </row>
    <row r="30" spans="1:5" ht="15.75" customHeight="1" x14ac:dyDescent="0.2">
      <c r="A30" s="4" t="s">
        <v>294</v>
      </c>
      <c r="B30" s="4" t="s">
        <v>295</v>
      </c>
      <c r="C30" s="32" t="s">
        <v>629</v>
      </c>
      <c r="D30" s="4" t="s">
        <v>226</v>
      </c>
      <c r="E30" s="18"/>
    </row>
    <row r="31" spans="1:5" ht="15.75" customHeight="1" x14ac:dyDescent="0.2">
      <c r="A31" s="4" t="s">
        <v>296</v>
      </c>
      <c r="B31" s="4" t="s">
        <v>297</v>
      </c>
      <c r="C31" s="32" t="s">
        <v>624</v>
      </c>
      <c r="D31" s="4" t="s">
        <v>226</v>
      </c>
      <c r="E31" s="18" t="s">
        <v>298</v>
      </c>
    </row>
    <row r="32" spans="1:5" ht="30" customHeight="1" x14ac:dyDescent="0.2">
      <c r="A32" s="4" t="s">
        <v>299</v>
      </c>
      <c r="B32" s="4" t="s">
        <v>300</v>
      </c>
      <c r="C32" s="32" t="s">
        <v>625</v>
      </c>
      <c r="D32" s="4" t="s">
        <v>226</v>
      </c>
      <c r="E32" s="18" t="s">
        <v>301</v>
      </c>
    </row>
    <row r="34" spans="1:5" x14ac:dyDescent="0.2">
      <c r="A34" s="16" t="s">
        <v>302</v>
      </c>
    </row>
    <row r="35" spans="1:5" x14ac:dyDescent="0.2">
      <c r="A35" s="17" t="s">
        <v>303</v>
      </c>
      <c r="B35" s="17" t="s">
        <v>304</v>
      </c>
      <c r="C35" s="17" t="s">
        <v>217</v>
      </c>
      <c r="D35" s="17" t="s">
        <v>305</v>
      </c>
      <c r="E35" s="17" t="s">
        <v>306</v>
      </c>
    </row>
    <row r="36" spans="1:5" x14ac:dyDescent="0.2">
      <c r="A36" s="4" t="s">
        <v>307</v>
      </c>
      <c r="B36" s="19" t="s">
        <v>308</v>
      </c>
      <c r="C36" s="20">
        <v>661060</v>
      </c>
      <c r="D36" s="19" t="s">
        <v>309</v>
      </c>
      <c r="E36" s="18" t="s">
        <v>310</v>
      </c>
    </row>
    <row r="37" spans="1:5" x14ac:dyDescent="0.2">
      <c r="A37" s="4" t="s">
        <v>311</v>
      </c>
      <c r="B37" s="19" t="s">
        <v>312</v>
      </c>
      <c r="C37" s="8" t="s">
        <v>313</v>
      </c>
      <c r="D37" s="19" t="s">
        <v>314</v>
      </c>
      <c r="E37" s="18"/>
    </row>
    <row r="38" spans="1:5" x14ac:dyDescent="0.2">
      <c r="A38" s="4" t="s">
        <v>315</v>
      </c>
      <c r="B38" s="19" t="s">
        <v>316</v>
      </c>
      <c r="C38" s="8" t="s">
        <v>317</v>
      </c>
      <c r="D38" s="19" t="s">
        <v>314</v>
      </c>
      <c r="E38" s="18"/>
    </row>
    <row r="39" spans="1:5" x14ac:dyDescent="0.2">
      <c r="A39" s="4" t="s">
        <v>318</v>
      </c>
      <c r="B39" s="19" t="s">
        <v>319</v>
      </c>
      <c r="C39" s="8" t="s">
        <v>455</v>
      </c>
      <c r="D39" s="19" t="s">
        <v>314</v>
      </c>
      <c r="E39" s="18" t="s">
        <v>321</v>
      </c>
    </row>
    <row r="40" spans="1:5" x14ac:dyDescent="0.2">
      <c r="A40" s="4" t="s">
        <v>322</v>
      </c>
      <c r="B40" s="19" t="s">
        <v>323</v>
      </c>
      <c r="C40" s="22">
        <v>0.857097</v>
      </c>
      <c r="D40" s="19" t="s">
        <v>324</v>
      </c>
      <c r="E40" s="18" t="s">
        <v>325</v>
      </c>
    </row>
    <row r="41" spans="1:5" ht="85" x14ac:dyDescent="0.2">
      <c r="A41" s="4" t="s">
        <v>326</v>
      </c>
      <c r="B41" s="19" t="s">
        <v>327</v>
      </c>
      <c r="C41" s="36" t="s">
        <v>632</v>
      </c>
      <c r="D41" s="19" t="s">
        <v>324</v>
      </c>
      <c r="E41" s="18" t="s">
        <v>328</v>
      </c>
    </row>
    <row r="42" spans="1:5" ht="26" x14ac:dyDescent="0.2">
      <c r="A42" s="4" t="s">
        <v>329</v>
      </c>
      <c r="B42" s="19" t="s">
        <v>330</v>
      </c>
      <c r="C42" s="23">
        <v>0</v>
      </c>
      <c r="D42" s="19" t="s">
        <v>331</v>
      </c>
      <c r="E42" s="18" t="s">
        <v>332</v>
      </c>
    </row>
    <row r="43" spans="1:5" x14ac:dyDescent="0.2">
      <c r="A43" s="4" t="s">
        <v>333</v>
      </c>
      <c r="B43" s="19" t="s">
        <v>334</v>
      </c>
      <c r="C43" s="23">
        <v>4.0000000000000001E-3</v>
      </c>
      <c r="D43" s="19" t="s">
        <v>331</v>
      </c>
      <c r="E43" s="18" t="s">
        <v>261</v>
      </c>
    </row>
    <row r="44" spans="1:5" x14ac:dyDescent="0.2">
      <c r="A44" s="4" t="s">
        <v>335</v>
      </c>
      <c r="B44" s="19" t="s">
        <v>336</v>
      </c>
      <c r="C44" s="23">
        <v>4.0000000000000001E-3</v>
      </c>
      <c r="D44" s="19" t="s">
        <v>331</v>
      </c>
      <c r="E44" s="18" t="s">
        <v>264</v>
      </c>
    </row>
    <row r="45" spans="1:5" x14ac:dyDescent="0.2">
      <c r="A45" s="4" t="s">
        <v>337</v>
      </c>
      <c r="B45" s="19" t="s">
        <v>338</v>
      </c>
      <c r="C45" s="23">
        <v>0</v>
      </c>
      <c r="D45" s="19" t="s">
        <v>331</v>
      </c>
      <c r="E45" s="18" t="s">
        <v>266</v>
      </c>
    </row>
    <row r="46" spans="1:5" x14ac:dyDescent="0.2">
      <c r="A46" s="4" t="s">
        <v>253</v>
      </c>
      <c r="B46" s="19" t="s">
        <v>339</v>
      </c>
      <c r="C46" s="8" t="s">
        <v>454</v>
      </c>
      <c r="D46" s="19" t="s">
        <v>314</v>
      </c>
      <c r="E46" s="18" t="s">
        <v>340</v>
      </c>
    </row>
    <row r="47" spans="1:5" x14ac:dyDescent="0.2">
      <c r="A47" s="4" t="s">
        <v>243</v>
      </c>
      <c r="B47" s="19" t="s">
        <v>341</v>
      </c>
      <c r="C47" s="8" t="s">
        <v>94</v>
      </c>
      <c r="D47" s="19" t="s">
        <v>314</v>
      </c>
      <c r="E47" s="18" t="s">
        <v>342</v>
      </c>
    </row>
    <row r="48" spans="1:5" x14ac:dyDescent="0.2">
      <c r="A48" s="4" t="s">
        <v>249</v>
      </c>
      <c r="B48" s="19" t="s">
        <v>343</v>
      </c>
      <c r="C48" s="8" t="s">
        <v>251</v>
      </c>
      <c r="D48" s="19" t="s">
        <v>314</v>
      </c>
      <c r="E48" s="18" t="s">
        <v>344</v>
      </c>
    </row>
    <row r="49" spans="1:5" x14ac:dyDescent="0.2">
      <c r="A49" s="4" t="s">
        <v>345</v>
      </c>
      <c r="B49" s="19" t="s">
        <v>346</v>
      </c>
      <c r="C49" s="8" t="s">
        <v>347</v>
      </c>
      <c r="D49" s="19" t="s">
        <v>314</v>
      </c>
      <c r="E49" s="18" t="s">
        <v>348</v>
      </c>
    </row>
    <row r="50" spans="1:5" x14ac:dyDescent="0.2">
      <c r="A50" s="4" t="s">
        <v>349</v>
      </c>
      <c r="B50" s="19" t="s">
        <v>350</v>
      </c>
      <c r="C50" s="20">
        <v>1</v>
      </c>
      <c r="D50" s="19" t="s">
        <v>309</v>
      </c>
      <c r="E50" s="18" t="s">
        <v>351</v>
      </c>
    </row>
    <row r="51" spans="1:5" x14ac:dyDescent="0.2">
      <c r="A51" s="4" t="s">
        <v>352</v>
      </c>
      <c r="B51" s="19" t="s">
        <v>353</v>
      </c>
      <c r="C51" s="23">
        <v>3.0000000000000001E-3</v>
      </c>
      <c r="D51" s="19" t="s">
        <v>331</v>
      </c>
      <c r="E51" s="18" t="s">
        <v>274</v>
      </c>
    </row>
    <row r="52" spans="1:5" x14ac:dyDescent="0.2">
      <c r="A52" s="4" t="s">
        <v>354</v>
      </c>
      <c r="B52" s="19" t="s">
        <v>355</v>
      </c>
      <c r="C52" s="23">
        <v>0.01</v>
      </c>
      <c r="D52" s="19" t="s">
        <v>331</v>
      </c>
      <c r="E52" s="18" t="s">
        <v>356</v>
      </c>
    </row>
    <row r="53" spans="1:5" x14ac:dyDescent="0.2">
      <c r="A53" s="4" t="s">
        <v>280</v>
      </c>
      <c r="B53" s="19" t="s">
        <v>357</v>
      </c>
      <c r="C53" s="8" t="s">
        <v>456</v>
      </c>
      <c r="D53" s="19" t="s">
        <v>314</v>
      </c>
      <c r="E53" s="18" t="s">
        <v>359</v>
      </c>
    </row>
    <row r="54" spans="1:5" x14ac:dyDescent="0.2">
      <c r="A54" s="4" t="s">
        <v>283</v>
      </c>
      <c r="B54" s="19" t="s">
        <v>358</v>
      </c>
      <c r="C54" s="23">
        <v>0</v>
      </c>
      <c r="D54" s="19" t="s">
        <v>331</v>
      </c>
      <c r="E54" s="18" t="s">
        <v>360</v>
      </c>
    </row>
    <row r="55" spans="1:5" x14ac:dyDescent="0.2">
      <c r="A55" s="4" t="s">
        <v>361</v>
      </c>
      <c r="B55" s="19" t="s">
        <v>362</v>
      </c>
      <c r="C55" s="23">
        <v>0</v>
      </c>
      <c r="D55" s="19" t="s">
        <v>331</v>
      </c>
      <c r="E55" s="18" t="s">
        <v>363</v>
      </c>
    </row>
    <row r="57" spans="1:5" x14ac:dyDescent="0.2">
      <c r="A57" s="16" t="s">
        <v>364</v>
      </c>
    </row>
    <row r="58" spans="1:5" x14ac:dyDescent="0.2">
      <c r="A58" s="17" t="s">
        <v>365</v>
      </c>
      <c r="B58" s="17" t="s">
        <v>366</v>
      </c>
      <c r="C58" s="17" t="s">
        <v>217</v>
      </c>
      <c r="D58" s="17"/>
      <c r="E58" s="17" t="s">
        <v>367</v>
      </c>
    </row>
    <row r="59" spans="1:5" ht="26" x14ac:dyDescent="0.2">
      <c r="A59" s="4" t="s">
        <v>368</v>
      </c>
      <c r="B59" s="18" t="s">
        <v>369</v>
      </c>
      <c r="C59" s="25" t="str">
        <f>IF($C$46="market",$C$40,$C$41)</f>
        <v>0.8519338899301414 (1 ÷ 1.1738). Note that sometimes Ali gives the rates as 1.1738 which is the reverse way of sharing the rate, as such we have to reverse it by 1/reverse_rate to get the actual rate in the correct direction.</v>
      </c>
      <c r="E59" s="18" t="s">
        <v>370</v>
      </c>
    </row>
    <row r="60" spans="1:5" ht="39" x14ac:dyDescent="0.2">
      <c r="A60" s="4" t="s">
        <v>371</v>
      </c>
      <c r="B60" s="18" t="s">
        <v>372</v>
      </c>
      <c r="C60" s="25" t="e">
        <f>IF($C$48="in_per_out",$C$59/(1+$C$44),$C$59*(1-$C$44))</f>
        <v>#VALUE!</v>
      </c>
      <c r="E60" s="18" t="s">
        <v>373</v>
      </c>
    </row>
    <row r="61" spans="1:5" ht="28" x14ac:dyDescent="0.2">
      <c r="A61" s="4" t="s">
        <v>374</v>
      </c>
      <c r="B61" s="18" t="s">
        <v>375</v>
      </c>
      <c r="C61" s="26" t="e">
        <f>$C$36*$C$60</f>
        <v>#VALUE!</v>
      </c>
      <c r="E61" s="18" t="s">
        <v>376</v>
      </c>
    </row>
    <row r="62" spans="1:5" x14ac:dyDescent="0.2">
      <c r="A62" s="4" t="s">
        <v>377</v>
      </c>
      <c r="B62" s="18" t="s">
        <v>378</v>
      </c>
      <c r="C62" s="26" t="e">
        <f>$C$61*$C$45</f>
        <v>#VALUE!</v>
      </c>
      <c r="E62" s="18" t="s">
        <v>376</v>
      </c>
    </row>
    <row r="63" spans="1:5" x14ac:dyDescent="0.2">
      <c r="A63" s="4" t="s">
        <v>379</v>
      </c>
      <c r="B63" s="18" t="s">
        <v>380</v>
      </c>
      <c r="C63" s="26" t="e">
        <f>$C$61-$C$62</f>
        <v>#VALUE!</v>
      </c>
      <c r="E63" s="18" t="s">
        <v>381</v>
      </c>
    </row>
    <row r="64" spans="1:5" ht="39" x14ac:dyDescent="0.2">
      <c r="A64" s="4" t="s">
        <v>382</v>
      </c>
      <c r="B64" s="18" t="s">
        <v>383</v>
      </c>
      <c r="C64" s="26" t="e">
        <f>IF($C$47="own_desk",$C$36*$C$40,IF($C$47="market_plus_pct",$C$36*$C$40*(1-$C$42),$C$36*$C$41))</f>
        <v>#VALUE!</v>
      </c>
      <c r="E64" s="18" t="s">
        <v>384</v>
      </c>
    </row>
    <row r="65" spans="1:5" x14ac:dyDescent="0.2">
      <c r="A65" s="4" t="s">
        <v>385</v>
      </c>
      <c r="B65" s="18" t="s">
        <v>386</v>
      </c>
      <c r="C65" s="26" t="e">
        <f>$C$36*$C$40-$C$64</f>
        <v>#VALUE!</v>
      </c>
      <c r="E65" s="18" t="s">
        <v>381</v>
      </c>
    </row>
    <row r="66" spans="1:5" x14ac:dyDescent="0.2">
      <c r="A66" s="4" t="s">
        <v>387</v>
      </c>
      <c r="B66" s="18" t="s">
        <v>388</v>
      </c>
      <c r="C66" s="26" t="e">
        <f>$C$64-$C$63</f>
        <v>#VALUE!</v>
      </c>
      <c r="E66" s="18" t="s">
        <v>389</v>
      </c>
    </row>
    <row r="67" spans="1:5" x14ac:dyDescent="0.2">
      <c r="A67" s="4" t="s">
        <v>390</v>
      </c>
      <c r="B67" s="18" t="s">
        <v>391</v>
      </c>
      <c r="C67" s="27" t="e">
        <f>IF($C$36*$C$40=0,0,$C$66/($C$36*$C$40))</f>
        <v>#VALUE!</v>
      </c>
      <c r="E67" s="18" t="s">
        <v>381</v>
      </c>
    </row>
    <row r="68" spans="1:5" ht="26" x14ac:dyDescent="0.2">
      <c r="A68" s="4" t="s">
        <v>392</v>
      </c>
      <c r="B68" s="18" t="s">
        <v>393</v>
      </c>
      <c r="C68" s="7" t="e">
        <f>IF($C$67&lt;$C$51,"YES — Finance approval","no")</f>
        <v>#VALUE!</v>
      </c>
      <c r="E68" s="18" t="s">
        <v>394</v>
      </c>
    </row>
    <row r="69" spans="1:5" ht="26" x14ac:dyDescent="0.2">
      <c r="A69" s="4" t="s">
        <v>395</v>
      </c>
      <c r="B69" s="18" t="s">
        <v>396</v>
      </c>
      <c r="C69" s="26" t="e">
        <f>IF($C$49="round_up_unit",CEILING($C$63,$C$50),IF($C$49="nearest_unit",MROUND($C$63,$C$50),IF($C$49="nearest_n",MROUND($C$63,$C$50),FLOOR($C$63,$C$50))))</f>
        <v>#VALUE!</v>
      </c>
      <c r="E69" s="18" t="s">
        <v>397</v>
      </c>
    </row>
    <row r="70" spans="1:5" ht="28" x14ac:dyDescent="0.2">
      <c r="A70" s="4" t="s">
        <v>398</v>
      </c>
      <c r="B70" s="18" t="s">
        <v>399</v>
      </c>
      <c r="C70" s="26" t="e">
        <f>$C$63-$C$69</f>
        <v>#VALUE!</v>
      </c>
      <c r="E70" s="18" t="s">
        <v>400</v>
      </c>
    </row>
    <row r="71" spans="1:5" ht="26" x14ac:dyDescent="0.2">
      <c r="A71" s="4" t="s">
        <v>401</v>
      </c>
      <c r="B71" s="18" t="s">
        <v>402</v>
      </c>
      <c r="C71" s="25" t="e">
        <f>IF($C$52="",$C$59,$C$60/(1-$C$52))</f>
        <v>#VALUE!</v>
      </c>
      <c r="E71" s="18" t="s">
        <v>356</v>
      </c>
    </row>
    <row r="72" spans="1:5" x14ac:dyDescent="0.2">
      <c r="A72" s="4" t="s">
        <v>403</v>
      </c>
      <c r="B72" s="18" t="s">
        <v>404</v>
      </c>
      <c r="C72" s="26">
        <f>IF($C$53="rebate",$C$65*$C$54,0)</f>
        <v>0</v>
      </c>
      <c r="E72" s="18" t="s">
        <v>405</v>
      </c>
    </row>
    <row r="73" spans="1:5" x14ac:dyDescent="0.2">
      <c r="A73" s="4" t="s">
        <v>406</v>
      </c>
      <c r="B73" s="18" t="s">
        <v>407</v>
      </c>
      <c r="C73" s="26">
        <f>$C$36*$C$40*$C$55</f>
        <v>0</v>
      </c>
      <c r="E73" s="18" t="s">
        <v>408</v>
      </c>
    </row>
    <row r="74" spans="1:5" ht="28" x14ac:dyDescent="0.2">
      <c r="A74" s="4" t="s">
        <v>409</v>
      </c>
      <c r="B74" s="18" t="s">
        <v>410</v>
      </c>
      <c r="C74" s="26" t="e">
        <f>ROUND($C$63+$C$65+$C$66-$C$36*$C$40,6)</f>
        <v>#VALUE!</v>
      </c>
      <c r="E74" s="18" t="s">
        <v>411</v>
      </c>
    </row>
    <row r="76" spans="1:5" x14ac:dyDescent="0.2">
      <c r="A76" s="16" t="s">
        <v>412</v>
      </c>
    </row>
    <row r="77" spans="1:5" x14ac:dyDescent="0.2">
      <c r="A77" s="17" t="s">
        <v>413</v>
      </c>
      <c r="B77" s="17" t="s">
        <v>414</v>
      </c>
      <c r="C77" s="17" t="s">
        <v>415</v>
      </c>
      <c r="D77" s="17" t="s">
        <v>416</v>
      </c>
      <c r="E77" s="17" t="s">
        <v>417</v>
      </c>
    </row>
    <row r="78" spans="1:5" x14ac:dyDescent="0.2">
      <c r="A78" s="7" t="str">
        <f>"CL."&amp;$C$39&amp;"."&amp;$C$37&amp;".COLLECTED"</f>
        <v>CL.ALI.USDT.COLLECTED</v>
      </c>
      <c r="B78" s="7" t="s">
        <v>418</v>
      </c>
      <c r="C78" s="26">
        <f>$C$36</f>
        <v>661060</v>
      </c>
      <c r="D78" s="19" t="s">
        <v>419</v>
      </c>
      <c r="E78" s="19" t="s">
        <v>420</v>
      </c>
    </row>
    <row r="79" spans="1:5" x14ac:dyDescent="0.2">
      <c r="A79" s="7" t="str">
        <f>"CL.PROJECT."&amp;$C$37&amp;".PAYABLE"</f>
        <v>CL.PROJECT.USDT.PAYABLE</v>
      </c>
      <c r="B79" s="7" t="s">
        <v>421</v>
      </c>
      <c r="C79" s="26">
        <f>$C$36</f>
        <v>661060</v>
      </c>
      <c r="D79" s="19" t="s">
        <v>419</v>
      </c>
      <c r="E79" s="19" t="s">
        <v>420</v>
      </c>
    </row>
    <row r="80" spans="1:5" x14ac:dyDescent="0.2">
      <c r="A80" s="7" t="str">
        <f>"CL.PROJECT."&amp;$C$37&amp;".PAYABLE"</f>
        <v>CL.PROJECT.USDT.PAYABLE</v>
      </c>
      <c r="B80" s="7" t="s">
        <v>418</v>
      </c>
      <c r="C80" s="26">
        <f>$C$36</f>
        <v>661060</v>
      </c>
      <c r="D80" s="19" t="s">
        <v>419</v>
      </c>
      <c r="E80" s="19" t="s">
        <v>422</v>
      </c>
    </row>
    <row r="81" spans="1:5" x14ac:dyDescent="0.2">
      <c r="A81" s="7" t="str">
        <f>"CL."&amp;$C$39&amp;"."&amp;$C$37&amp;".COLLECTED"</f>
        <v>CL.ALI.USDT.COLLECTED</v>
      </c>
      <c r="B81" s="7" t="s">
        <v>421</v>
      </c>
      <c r="C81" s="26">
        <f>$C$36</f>
        <v>661060</v>
      </c>
      <c r="D81" s="19" t="s">
        <v>419</v>
      </c>
      <c r="E81" s="19" t="s">
        <v>422</v>
      </c>
    </row>
    <row r="82" spans="1:5" x14ac:dyDescent="0.2">
      <c r="A82" s="7" t="str">
        <f>"CL."&amp;$C$39&amp;"."&amp;$C$38&amp;".DUE"</f>
        <v>CL.ALI.EUR.DUE</v>
      </c>
      <c r="B82" s="7" t="s">
        <v>418</v>
      </c>
      <c r="C82" s="26" t="e">
        <f>$C$63</f>
        <v>#VALUE!</v>
      </c>
      <c r="D82" s="19" t="s">
        <v>423</v>
      </c>
      <c r="E82" s="19" t="s">
        <v>424</v>
      </c>
    </row>
    <row r="83" spans="1:5" x14ac:dyDescent="0.2">
      <c r="A83" s="7" t="str">
        <f>"CO."&amp;$C$39&amp;"."&amp;$C$38&amp;".POOL"</f>
        <v>CO.ALI.EUR.POOL</v>
      </c>
      <c r="B83" s="7" t="s">
        <v>418</v>
      </c>
      <c r="C83" s="26" t="e">
        <f>IF($C$53="rebate",0,$C$66)</f>
        <v>#VALUE!</v>
      </c>
      <c r="D83" s="19" t="s">
        <v>425</v>
      </c>
      <c r="E83" s="19" t="s">
        <v>426</v>
      </c>
    </row>
    <row r="84" spans="1:5" x14ac:dyDescent="0.2">
      <c r="A84" s="7" t="str">
        <f>"CO."&amp;$C$39&amp;"."&amp;$C$38&amp;".REBATE_RECEIVABLE"</f>
        <v>CO.ALI.EUR.REBATE_RECEIVABLE</v>
      </c>
      <c r="B84" s="7" t="s">
        <v>418</v>
      </c>
      <c r="C84" s="26">
        <f>$C$72</f>
        <v>0</v>
      </c>
      <c r="D84" s="19" t="s">
        <v>425</v>
      </c>
      <c r="E84" s="19" t="s">
        <v>427</v>
      </c>
    </row>
    <row r="85" spans="1:5" x14ac:dyDescent="0.2">
      <c r="A85" s="7" t="str">
        <f>"CL.PROJECT."&amp;$C$38&amp;".PAYABLE"</f>
        <v>CL.PROJECT.EUR.PAYABLE</v>
      </c>
      <c r="B85" s="7" t="s">
        <v>421</v>
      </c>
      <c r="C85" s="26" t="e">
        <f>$C$63</f>
        <v>#VALUE!</v>
      </c>
      <c r="D85" s="19" t="s">
        <v>419</v>
      </c>
      <c r="E85" s="19" t="s">
        <v>424</v>
      </c>
    </row>
    <row r="86" spans="1:5" x14ac:dyDescent="0.2">
      <c r="A86" s="7" t="str">
        <f>"CO.NONE."&amp;$C$38&amp;".EARN_GROSS"</f>
        <v>CO.NONE.EUR.EARN_GROSS</v>
      </c>
      <c r="B86" s="7" t="s">
        <v>421</v>
      </c>
      <c r="C86" s="26" t="e">
        <f>$C$66+$C$72</f>
        <v>#VALUE!</v>
      </c>
      <c r="D86" s="19" t="s">
        <v>425</v>
      </c>
      <c r="E86" s="19" t="s">
        <v>428</v>
      </c>
    </row>
    <row r="87" spans="1:5" x14ac:dyDescent="0.2">
      <c r="A87" s="7" t="str">
        <f>"CL."&amp;$C$39&amp;"."&amp;$C$38&amp;".INTRANSIT"</f>
        <v>CL.ALI.EUR.INTRANSIT</v>
      </c>
      <c r="B87" s="7" t="s">
        <v>418</v>
      </c>
      <c r="C87" s="26" t="e">
        <f>$C$69</f>
        <v>#VALUE!</v>
      </c>
      <c r="D87" s="19" t="s">
        <v>419</v>
      </c>
      <c r="E87" s="19" t="s">
        <v>429</v>
      </c>
    </row>
    <row r="88" spans="1:5" x14ac:dyDescent="0.2">
      <c r="A88" s="7" t="str">
        <f>"CL."&amp;$C$39&amp;"."&amp;$C$38&amp;".DUE"</f>
        <v>CL.ALI.EUR.DUE</v>
      </c>
      <c r="B88" s="7" t="s">
        <v>421</v>
      </c>
      <c r="C88" s="26" t="e">
        <f>$C$69</f>
        <v>#VALUE!</v>
      </c>
      <c r="D88" s="19" t="s">
        <v>419</v>
      </c>
      <c r="E88" s="19" t="s">
        <v>430</v>
      </c>
    </row>
    <row r="89" spans="1:5" x14ac:dyDescent="0.2">
      <c r="A89" s="7" t="str">
        <f>"CL.PROJECT."&amp;$C$38&amp;".PAYABLE"</f>
        <v>CL.PROJECT.EUR.PAYABLE</v>
      </c>
      <c r="B89" s="7" t="s">
        <v>418</v>
      </c>
      <c r="C89" s="26" t="e">
        <f>$C$69</f>
        <v>#VALUE!</v>
      </c>
      <c r="D89" s="19" t="s">
        <v>419</v>
      </c>
      <c r="E89" s="19" t="s">
        <v>431</v>
      </c>
    </row>
    <row r="90" spans="1:5" x14ac:dyDescent="0.2">
      <c r="A90" s="7" t="str">
        <f>"CL."&amp;$C$39&amp;"."&amp;$C$38&amp;".INTRANSIT"</f>
        <v>CL.ALI.EUR.INTRANSIT</v>
      </c>
      <c r="B90" s="7" t="s">
        <v>421</v>
      </c>
      <c r="C90" s="26" t="e">
        <f>$C$69</f>
        <v>#VALUE!</v>
      </c>
      <c r="D90" s="19" t="s">
        <v>419</v>
      </c>
      <c r="E90" s="19" t="s">
        <v>431</v>
      </c>
    </row>
    <row r="91" spans="1:5" x14ac:dyDescent="0.2">
      <c r="A91" s="7" t="str">
        <f>"CO.NONE."&amp;$C$38&amp;".EARN_GROSS"</f>
        <v>CO.NONE.EUR.EARN_GROSS</v>
      </c>
      <c r="B91" s="7" t="s">
        <v>418</v>
      </c>
      <c r="C91" s="26">
        <f>$C$73</f>
        <v>0</v>
      </c>
      <c r="D91" s="19" t="s">
        <v>432</v>
      </c>
      <c r="E91" s="19" t="s">
        <v>433</v>
      </c>
    </row>
    <row r="92" spans="1:5" x14ac:dyDescent="0.2">
      <c r="A92" s="7" t="str">
        <f>"CO.INTRODUCER."&amp;$C$38&amp;".REFERRAL_PAYABLE"</f>
        <v>CO.INTRODUCER.EUR.REFERRAL_PAYABLE</v>
      </c>
      <c r="B92" s="7" t="s">
        <v>421</v>
      </c>
      <c r="C92" s="26">
        <f>$C$73</f>
        <v>0</v>
      </c>
      <c r="D92" s="19" t="s">
        <v>432</v>
      </c>
      <c r="E92" s="19" t="s">
        <v>434</v>
      </c>
    </row>
    <row r="93" spans="1:5" ht="30" customHeight="1" x14ac:dyDescent="0.2">
      <c r="A93" s="28" t="s">
        <v>435</v>
      </c>
      <c r="C93" s="29" t="e">
        <f>ROUND(SUMIF($B$82:$B$92,"Dr",$C$82:$C$92)-SUMIF($B$82:$B$92,"Cr",$C$82:$C$92),6)</f>
        <v>#VALUE!</v>
      </c>
      <c r="E93" s="18" t="s">
        <v>436</v>
      </c>
    </row>
    <row r="95" spans="1:5" x14ac:dyDescent="0.2">
      <c r="A95" s="16" t="s">
        <v>437</v>
      </c>
    </row>
    <row r="96" spans="1:5" x14ac:dyDescent="0.2">
      <c r="A96" s="17" t="s">
        <v>438</v>
      </c>
      <c r="B96" s="17" t="s">
        <v>439</v>
      </c>
      <c r="C96" s="17" t="s">
        <v>440</v>
      </c>
      <c r="D96" s="17" t="s">
        <v>441</v>
      </c>
      <c r="E96" s="17" t="s">
        <v>442</v>
      </c>
    </row>
    <row r="97" spans="1:5" ht="30" customHeight="1" x14ac:dyDescent="0.2">
      <c r="A97" s="4" t="s">
        <v>457</v>
      </c>
      <c r="B97" s="21">
        <v>0.857097</v>
      </c>
      <c r="C97" s="25" t="e">
        <f>$C$71</f>
        <v>#VALUE!</v>
      </c>
      <c r="D97" s="29" t="e">
        <f>ROUND(C97-B97,2)</f>
        <v>#VALUE!</v>
      </c>
      <c r="E97" s="18" t="s">
        <v>458</v>
      </c>
    </row>
    <row r="98" spans="1:5" ht="15.75" customHeight="1" x14ac:dyDescent="0.2">
      <c r="A98" s="4" t="s">
        <v>443</v>
      </c>
      <c r="B98" s="20">
        <v>560927</v>
      </c>
      <c r="C98" s="26" t="e">
        <f>$C$61</f>
        <v>#VALUE!</v>
      </c>
      <c r="D98" s="29" t="e">
        <f>ROUND(C98-B98,2)</f>
        <v>#VALUE!</v>
      </c>
      <c r="E98" s="18" t="s">
        <v>459</v>
      </c>
    </row>
    <row r="100" spans="1:5" x14ac:dyDescent="0.2">
      <c r="A100" s="16" t="s">
        <v>445</v>
      </c>
    </row>
    <row r="101" spans="1:5" ht="31.5" customHeight="1" x14ac:dyDescent="0.2">
      <c r="A101" s="14" t="s">
        <v>446</v>
      </c>
      <c r="B101" s="1" t="s">
        <v>460</v>
      </c>
      <c r="C101" s="1"/>
      <c r="D101" s="1"/>
      <c r="E101" s="1"/>
    </row>
    <row r="102" spans="1:5" ht="31.5" customHeight="1" x14ac:dyDescent="0.2">
      <c r="A102" s="14"/>
      <c r="B102" s="34" t="s">
        <v>635</v>
      </c>
      <c r="C102" s="15"/>
      <c r="D102" s="15"/>
      <c r="E102" s="15"/>
    </row>
    <row r="103" spans="1:5" ht="31.5" customHeight="1" x14ac:dyDescent="0.2">
      <c r="A103" s="14"/>
      <c r="B103" s="15"/>
      <c r="C103" s="15"/>
      <c r="D103" s="15"/>
      <c r="E103" s="15"/>
    </row>
    <row r="104" spans="1:5" ht="31.5" customHeight="1" x14ac:dyDescent="0.2">
      <c r="A104" s="14" t="s">
        <v>446</v>
      </c>
      <c r="B104" s="1" t="s">
        <v>461</v>
      </c>
      <c r="C104" s="1"/>
      <c r="D104" s="1"/>
      <c r="E104" s="1"/>
    </row>
    <row r="105" spans="1:5" ht="31.5" customHeight="1" x14ac:dyDescent="0.2">
      <c r="A105" s="14"/>
      <c r="B105" s="34" t="s">
        <v>633</v>
      </c>
      <c r="C105" s="15"/>
      <c r="D105" s="15"/>
      <c r="E105" s="15"/>
    </row>
    <row r="106" spans="1:5" ht="31.5" customHeight="1" x14ac:dyDescent="0.2">
      <c r="A106" s="14"/>
      <c r="B106" s="34"/>
      <c r="C106" s="15"/>
      <c r="D106" s="15"/>
      <c r="E106" s="15"/>
    </row>
    <row r="107" spans="1:5" ht="31.5" customHeight="1" x14ac:dyDescent="0.2">
      <c r="A107" s="14" t="s">
        <v>446</v>
      </c>
      <c r="B107" s="1" t="s">
        <v>462</v>
      </c>
      <c r="C107" s="1"/>
      <c r="D107" s="1"/>
      <c r="E107" s="1"/>
    </row>
    <row r="108" spans="1:5" x14ac:dyDescent="0.2">
      <c r="B108" t="s">
        <v>634</v>
      </c>
    </row>
  </sheetData>
  <mergeCells count="3">
    <mergeCell ref="B101:E101"/>
    <mergeCell ref="B104:E104"/>
    <mergeCell ref="B107:E107"/>
  </mergeCell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7"/>
  <sheetViews>
    <sheetView topLeftCell="A81" zoomScaleNormal="100" workbookViewId="0">
      <selection activeCell="B107" sqref="B107"/>
    </sheetView>
  </sheetViews>
  <sheetFormatPr baseColWidth="10" defaultColWidth="8.6640625" defaultRowHeight="15" x14ac:dyDescent="0.2"/>
  <cols>
    <col min="1" max="2" width="34" customWidth="1"/>
    <col min="3" max="3" width="22" customWidth="1"/>
    <col min="4" max="4" width="18" customWidth="1"/>
    <col min="5" max="5" width="48" customWidth="1"/>
  </cols>
  <sheetData>
    <row r="1" spans="1:5" ht="17" x14ac:dyDescent="0.2">
      <c r="A1" s="2" t="s">
        <v>463</v>
      </c>
    </row>
    <row r="2" spans="1:5" x14ac:dyDescent="0.2">
      <c r="A2" s="13" t="s">
        <v>210</v>
      </c>
      <c r="B2" s="14" t="s">
        <v>464</v>
      </c>
    </row>
    <row r="3" spans="1:5" ht="30" customHeight="1" x14ac:dyDescent="0.2">
      <c r="A3" s="13" t="s">
        <v>212</v>
      </c>
      <c r="B3" s="15" t="s">
        <v>465</v>
      </c>
    </row>
    <row r="5" spans="1:5" x14ac:dyDescent="0.2">
      <c r="A5" s="16" t="s">
        <v>214</v>
      </c>
    </row>
    <row r="6" spans="1:5" x14ac:dyDescent="0.2">
      <c r="A6" s="17" t="s">
        <v>215</v>
      </c>
      <c r="B6" s="17" t="s">
        <v>216</v>
      </c>
      <c r="C6" s="17" t="s">
        <v>217</v>
      </c>
      <c r="D6" s="17" t="s">
        <v>218</v>
      </c>
      <c r="E6" s="17" t="s">
        <v>219</v>
      </c>
    </row>
    <row r="7" spans="1:5" ht="30" customHeight="1" x14ac:dyDescent="0.2">
      <c r="A7" s="4" t="s">
        <v>220</v>
      </c>
      <c r="B7" s="4" t="s">
        <v>221</v>
      </c>
      <c r="C7" s="10" t="s">
        <v>126</v>
      </c>
      <c r="D7" s="4" t="s">
        <v>222</v>
      </c>
      <c r="E7" s="18" t="s">
        <v>223</v>
      </c>
    </row>
    <row r="8" spans="1:5" ht="30" customHeight="1" x14ac:dyDescent="0.2">
      <c r="A8" s="4" t="s">
        <v>224</v>
      </c>
      <c r="B8" s="4" t="s">
        <v>225</v>
      </c>
      <c r="C8" s="32" t="s">
        <v>636</v>
      </c>
      <c r="D8" s="4" t="s">
        <v>226</v>
      </c>
      <c r="E8" s="18" t="s">
        <v>227</v>
      </c>
    </row>
    <row r="9" spans="1:5" ht="30" customHeight="1" x14ac:dyDescent="0.2">
      <c r="A9" s="4" t="s">
        <v>228</v>
      </c>
      <c r="B9" s="4" t="s">
        <v>229</v>
      </c>
      <c r="C9" s="10" t="s">
        <v>638</v>
      </c>
      <c r="D9" s="4" t="s">
        <v>222</v>
      </c>
      <c r="E9" s="18" t="s">
        <v>230</v>
      </c>
    </row>
    <row r="10" spans="1:5" ht="30" customHeight="1" x14ac:dyDescent="0.2">
      <c r="A10" s="4" t="s">
        <v>231</v>
      </c>
      <c r="B10" s="4" t="s">
        <v>232</v>
      </c>
      <c r="C10" s="32" t="s">
        <v>619</v>
      </c>
      <c r="D10" s="4" t="s">
        <v>226</v>
      </c>
      <c r="E10" s="18" t="s">
        <v>233</v>
      </c>
    </row>
    <row r="11" spans="1:5" ht="15.75" customHeight="1" x14ac:dyDescent="0.2">
      <c r="A11" s="4" t="s">
        <v>234</v>
      </c>
      <c r="B11" s="4" t="s">
        <v>235</v>
      </c>
      <c r="C11" s="10" t="s">
        <v>236</v>
      </c>
      <c r="D11" s="4" t="s">
        <v>222</v>
      </c>
      <c r="E11" s="18" t="s">
        <v>237</v>
      </c>
    </row>
    <row r="12" spans="1:5" ht="30" customHeight="1" x14ac:dyDescent="0.2">
      <c r="A12" s="4" t="s">
        <v>238</v>
      </c>
      <c r="B12" s="4" t="s">
        <v>239</v>
      </c>
      <c r="C12" s="10" t="s">
        <v>466</v>
      </c>
      <c r="D12" s="4" t="s">
        <v>222</v>
      </c>
      <c r="E12" s="18" t="s">
        <v>240</v>
      </c>
    </row>
    <row r="13" spans="1:5" ht="15.75" customHeight="1" x14ac:dyDescent="0.2">
      <c r="A13" s="4" t="s">
        <v>241</v>
      </c>
      <c r="B13" s="4" t="s">
        <v>242</v>
      </c>
      <c r="C13" s="10" t="s">
        <v>93</v>
      </c>
      <c r="D13" s="4" t="s">
        <v>222</v>
      </c>
      <c r="E13" s="18"/>
    </row>
    <row r="14" spans="1:5" ht="30" customHeight="1" x14ac:dyDescent="0.2">
      <c r="A14" s="4" t="s">
        <v>243</v>
      </c>
      <c r="B14" s="4" t="s">
        <v>244</v>
      </c>
      <c r="C14" s="10" t="s">
        <v>94</v>
      </c>
      <c r="D14" s="4" t="s">
        <v>222</v>
      </c>
      <c r="E14" s="18" t="s">
        <v>245</v>
      </c>
    </row>
    <row r="15" spans="1:5" ht="15.75" customHeight="1" x14ac:dyDescent="0.2">
      <c r="A15" s="4" t="s">
        <v>246</v>
      </c>
      <c r="B15" s="4" t="s">
        <v>247</v>
      </c>
      <c r="C15" s="10" t="s">
        <v>85</v>
      </c>
      <c r="D15" s="4" t="s">
        <v>222</v>
      </c>
      <c r="E15" s="18" t="s">
        <v>248</v>
      </c>
    </row>
    <row r="16" spans="1:5" ht="30" customHeight="1" x14ac:dyDescent="0.2">
      <c r="A16" s="4" t="s">
        <v>249</v>
      </c>
      <c r="B16" s="4" t="s">
        <v>250</v>
      </c>
      <c r="C16" s="10" t="s">
        <v>251</v>
      </c>
      <c r="D16" s="4" t="s">
        <v>222</v>
      </c>
      <c r="E16" s="18" t="s">
        <v>252</v>
      </c>
    </row>
    <row r="17" spans="1:5" ht="30" customHeight="1" x14ac:dyDescent="0.2">
      <c r="A17" s="4" t="s">
        <v>253</v>
      </c>
      <c r="B17" s="4" t="s">
        <v>254</v>
      </c>
      <c r="C17" s="10" t="s">
        <v>255</v>
      </c>
      <c r="D17" s="4" t="s">
        <v>222</v>
      </c>
      <c r="E17" s="18" t="s">
        <v>256</v>
      </c>
    </row>
    <row r="18" spans="1:5" ht="15.75" customHeight="1" x14ac:dyDescent="0.2">
      <c r="A18" s="4" t="s">
        <v>257</v>
      </c>
      <c r="B18" s="4" t="s">
        <v>258</v>
      </c>
      <c r="C18" s="10" t="s">
        <v>86</v>
      </c>
      <c r="D18" s="4" t="s">
        <v>222</v>
      </c>
      <c r="E18" s="18" t="s">
        <v>259</v>
      </c>
    </row>
    <row r="19" spans="1:5" ht="15.75" customHeight="1" x14ac:dyDescent="0.2">
      <c r="A19" s="4" t="s">
        <v>260</v>
      </c>
      <c r="B19" s="4" t="s">
        <v>261</v>
      </c>
      <c r="C19" s="12">
        <v>0.02</v>
      </c>
      <c r="D19" s="4" t="s">
        <v>222</v>
      </c>
      <c r="E19" s="18" t="s">
        <v>262</v>
      </c>
    </row>
    <row r="20" spans="1:5" ht="15.75" customHeight="1" x14ac:dyDescent="0.2">
      <c r="A20" s="4" t="s">
        <v>263</v>
      </c>
      <c r="B20" s="4" t="s">
        <v>264</v>
      </c>
      <c r="C20" s="12">
        <v>1.4E-2</v>
      </c>
      <c r="D20" s="4" t="s">
        <v>222</v>
      </c>
      <c r="E20" s="18"/>
    </row>
    <row r="21" spans="1:5" ht="30" customHeight="1" x14ac:dyDescent="0.2">
      <c r="A21" s="4" t="s">
        <v>265</v>
      </c>
      <c r="B21" s="4" t="s">
        <v>266</v>
      </c>
      <c r="C21" s="12">
        <v>6.0000000000000001E-3</v>
      </c>
      <c r="D21" s="4" t="s">
        <v>222</v>
      </c>
      <c r="E21" s="18" t="s">
        <v>267</v>
      </c>
    </row>
    <row r="22" spans="1:5" ht="15.75" customHeight="1" x14ac:dyDescent="0.2">
      <c r="A22" s="4" t="s">
        <v>268</v>
      </c>
      <c r="B22" s="4" t="s">
        <v>269</v>
      </c>
      <c r="C22" s="32" t="s">
        <v>630</v>
      </c>
      <c r="D22" s="4" t="s">
        <v>226</v>
      </c>
      <c r="E22" s="18" t="s">
        <v>270</v>
      </c>
    </row>
    <row r="23" spans="1:5" ht="15.75" customHeight="1" x14ac:dyDescent="0.2">
      <c r="A23" s="4" t="s">
        <v>271</v>
      </c>
      <c r="B23" s="4" t="s">
        <v>272</v>
      </c>
      <c r="C23" s="32" t="s">
        <v>630</v>
      </c>
      <c r="D23" s="4" t="s">
        <v>226</v>
      </c>
      <c r="E23" s="18" t="s">
        <v>270</v>
      </c>
    </row>
    <row r="24" spans="1:5" ht="15.75" customHeight="1" x14ac:dyDescent="0.2">
      <c r="A24" s="4" t="s">
        <v>273</v>
      </c>
      <c r="B24" s="4" t="s">
        <v>274</v>
      </c>
      <c r="C24" s="32" t="s">
        <v>630</v>
      </c>
      <c r="D24" s="4" t="s">
        <v>226</v>
      </c>
      <c r="E24" s="18" t="s">
        <v>275</v>
      </c>
    </row>
    <row r="25" spans="1:5" ht="30" customHeight="1" x14ac:dyDescent="0.2">
      <c r="A25" s="4" t="s">
        <v>276</v>
      </c>
      <c r="B25" s="4" t="s">
        <v>277</v>
      </c>
      <c r="C25" s="32" t="s">
        <v>621</v>
      </c>
      <c r="D25" s="4" t="s">
        <v>278</v>
      </c>
      <c r="E25" s="18" t="s">
        <v>279</v>
      </c>
    </row>
    <row r="26" spans="1:5" ht="15.75" customHeight="1" x14ac:dyDescent="0.2">
      <c r="A26" s="4" t="s">
        <v>280</v>
      </c>
      <c r="B26" s="4" t="s">
        <v>281</v>
      </c>
      <c r="C26" s="10" t="s">
        <v>95</v>
      </c>
      <c r="D26" s="4" t="s">
        <v>222</v>
      </c>
      <c r="E26" s="18" t="s">
        <v>282</v>
      </c>
    </row>
    <row r="27" spans="1:5" ht="15.75" customHeight="1" x14ac:dyDescent="0.2">
      <c r="A27" s="4" t="s">
        <v>283</v>
      </c>
      <c r="B27" s="4" t="s">
        <v>284</v>
      </c>
      <c r="C27" s="11"/>
      <c r="D27" s="4" t="s">
        <v>278</v>
      </c>
      <c r="E27" s="18" t="s">
        <v>286</v>
      </c>
    </row>
    <row r="28" spans="1:5" ht="15.75" customHeight="1" x14ac:dyDescent="0.2">
      <c r="A28" s="4" t="s">
        <v>287</v>
      </c>
      <c r="B28" s="4" t="s">
        <v>288</v>
      </c>
      <c r="C28" s="10"/>
      <c r="D28" s="4" t="s">
        <v>278</v>
      </c>
      <c r="E28" s="18" t="s">
        <v>289</v>
      </c>
    </row>
    <row r="29" spans="1:5" ht="30" customHeight="1" x14ac:dyDescent="0.2">
      <c r="A29" s="4" t="s">
        <v>290</v>
      </c>
      <c r="B29" s="4" t="s">
        <v>291</v>
      </c>
      <c r="C29" s="10" t="s">
        <v>292</v>
      </c>
      <c r="D29" s="4" t="s">
        <v>222</v>
      </c>
      <c r="E29" s="18" t="s">
        <v>293</v>
      </c>
    </row>
    <row r="30" spans="1:5" ht="15.75" customHeight="1" x14ac:dyDescent="0.2">
      <c r="A30" s="4" t="s">
        <v>294</v>
      </c>
      <c r="B30" s="4" t="s">
        <v>295</v>
      </c>
      <c r="C30" s="32" t="s">
        <v>629</v>
      </c>
      <c r="D30" s="4" t="s">
        <v>226</v>
      </c>
      <c r="E30" s="18"/>
    </row>
    <row r="31" spans="1:5" ht="15.75" customHeight="1" x14ac:dyDescent="0.2">
      <c r="A31" s="4" t="s">
        <v>296</v>
      </c>
      <c r="B31" s="4" t="s">
        <v>297</v>
      </c>
      <c r="C31" s="32" t="s">
        <v>637</v>
      </c>
      <c r="D31" s="4" t="s">
        <v>226</v>
      </c>
      <c r="E31" s="18" t="s">
        <v>298</v>
      </c>
    </row>
    <row r="32" spans="1:5" ht="30" customHeight="1" x14ac:dyDescent="0.2">
      <c r="A32" s="4" t="s">
        <v>299</v>
      </c>
      <c r="B32" s="4" t="s">
        <v>300</v>
      </c>
      <c r="C32" s="32" t="s">
        <v>639</v>
      </c>
      <c r="D32" s="4" t="s">
        <v>226</v>
      </c>
      <c r="E32" s="18" t="s">
        <v>301</v>
      </c>
    </row>
    <row r="34" spans="1:5" x14ac:dyDescent="0.2">
      <c r="A34" s="16" t="s">
        <v>302</v>
      </c>
    </row>
    <row r="35" spans="1:5" x14ac:dyDescent="0.2">
      <c r="A35" s="17" t="s">
        <v>303</v>
      </c>
      <c r="B35" s="17" t="s">
        <v>304</v>
      </c>
      <c r="C35" s="17" t="s">
        <v>217</v>
      </c>
      <c r="D35" s="17" t="s">
        <v>305</v>
      </c>
      <c r="E35" s="17" t="s">
        <v>306</v>
      </c>
    </row>
    <row r="36" spans="1:5" x14ac:dyDescent="0.2">
      <c r="A36" s="4" t="s">
        <v>307</v>
      </c>
      <c r="B36" s="19" t="s">
        <v>308</v>
      </c>
      <c r="C36" s="20">
        <v>29325</v>
      </c>
      <c r="D36" s="19" t="s">
        <v>309</v>
      </c>
      <c r="E36" s="18" t="s">
        <v>310</v>
      </c>
    </row>
    <row r="37" spans="1:5" x14ac:dyDescent="0.2">
      <c r="A37" s="4" t="s">
        <v>311</v>
      </c>
      <c r="B37" s="19" t="s">
        <v>312</v>
      </c>
      <c r="C37" s="8" t="s">
        <v>313</v>
      </c>
      <c r="D37" s="19" t="s">
        <v>314</v>
      </c>
      <c r="E37" s="18"/>
    </row>
    <row r="38" spans="1:5" x14ac:dyDescent="0.2">
      <c r="A38" s="4" t="s">
        <v>315</v>
      </c>
      <c r="B38" s="19" t="s">
        <v>316</v>
      </c>
      <c r="C38" s="8" t="s">
        <v>317</v>
      </c>
      <c r="D38" s="19" t="s">
        <v>314</v>
      </c>
      <c r="E38" s="18"/>
    </row>
    <row r="39" spans="1:5" x14ac:dyDescent="0.2">
      <c r="A39" s="4" t="s">
        <v>318</v>
      </c>
      <c r="B39" s="19" t="s">
        <v>319</v>
      </c>
      <c r="C39" s="8" t="s">
        <v>455</v>
      </c>
      <c r="D39" s="19" t="s">
        <v>314</v>
      </c>
      <c r="E39" s="18" t="s">
        <v>321</v>
      </c>
    </row>
    <row r="40" spans="1:5" x14ac:dyDescent="0.2">
      <c r="A40" s="4" t="s">
        <v>322</v>
      </c>
      <c r="B40" s="19" t="s">
        <v>323</v>
      </c>
      <c r="C40" s="21">
        <v>0.88897732299999999</v>
      </c>
      <c r="D40" s="19" t="s">
        <v>324</v>
      </c>
      <c r="E40" s="18" t="s">
        <v>325</v>
      </c>
    </row>
    <row r="41" spans="1:5" ht="26" x14ac:dyDescent="0.2">
      <c r="A41" s="4" t="s">
        <v>326</v>
      </c>
      <c r="B41" s="19" t="s">
        <v>327</v>
      </c>
      <c r="C41" s="21">
        <v>0.88142100000000001</v>
      </c>
      <c r="D41" s="19" t="s">
        <v>324</v>
      </c>
      <c r="E41" s="18" t="s">
        <v>328</v>
      </c>
    </row>
    <row r="42" spans="1:5" ht="26" x14ac:dyDescent="0.2">
      <c r="A42" s="4" t="s">
        <v>329</v>
      </c>
      <c r="B42" s="19" t="s">
        <v>330</v>
      </c>
      <c r="C42" s="23">
        <v>0</v>
      </c>
      <c r="D42" s="19" t="s">
        <v>331</v>
      </c>
      <c r="E42" s="18" t="s">
        <v>332</v>
      </c>
    </row>
    <row r="43" spans="1:5" x14ac:dyDescent="0.2">
      <c r="A43" s="4" t="s">
        <v>333</v>
      </c>
      <c r="B43" s="19" t="s">
        <v>334</v>
      </c>
      <c r="C43" s="23">
        <v>0.02</v>
      </c>
      <c r="D43" s="19" t="s">
        <v>331</v>
      </c>
      <c r="E43" s="18" t="s">
        <v>261</v>
      </c>
    </row>
    <row r="44" spans="1:5" x14ac:dyDescent="0.2">
      <c r="A44" s="4" t="s">
        <v>335</v>
      </c>
      <c r="B44" s="19" t="s">
        <v>336</v>
      </c>
      <c r="C44" s="23">
        <v>1.4E-2</v>
      </c>
      <c r="D44" s="19" t="s">
        <v>331</v>
      </c>
      <c r="E44" s="18" t="s">
        <v>264</v>
      </c>
    </row>
    <row r="45" spans="1:5" x14ac:dyDescent="0.2">
      <c r="A45" s="4" t="s">
        <v>337</v>
      </c>
      <c r="B45" s="19" t="s">
        <v>338</v>
      </c>
      <c r="C45" s="23">
        <v>6.0000000000000001E-3</v>
      </c>
      <c r="D45" s="19" t="s">
        <v>331</v>
      </c>
      <c r="E45" s="18" t="s">
        <v>266</v>
      </c>
    </row>
    <row r="46" spans="1:5" x14ac:dyDescent="0.2">
      <c r="A46" s="4" t="s">
        <v>253</v>
      </c>
      <c r="B46" s="19" t="s">
        <v>339</v>
      </c>
      <c r="C46" s="8" t="s">
        <v>255</v>
      </c>
      <c r="D46" s="19" t="s">
        <v>314</v>
      </c>
      <c r="E46" s="18" t="s">
        <v>340</v>
      </c>
    </row>
    <row r="47" spans="1:5" x14ac:dyDescent="0.2">
      <c r="A47" s="4" t="s">
        <v>243</v>
      </c>
      <c r="B47" s="19" t="s">
        <v>341</v>
      </c>
      <c r="C47" s="8" t="s">
        <v>94</v>
      </c>
      <c r="D47" s="19" t="s">
        <v>314</v>
      </c>
      <c r="E47" s="18" t="s">
        <v>342</v>
      </c>
    </row>
    <row r="48" spans="1:5" x14ac:dyDescent="0.2">
      <c r="A48" s="4" t="s">
        <v>249</v>
      </c>
      <c r="B48" s="19" t="s">
        <v>343</v>
      </c>
      <c r="C48" s="8" t="s">
        <v>251</v>
      </c>
      <c r="D48" s="19" t="s">
        <v>314</v>
      </c>
      <c r="E48" s="18" t="s">
        <v>344</v>
      </c>
    </row>
    <row r="49" spans="1:5" x14ac:dyDescent="0.2">
      <c r="A49" s="4" t="s">
        <v>345</v>
      </c>
      <c r="B49" s="19" t="s">
        <v>346</v>
      </c>
      <c r="C49" s="8" t="s">
        <v>347</v>
      </c>
      <c r="D49" s="19" t="s">
        <v>314</v>
      </c>
      <c r="E49" s="18" t="s">
        <v>348</v>
      </c>
    </row>
    <row r="50" spans="1:5" x14ac:dyDescent="0.2">
      <c r="A50" s="4" t="s">
        <v>349</v>
      </c>
      <c r="B50" s="19" t="s">
        <v>350</v>
      </c>
      <c r="C50" s="20">
        <v>1</v>
      </c>
      <c r="D50" s="19" t="s">
        <v>309</v>
      </c>
      <c r="E50" s="18" t="s">
        <v>351</v>
      </c>
    </row>
    <row r="51" spans="1:5" x14ac:dyDescent="0.2">
      <c r="A51" s="4" t="s">
        <v>352</v>
      </c>
      <c r="B51" s="19" t="s">
        <v>353</v>
      </c>
      <c r="C51" s="23">
        <v>5.0000000000000001E-3</v>
      </c>
      <c r="D51" s="19" t="s">
        <v>331</v>
      </c>
      <c r="E51" s="18" t="s">
        <v>274</v>
      </c>
    </row>
    <row r="52" spans="1:5" ht="155" x14ac:dyDescent="0.2">
      <c r="A52" s="4" t="s">
        <v>354</v>
      </c>
      <c r="B52" s="19" t="s">
        <v>355</v>
      </c>
      <c r="C52" s="38" t="s">
        <v>640</v>
      </c>
      <c r="D52" s="19" t="s">
        <v>331</v>
      </c>
      <c r="E52" s="18" t="s">
        <v>356</v>
      </c>
    </row>
    <row r="53" spans="1:5" x14ac:dyDescent="0.2">
      <c r="A53" s="4" t="s">
        <v>280</v>
      </c>
      <c r="B53" s="19" t="s">
        <v>357</v>
      </c>
      <c r="C53" s="8" t="s">
        <v>456</v>
      </c>
      <c r="D53" s="19" t="s">
        <v>314</v>
      </c>
      <c r="E53" s="18" t="s">
        <v>359</v>
      </c>
    </row>
    <row r="54" spans="1:5" x14ac:dyDescent="0.2">
      <c r="A54" s="4" t="s">
        <v>283</v>
      </c>
      <c r="B54" s="19" t="s">
        <v>358</v>
      </c>
      <c r="C54" s="23">
        <v>0</v>
      </c>
      <c r="D54" s="19" t="s">
        <v>331</v>
      </c>
      <c r="E54" s="18" t="s">
        <v>360</v>
      </c>
    </row>
    <row r="55" spans="1:5" x14ac:dyDescent="0.2">
      <c r="A55" s="4" t="s">
        <v>361</v>
      </c>
      <c r="B55" s="19" t="s">
        <v>362</v>
      </c>
      <c r="C55" s="23">
        <v>0</v>
      </c>
      <c r="D55" s="19" t="s">
        <v>331</v>
      </c>
      <c r="E55" s="18" t="s">
        <v>363</v>
      </c>
    </row>
    <row r="57" spans="1:5" x14ac:dyDescent="0.2">
      <c r="A57" s="16" t="s">
        <v>364</v>
      </c>
    </row>
    <row r="58" spans="1:5" x14ac:dyDescent="0.2">
      <c r="A58" s="17" t="s">
        <v>365</v>
      </c>
      <c r="B58" s="17" t="s">
        <v>366</v>
      </c>
      <c r="C58" s="17" t="s">
        <v>217</v>
      </c>
      <c r="D58" s="17"/>
      <c r="E58" s="17" t="s">
        <v>367</v>
      </c>
    </row>
    <row r="59" spans="1:5" ht="26" x14ac:dyDescent="0.2">
      <c r="A59" s="4" t="s">
        <v>368</v>
      </c>
      <c r="B59" s="18" t="s">
        <v>369</v>
      </c>
      <c r="C59" s="25">
        <f>IF($C$46="market",$C$40,$C$41)</f>
        <v>0.88897732299999999</v>
      </c>
      <c r="E59" s="18" t="s">
        <v>370</v>
      </c>
    </row>
    <row r="60" spans="1:5" ht="39" x14ac:dyDescent="0.2">
      <c r="A60" s="4" t="s">
        <v>371</v>
      </c>
      <c r="B60" s="18" t="s">
        <v>372</v>
      </c>
      <c r="C60" s="25">
        <f>IF($C$48="in_per_out",$C$59/(1+$C$44),$C$59*(1-$C$44))</f>
        <v>0.87653164047800003</v>
      </c>
      <c r="E60" s="18" t="s">
        <v>373</v>
      </c>
    </row>
    <row r="61" spans="1:5" ht="28" x14ac:dyDescent="0.2">
      <c r="A61" s="4" t="s">
        <v>374</v>
      </c>
      <c r="B61" s="18" t="s">
        <v>375</v>
      </c>
      <c r="C61" s="26">
        <f>$C$36*$C$60</f>
        <v>25704.290357017351</v>
      </c>
      <c r="E61" s="18" t="s">
        <v>376</v>
      </c>
    </row>
    <row r="62" spans="1:5" x14ac:dyDescent="0.2">
      <c r="A62" s="4" t="s">
        <v>377</v>
      </c>
      <c r="B62" s="18" t="s">
        <v>378</v>
      </c>
      <c r="C62" s="26">
        <f>$C$61*$C$45</f>
        <v>154.22574214210411</v>
      </c>
      <c r="E62" s="18" t="s">
        <v>376</v>
      </c>
    </row>
    <row r="63" spans="1:5" x14ac:dyDescent="0.2">
      <c r="A63" s="4" t="s">
        <v>379</v>
      </c>
      <c r="B63" s="18" t="s">
        <v>380</v>
      </c>
      <c r="C63" s="26">
        <f>$C$61-$C$62</f>
        <v>25550.064614875246</v>
      </c>
      <c r="E63" s="18" t="s">
        <v>381</v>
      </c>
    </row>
    <row r="64" spans="1:5" ht="39" x14ac:dyDescent="0.2">
      <c r="A64" s="4" t="s">
        <v>382</v>
      </c>
      <c r="B64" s="18" t="s">
        <v>383</v>
      </c>
      <c r="C64" s="26">
        <f>IF($C$47="own_desk",$C$36*$C$40,IF($C$47="market_plus_pct",$C$36*$C$40*(1-$C$42),$C$36*$C$41))</f>
        <v>25847.670825000001</v>
      </c>
      <c r="E64" s="18" t="s">
        <v>384</v>
      </c>
    </row>
    <row r="65" spans="1:5" x14ac:dyDescent="0.2">
      <c r="A65" s="4" t="s">
        <v>385</v>
      </c>
      <c r="B65" s="18" t="s">
        <v>386</v>
      </c>
      <c r="C65" s="26">
        <f>$C$36*$C$40-$C$64</f>
        <v>221.58917197499977</v>
      </c>
      <c r="E65" s="18" t="s">
        <v>381</v>
      </c>
    </row>
    <row r="66" spans="1:5" x14ac:dyDescent="0.2">
      <c r="A66" s="4" t="s">
        <v>387</v>
      </c>
      <c r="B66" s="18" t="s">
        <v>388</v>
      </c>
      <c r="C66" s="26">
        <f>$C$64-$C$63</f>
        <v>297.60621012475531</v>
      </c>
      <c r="E66" s="18" t="s">
        <v>389</v>
      </c>
    </row>
    <row r="67" spans="1:5" x14ac:dyDescent="0.2">
      <c r="A67" s="4" t="s">
        <v>390</v>
      </c>
      <c r="B67" s="18" t="s">
        <v>391</v>
      </c>
      <c r="C67" s="27">
        <f>IF($C$36*$C$40=0,0,$C$66/($C$36*$C$40))</f>
        <v>1.1415982277950683E-2</v>
      </c>
      <c r="E67" s="18" t="s">
        <v>381</v>
      </c>
    </row>
    <row r="68" spans="1:5" ht="26" x14ac:dyDescent="0.2">
      <c r="A68" s="4" t="s">
        <v>392</v>
      </c>
      <c r="B68" s="18" t="s">
        <v>393</v>
      </c>
      <c r="C68" s="7" t="str">
        <f>IF($C$67&lt;$C$51,"YES — Finance approval","no")</f>
        <v>no</v>
      </c>
      <c r="E68" s="18" t="s">
        <v>394</v>
      </c>
    </row>
    <row r="69" spans="1:5" ht="26" x14ac:dyDescent="0.2">
      <c r="A69" s="4" t="s">
        <v>395</v>
      </c>
      <c r="B69" s="18" t="s">
        <v>396</v>
      </c>
      <c r="C69" s="26">
        <f>IF($C$49="round_up_unit",CEILING($C$63,$C$50),IF($C$49="nearest_unit",MROUND($C$63,$C$50),IF($C$49="nearest_n",MROUND($C$63,$C$50),FLOOR($C$63,$C$50))))</f>
        <v>25550</v>
      </c>
      <c r="E69" s="18" t="s">
        <v>397</v>
      </c>
    </row>
    <row r="70" spans="1:5" ht="28" x14ac:dyDescent="0.2">
      <c r="A70" s="4" t="s">
        <v>398</v>
      </c>
      <c r="B70" s="18" t="s">
        <v>399</v>
      </c>
      <c r="C70" s="26">
        <f>$C$63-$C$69</f>
        <v>6.4614875245752046E-2</v>
      </c>
      <c r="E70" s="18" t="s">
        <v>400</v>
      </c>
    </row>
    <row r="71" spans="1:5" ht="26" x14ac:dyDescent="0.2">
      <c r="A71" s="4" t="s">
        <v>401</v>
      </c>
      <c r="B71" s="18" t="s">
        <v>402</v>
      </c>
      <c r="C71" s="25" t="e">
        <f>IF($C$52="",$C$59,$C$60/(1-$C$52))</f>
        <v>#VALUE!</v>
      </c>
      <c r="E71" s="18" t="s">
        <v>356</v>
      </c>
    </row>
    <row r="72" spans="1:5" x14ac:dyDescent="0.2">
      <c r="A72" s="4" t="s">
        <v>403</v>
      </c>
      <c r="B72" s="18" t="s">
        <v>404</v>
      </c>
      <c r="C72" s="26">
        <f>IF($C$53="rebate",$C$65*$C$54,0)</f>
        <v>0</v>
      </c>
      <c r="E72" s="18" t="s">
        <v>405</v>
      </c>
    </row>
    <row r="73" spans="1:5" x14ac:dyDescent="0.2">
      <c r="A73" s="4" t="s">
        <v>406</v>
      </c>
      <c r="B73" s="18" t="s">
        <v>407</v>
      </c>
      <c r="C73" s="26">
        <f>$C$36*$C$40*$C$55</f>
        <v>0</v>
      </c>
      <c r="E73" s="18" t="s">
        <v>408</v>
      </c>
    </row>
    <row r="74" spans="1:5" ht="28" x14ac:dyDescent="0.2">
      <c r="A74" s="4" t="s">
        <v>409</v>
      </c>
      <c r="B74" s="18" t="s">
        <v>410</v>
      </c>
      <c r="C74" s="26">
        <f>ROUND($C$63+$C$65+$C$66-$C$36*$C$40,6)</f>
        <v>0</v>
      </c>
      <c r="E74" s="18" t="s">
        <v>411</v>
      </c>
    </row>
    <row r="76" spans="1:5" x14ac:dyDescent="0.2">
      <c r="A76" s="16" t="s">
        <v>412</v>
      </c>
    </row>
    <row r="77" spans="1:5" x14ac:dyDescent="0.2">
      <c r="A77" s="17" t="s">
        <v>413</v>
      </c>
      <c r="B77" s="17" t="s">
        <v>414</v>
      </c>
      <c r="C77" s="17" t="s">
        <v>415</v>
      </c>
      <c r="D77" s="17" t="s">
        <v>416</v>
      </c>
      <c r="E77" s="17" t="s">
        <v>417</v>
      </c>
    </row>
    <row r="78" spans="1:5" x14ac:dyDescent="0.2">
      <c r="A78" s="7" t="str">
        <f>"CL."&amp;$C$39&amp;"."&amp;$C$37&amp;".COLLECTED"</f>
        <v>CL.ALI.USDT.COLLECTED</v>
      </c>
      <c r="B78" s="7" t="s">
        <v>418</v>
      </c>
      <c r="C78" s="26">
        <f>$C$36</f>
        <v>29325</v>
      </c>
      <c r="D78" s="19" t="s">
        <v>419</v>
      </c>
      <c r="E78" s="19" t="s">
        <v>420</v>
      </c>
    </row>
    <row r="79" spans="1:5" x14ac:dyDescent="0.2">
      <c r="A79" s="7" t="str">
        <f>"CL.PROJECT."&amp;$C$37&amp;".PAYABLE"</f>
        <v>CL.PROJECT.USDT.PAYABLE</v>
      </c>
      <c r="B79" s="7" t="s">
        <v>421</v>
      </c>
      <c r="C79" s="26">
        <f>$C$36</f>
        <v>29325</v>
      </c>
      <c r="D79" s="19" t="s">
        <v>419</v>
      </c>
      <c r="E79" s="19" t="s">
        <v>420</v>
      </c>
    </row>
    <row r="80" spans="1:5" x14ac:dyDescent="0.2">
      <c r="A80" s="7" t="str">
        <f>"CL.PROJECT."&amp;$C$37&amp;".PAYABLE"</f>
        <v>CL.PROJECT.USDT.PAYABLE</v>
      </c>
      <c r="B80" s="7" t="s">
        <v>418</v>
      </c>
      <c r="C80" s="26">
        <f>$C$36</f>
        <v>29325</v>
      </c>
      <c r="D80" s="19" t="s">
        <v>419</v>
      </c>
      <c r="E80" s="19" t="s">
        <v>422</v>
      </c>
    </row>
    <row r="81" spans="1:5" x14ac:dyDescent="0.2">
      <c r="A81" s="7" t="str">
        <f>"CL."&amp;$C$39&amp;"."&amp;$C$37&amp;".COLLECTED"</f>
        <v>CL.ALI.USDT.COLLECTED</v>
      </c>
      <c r="B81" s="7" t="s">
        <v>421</v>
      </c>
      <c r="C81" s="26">
        <f>$C$36</f>
        <v>29325</v>
      </c>
      <c r="D81" s="19" t="s">
        <v>419</v>
      </c>
      <c r="E81" s="19" t="s">
        <v>422</v>
      </c>
    </row>
    <row r="82" spans="1:5" x14ac:dyDescent="0.2">
      <c r="A82" s="7" t="str">
        <f>"CL."&amp;$C$39&amp;"."&amp;$C$38&amp;".DUE"</f>
        <v>CL.ALI.EUR.DUE</v>
      </c>
      <c r="B82" s="7" t="s">
        <v>418</v>
      </c>
      <c r="C82" s="26">
        <f>$C$63</f>
        <v>25550.064614875246</v>
      </c>
      <c r="D82" s="19" t="s">
        <v>423</v>
      </c>
      <c r="E82" s="19" t="s">
        <v>424</v>
      </c>
    </row>
    <row r="83" spans="1:5" x14ac:dyDescent="0.2">
      <c r="A83" s="7" t="str">
        <f>"CO."&amp;$C$39&amp;"."&amp;$C$38&amp;".POOL"</f>
        <v>CO.ALI.EUR.POOL</v>
      </c>
      <c r="B83" s="7" t="s">
        <v>418</v>
      </c>
      <c r="C83" s="26">
        <f>IF($C$53="rebate",0,$C$66)</f>
        <v>297.60621012475531</v>
      </c>
      <c r="D83" s="19" t="s">
        <v>425</v>
      </c>
      <c r="E83" s="19" t="s">
        <v>426</v>
      </c>
    </row>
    <row r="84" spans="1:5" x14ac:dyDescent="0.2">
      <c r="A84" s="7" t="str">
        <f>"CO."&amp;$C$39&amp;"."&amp;$C$38&amp;".REBATE_RECEIVABLE"</f>
        <v>CO.ALI.EUR.REBATE_RECEIVABLE</v>
      </c>
      <c r="B84" s="7" t="s">
        <v>418</v>
      </c>
      <c r="C84" s="26">
        <f>$C$72</f>
        <v>0</v>
      </c>
      <c r="D84" s="19" t="s">
        <v>425</v>
      </c>
      <c r="E84" s="19" t="s">
        <v>427</v>
      </c>
    </row>
    <row r="85" spans="1:5" x14ac:dyDescent="0.2">
      <c r="A85" s="7" t="str">
        <f>"CL.PROJECT."&amp;$C$38&amp;".PAYABLE"</f>
        <v>CL.PROJECT.EUR.PAYABLE</v>
      </c>
      <c r="B85" s="7" t="s">
        <v>421</v>
      </c>
      <c r="C85" s="26">
        <f>$C$63</f>
        <v>25550.064614875246</v>
      </c>
      <c r="D85" s="19" t="s">
        <v>419</v>
      </c>
      <c r="E85" s="19" t="s">
        <v>424</v>
      </c>
    </row>
    <row r="86" spans="1:5" x14ac:dyDescent="0.2">
      <c r="A86" s="7" t="str">
        <f>"CO.NONE."&amp;$C$38&amp;".EARN_GROSS"</f>
        <v>CO.NONE.EUR.EARN_GROSS</v>
      </c>
      <c r="B86" s="7" t="s">
        <v>421</v>
      </c>
      <c r="C86" s="26">
        <f>$C$66+$C$72</f>
        <v>297.60621012475531</v>
      </c>
      <c r="D86" s="19" t="s">
        <v>425</v>
      </c>
      <c r="E86" s="19" t="s">
        <v>428</v>
      </c>
    </row>
    <row r="87" spans="1:5" x14ac:dyDescent="0.2">
      <c r="A87" s="7" t="str">
        <f>"CL."&amp;$C$39&amp;"."&amp;$C$38&amp;".INTRANSIT"</f>
        <v>CL.ALI.EUR.INTRANSIT</v>
      </c>
      <c r="B87" s="7" t="s">
        <v>418</v>
      </c>
      <c r="C87" s="26">
        <f>$C$69</f>
        <v>25550</v>
      </c>
      <c r="D87" s="19" t="s">
        <v>419</v>
      </c>
      <c r="E87" s="19" t="s">
        <v>429</v>
      </c>
    </row>
    <row r="88" spans="1:5" x14ac:dyDescent="0.2">
      <c r="A88" s="7" t="str">
        <f>"CL."&amp;$C$39&amp;"."&amp;$C$38&amp;".DUE"</f>
        <v>CL.ALI.EUR.DUE</v>
      </c>
      <c r="B88" s="7" t="s">
        <v>421</v>
      </c>
      <c r="C88" s="26">
        <f>$C$69</f>
        <v>25550</v>
      </c>
      <c r="D88" s="19" t="s">
        <v>419</v>
      </c>
      <c r="E88" s="19" t="s">
        <v>430</v>
      </c>
    </row>
    <row r="89" spans="1:5" x14ac:dyDescent="0.2">
      <c r="A89" s="7" t="str">
        <f>"CL.PROJECT."&amp;$C$38&amp;".PAYABLE"</f>
        <v>CL.PROJECT.EUR.PAYABLE</v>
      </c>
      <c r="B89" s="7" t="s">
        <v>418</v>
      </c>
      <c r="C89" s="26">
        <f>$C$69</f>
        <v>25550</v>
      </c>
      <c r="D89" s="19" t="s">
        <v>419</v>
      </c>
      <c r="E89" s="19" t="s">
        <v>431</v>
      </c>
    </row>
    <row r="90" spans="1:5" x14ac:dyDescent="0.2">
      <c r="A90" s="7" t="str">
        <f>"CL."&amp;$C$39&amp;"."&amp;$C$38&amp;".INTRANSIT"</f>
        <v>CL.ALI.EUR.INTRANSIT</v>
      </c>
      <c r="B90" s="7" t="s">
        <v>421</v>
      </c>
      <c r="C90" s="26">
        <f>$C$69</f>
        <v>25550</v>
      </c>
      <c r="D90" s="19" t="s">
        <v>419</v>
      </c>
      <c r="E90" s="19" t="s">
        <v>431</v>
      </c>
    </row>
    <row r="91" spans="1:5" x14ac:dyDescent="0.2">
      <c r="A91" s="7" t="str">
        <f>"CO.NONE."&amp;$C$38&amp;".EARN_GROSS"</f>
        <v>CO.NONE.EUR.EARN_GROSS</v>
      </c>
      <c r="B91" s="7" t="s">
        <v>418</v>
      </c>
      <c r="C91" s="26">
        <f>$C$73</f>
        <v>0</v>
      </c>
      <c r="D91" s="19" t="s">
        <v>432</v>
      </c>
      <c r="E91" s="19" t="s">
        <v>433</v>
      </c>
    </row>
    <row r="92" spans="1:5" x14ac:dyDescent="0.2">
      <c r="A92" s="7" t="str">
        <f>"CO.INTRODUCER."&amp;$C$38&amp;".REFERRAL_PAYABLE"</f>
        <v>CO.INTRODUCER.EUR.REFERRAL_PAYABLE</v>
      </c>
      <c r="B92" s="7" t="s">
        <v>421</v>
      </c>
      <c r="C92" s="26">
        <f>$C$73</f>
        <v>0</v>
      </c>
      <c r="D92" s="19" t="s">
        <v>432</v>
      </c>
      <c r="E92" s="19" t="s">
        <v>434</v>
      </c>
    </row>
    <row r="93" spans="1:5" ht="30" customHeight="1" x14ac:dyDescent="0.2">
      <c r="A93" s="28" t="s">
        <v>435</v>
      </c>
      <c r="C93" s="29">
        <f>ROUND(SUMIF($B$82:$B$92,"Dr",$C$82:$C$92)-SUMIF($B$82:$B$92,"Cr",$C$82:$C$92),6)</f>
        <v>0</v>
      </c>
      <c r="E93" s="18" t="s">
        <v>436</v>
      </c>
    </row>
    <row r="95" spans="1:5" x14ac:dyDescent="0.2">
      <c r="A95" s="16" t="s">
        <v>437</v>
      </c>
    </row>
    <row r="96" spans="1:5" x14ac:dyDescent="0.2">
      <c r="A96" s="17" t="s">
        <v>438</v>
      </c>
      <c r="B96" s="17" t="s">
        <v>439</v>
      </c>
      <c r="C96" s="17" t="s">
        <v>440</v>
      </c>
      <c r="D96" s="17" t="s">
        <v>441</v>
      </c>
      <c r="E96" s="17" t="s">
        <v>442</v>
      </c>
    </row>
    <row r="97" spans="1:5" ht="15.75" customHeight="1" x14ac:dyDescent="0.2">
      <c r="A97" s="4" t="s">
        <v>467</v>
      </c>
      <c r="B97" s="21">
        <v>0.87653164047800003</v>
      </c>
      <c r="C97" s="25">
        <f>$C$60</f>
        <v>0.87653164047800003</v>
      </c>
      <c r="D97" s="29">
        <f>ROUND(C97-B97,2)</f>
        <v>0</v>
      </c>
      <c r="E97" s="18" t="s">
        <v>468</v>
      </c>
    </row>
    <row r="98" spans="1:5" ht="15.75" customHeight="1" x14ac:dyDescent="0.2">
      <c r="A98" s="4" t="s">
        <v>469</v>
      </c>
      <c r="B98" s="20">
        <v>25704</v>
      </c>
      <c r="C98" s="26">
        <f>$C$61</f>
        <v>25704.290357017351</v>
      </c>
      <c r="D98" s="29">
        <f>ROUND(C98-B98,2)</f>
        <v>0.28999999999999998</v>
      </c>
      <c r="E98" s="18" t="s">
        <v>470</v>
      </c>
    </row>
    <row r="99" spans="1:5" ht="15.75" customHeight="1" x14ac:dyDescent="0.2">
      <c r="A99" s="4" t="s">
        <v>471</v>
      </c>
      <c r="B99" s="20">
        <v>25550</v>
      </c>
      <c r="C99" s="26">
        <f>$C$63</f>
        <v>25550.064614875246</v>
      </c>
      <c r="D99" s="29">
        <f>ROUND(C99-B99,2)</f>
        <v>0.06</v>
      </c>
      <c r="E99" s="18" t="s">
        <v>472</v>
      </c>
    </row>
    <row r="101" spans="1:5" x14ac:dyDescent="0.2">
      <c r="A101" s="16" t="s">
        <v>445</v>
      </c>
    </row>
    <row r="102" spans="1:5" ht="31.5" customHeight="1" x14ac:dyDescent="0.2">
      <c r="A102" s="14" t="s">
        <v>446</v>
      </c>
      <c r="B102" s="1" t="s">
        <v>473</v>
      </c>
      <c r="C102" s="1"/>
      <c r="D102" s="1"/>
      <c r="E102" s="1"/>
    </row>
    <row r="103" spans="1:5" ht="31.5" customHeight="1" x14ac:dyDescent="0.2">
      <c r="A103" s="14"/>
      <c r="B103" s="34" t="s">
        <v>642</v>
      </c>
      <c r="C103" s="15"/>
      <c r="D103" s="15"/>
      <c r="E103" s="15"/>
    </row>
    <row r="104" spans="1:5" ht="31.5" customHeight="1" x14ac:dyDescent="0.2">
      <c r="A104" s="14" t="s">
        <v>446</v>
      </c>
      <c r="B104" s="1" t="s">
        <v>474</v>
      </c>
      <c r="C104" s="1"/>
      <c r="D104" s="1"/>
      <c r="E104" s="1"/>
    </row>
    <row r="105" spans="1:5" ht="31.5" customHeight="1" x14ac:dyDescent="0.2">
      <c r="A105" s="14"/>
      <c r="B105" s="34" t="s">
        <v>641</v>
      </c>
      <c r="C105" s="15"/>
      <c r="D105" s="15"/>
      <c r="E105" s="15"/>
    </row>
    <row r="106" spans="1:5" ht="31.5" customHeight="1" x14ac:dyDescent="0.2">
      <c r="A106" s="14" t="s">
        <v>446</v>
      </c>
      <c r="B106" s="1" t="s">
        <v>475</v>
      </c>
      <c r="C106" s="1"/>
      <c r="D106" s="1"/>
      <c r="E106" s="1"/>
    </row>
    <row r="107" spans="1:5" x14ac:dyDescent="0.2">
      <c r="B107" t="s">
        <v>643</v>
      </c>
    </row>
  </sheetData>
  <mergeCells count="3">
    <mergeCell ref="B102:E102"/>
    <mergeCell ref="B104:E104"/>
    <mergeCell ref="B106:E106"/>
  </mergeCells>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5"/>
  <sheetViews>
    <sheetView topLeftCell="A86" zoomScaleNormal="100" workbookViewId="0">
      <selection activeCell="C2" sqref="C2"/>
    </sheetView>
  </sheetViews>
  <sheetFormatPr baseColWidth="10" defaultColWidth="8.6640625" defaultRowHeight="15" x14ac:dyDescent="0.2"/>
  <cols>
    <col min="1" max="2" width="34" customWidth="1"/>
    <col min="3" max="3" width="49.6640625" customWidth="1"/>
    <col min="4" max="4" width="18" customWidth="1"/>
    <col min="5" max="5" width="48" customWidth="1"/>
  </cols>
  <sheetData>
    <row r="1" spans="1:5" ht="17" x14ac:dyDescent="0.2">
      <c r="A1" s="2" t="s">
        <v>476</v>
      </c>
    </row>
    <row r="2" spans="1:5" x14ac:dyDescent="0.2">
      <c r="A2" s="13" t="s">
        <v>210</v>
      </c>
      <c r="B2" s="14" t="s">
        <v>477</v>
      </c>
      <c r="C2" s="41" t="s">
        <v>655</v>
      </c>
    </row>
    <row r="3" spans="1:5" ht="30" customHeight="1" x14ac:dyDescent="0.2">
      <c r="A3" s="13" t="s">
        <v>212</v>
      </c>
      <c r="B3" s="15" t="s">
        <v>478</v>
      </c>
    </row>
    <row r="5" spans="1:5" x14ac:dyDescent="0.2">
      <c r="A5" s="16" t="s">
        <v>214</v>
      </c>
    </row>
    <row r="6" spans="1:5" x14ac:dyDescent="0.2">
      <c r="A6" s="17" t="s">
        <v>215</v>
      </c>
      <c r="B6" s="17" t="s">
        <v>216</v>
      </c>
      <c r="C6" s="17" t="s">
        <v>217</v>
      </c>
      <c r="D6" s="17" t="s">
        <v>218</v>
      </c>
      <c r="E6" s="17" t="s">
        <v>219</v>
      </c>
    </row>
    <row r="7" spans="1:5" ht="30" customHeight="1" x14ac:dyDescent="0.2">
      <c r="A7" s="4" t="s">
        <v>220</v>
      </c>
      <c r="B7" s="4" t="s">
        <v>221</v>
      </c>
      <c r="C7" s="10" t="s">
        <v>149</v>
      </c>
      <c r="D7" s="4" t="s">
        <v>222</v>
      </c>
      <c r="E7" s="18" t="s">
        <v>223</v>
      </c>
    </row>
    <row r="8" spans="1:5" ht="30" customHeight="1" x14ac:dyDescent="0.2">
      <c r="A8" s="4" t="s">
        <v>224</v>
      </c>
      <c r="B8" s="4" t="s">
        <v>225</v>
      </c>
      <c r="C8" s="32" t="s">
        <v>644</v>
      </c>
      <c r="D8" s="4" t="s">
        <v>226</v>
      </c>
      <c r="E8" s="18" t="s">
        <v>227</v>
      </c>
    </row>
    <row r="9" spans="1:5" ht="28" x14ac:dyDescent="0.2">
      <c r="A9" s="4" t="s">
        <v>228</v>
      </c>
      <c r="B9" s="4" t="s">
        <v>229</v>
      </c>
      <c r="C9" s="32" t="s">
        <v>647</v>
      </c>
      <c r="D9" s="4" t="s">
        <v>226</v>
      </c>
      <c r="E9" s="18" t="s">
        <v>230</v>
      </c>
    </row>
    <row r="10" spans="1:5" ht="30" customHeight="1" x14ac:dyDescent="0.2">
      <c r="A10" s="4" t="s">
        <v>231</v>
      </c>
      <c r="B10" s="4" t="s">
        <v>232</v>
      </c>
      <c r="C10" s="32" t="s">
        <v>648</v>
      </c>
      <c r="D10" s="4" t="s">
        <v>226</v>
      </c>
      <c r="E10" s="18" t="s">
        <v>233</v>
      </c>
    </row>
    <row r="11" spans="1:5" ht="15.75" customHeight="1" x14ac:dyDescent="0.2">
      <c r="A11" s="4" t="s">
        <v>234</v>
      </c>
      <c r="B11" s="4" t="s">
        <v>235</v>
      </c>
      <c r="C11" s="39" t="s">
        <v>649</v>
      </c>
      <c r="D11" s="4" t="s">
        <v>222</v>
      </c>
      <c r="E11" s="18" t="s">
        <v>237</v>
      </c>
    </row>
    <row r="12" spans="1:5" ht="30" customHeight="1" x14ac:dyDescent="0.2">
      <c r="A12" s="4" t="s">
        <v>238</v>
      </c>
      <c r="B12" s="4" t="s">
        <v>239</v>
      </c>
      <c r="C12" s="10" t="s">
        <v>480</v>
      </c>
      <c r="D12" s="4" t="s">
        <v>222</v>
      </c>
      <c r="E12" s="18" t="s">
        <v>240</v>
      </c>
    </row>
    <row r="13" spans="1:5" ht="15.75" customHeight="1" x14ac:dyDescent="0.2">
      <c r="A13" s="4" t="s">
        <v>241</v>
      </c>
      <c r="B13" s="4" t="s">
        <v>242</v>
      </c>
      <c r="C13" s="10" t="s">
        <v>93</v>
      </c>
      <c r="D13" s="4" t="s">
        <v>222</v>
      </c>
      <c r="E13" s="18"/>
    </row>
    <row r="14" spans="1:5" ht="30" customHeight="1" x14ac:dyDescent="0.2">
      <c r="A14" s="4" t="s">
        <v>243</v>
      </c>
      <c r="B14" s="4" t="s">
        <v>244</v>
      </c>
      <c r="C14" s="10" t="s">
        <v>94</v>
      </c>
      <c r="D14" s="4" t="s">
        <v>222</v>
      </c>
      <c r="E14" s="18" t="s">
        <v>245</v>
      </c>
    </row>
    <row r="15" spans="1:5" ht="15.75" customHeight="1" x14ac:dyDescent="0.2">
      <c r="A15" s="4" t="s">
        <v>246</v>
      </c>
      <c r="B15" s="4" t="s">
        <v>247</v>
      </c>
      <c r="C15" s="10" t="s">
        <v>151</v>
      </c>
      <c r="D15" s="4" t="s">
        <v>222</v>
      </c>
      <c r="E15" s="18" t="s">
        <v>248</v>
      </c>
    </row>
    <row r="16" spans="1:5" ht="30" customHeight="1" x14ac:dyDescent="0.2">
      <c r="A16" s="4" t="s">
        <v>249</v>
      </c>
      <c r="B16" s="4" t="s">
        <v>250</v>
      </c>
      <c r="C16" s="10" t="s">
        <v>481</v>
      </c>
      <c r="D16" s="4" t="s">
        <v>222</v>
      </c>
      <c r="E16" s="18" t="s">
        <v>252</v>
      </c>
    </row>
    <row r="17" spans="1:5" ht="30" customHeight="1" x14ac:dyDescent="0.2">
      <c r="A17" s="4" t="s">
        <v>253</v>
      </c>
      <c r="B17" s="4" t="s">
        <v>254</v>
      </c>
      <c r="C17" s="10" t="s">
        <v>255</v>
      </c>
      <c r="D17" s="4" t="s">
        <v>222</v>
      </c>
      <c r="E17" s="18" t="s">
        <v>256</v>
      </c>
    </row>
    <row r="18" spans="1:5" ht="15.75" customHeight="1" x14ac:dyDescent="0.2">
      <c r="A18" s="4" t="s">
        <v>257</v>
      </c>
      <c r="B18" s="4" t="s">
        <v>258</v>
      </c>
      <c r="C18" s="10" t="s">
        <v>123</v>
      </c>
      <c r="D18" s="4" t="s">
        <v>222</v>
      </c>
      <c r="E18" s="18" t="s">
        <v>259</v>
      </c>
    </row>
    <row r="19" spans="1:5" ht="15.75" customHeight="1" x14ac:dyDescent="0.2">
      <c r="A19" s="4" t="s">
        <v>260</v>
      </c>
      <c r="B19" s="4" t="s">
        <v>261</v>
      </c>
      <c r="C19" s="12">
        <v>7.0000000000000007E-2</v>
      </c>
      <c r="D19" s="4" t="s">
        <v>222</v>
      </c>
      <c r="E19" s="18" t="s">
        <v>262</v>
      </c>
    </row>
    <row r="20" spans="1:5" ht="15.75" customHeight="1" x14ac:dyDescent="0.2">
      <c r="A20" s="4" t="s">
        <v>263</v>
      </c>
      <c r="B20" s="4" t="s">
        <v>264</v>
      </c>
      <c r="C20" s="12">
        <v>7.0000000000000007E-2</v>
      </c>
      <c r="D20" s="4" t="s">
        <v>222</v>
      </c>
      <c r="E20" s="18"/>
    </row>
    <row r="21" spans="1:5" ht="30" customHeight="1" x14ac:dyDescent="0.2">
      <c r="A21" s="4" t="s">
        <v>265</v>
      </c>
      <c r="B21" s="4" t="s">
        <v>266</v>
      </c>
      <c r="C21" s="12">
        <v>0</v>
      </c>
      <c r="D21" s="4" t="s">
        <v>222</v>
      </c>
      <c r="E21" s="18" t="s">
        <v>267</v>
      </c>
    </row>
    <row r="22" spans="1:5" ht="15.75" customHeight="1" x14ac:dyDescent="0.2">
      <c r="A22" s="4" t="s">
        <v>268</v>
      </c>
      <c r="B22" s="4" t="s">
        <v>269</v>
      </c>
      <c r="C22" s="32" t="s">
        <v>630</v>
      </c>
      <c r="D22" s="4" t="s">
        <v>226</v>
      </c>
      <c r="E22" s="18" t="s">
        <v>270</v>
      </c>
    </row>
    <row r="23" spans="1:5" ht="15.75" customHeight="1" x14ac:dyDescent="0.2">
      <c r="A23" s="4" t="s">
        <v>271</v>
      </c>
      <c r="B23" s="4" t="s">
        <v>272</v>
      </c>
      <c r="C23" s="32" t="s">
        <v>630</v>
      </c>
      <c r="D23" s="4" t="s">
        <v>226</v>
      </c>
      <c r="E23" s="18" t="s">
        <v>270</v>
      </c>
    </row>
    <row r="24" spans="1:5" ht="15.75" customHeight="1" x14ac:dyDescent="0.2">
      <c r="A24" s="4" t="s">
        <v>273</v>
      </c>
      <c r="B24" s="4" t="s">
        <v>274</v>
      </c>
      <c r="C24" s="12">
        <v>5.0000000000000001E-3</v>
      </c>
      <c r="D24" s="4" t="s">
        <v>222</v>
      </c>
      <c r="E24" s="18" t="s">
        <v>275</v>
      </c>
    </row>
    <row r="25" spans="1:5" ht="30" customHeight="1" x14ac:dyDescent="0.2">
      <c r="A25" s="4" t="s">
        <v>276</v>
      </c>
      <c r="B25" s="4" t="s">
        <v>277</v>
      </c>
      <c r="C25" s="32" t="s">
        <v>652</v>
      </c>
      <c r="D25" s="4" t="s">
        <v>278</v>
      </c>
      <c r="E25" s="18" t="s">
        <v>279</v>
      </c>
    </row>
    <row r="26" spans="1:5" ht="15.75" customHeight="1" x14ac:dyDescent="0.2">
      <c r="A26" s="4" t="s">
        <v>280</v>
      </c>
      <c r="B26" s="4" t="s">
        <v>281</v>
      </c>
      <c r="C26" s="10" t="s">
        <v>95</v>
      </c>
      <c r="D26" s="4" t="s">
        <v>222</v>
      </c>
      <c r="E26" s="18" t="s">
        <v>282</v>
      </c>
    </row>
    <row r="27" spans="1:5" ht="15.75" customHeight="1" x14ac:dyDescent="0.2">
      <c r="A27" s="4" t="s">
        <v>283</v>
      </c>
      <c r="B27" s="4" t="s">
        <v>284</v>
      </c>
      <c r="C27" s="32" t="s">
        <v>621</v>
      </c>
      <c r="D27" s="4" t="s">
        <v>278</v>
      </c>
      <c r="E27" s="18" t="s">
        <v>286</v>
      </c>
    </row>
    <row r="28" spans="1:5" ht="15.75" customHeight="1" x14ac:dyDescent="0.2">
      <c r="A28" s="4" t="s">
        <v>287</v>
      </c>
      <c r="B28" s="4" t="s">
        <v>288</v>
      </c>
      <c r="C28" s="10"/>
      <c r="D28" s="4" t="s">
        <v>278</v>
      </c>
      <c r="E28" s="18" t="s">
        <v>289</v>
      </c>
    </row>
    <row r="29" spans="1:5" ht="30" customHeight="1" x14ac:dyDescent="0.2">
      <c r="A29" s="4" t="s">
        <v>290</v>
      </c>
      <c r="B29" s="4" t="s">
        <v>291</v>
      </c>
      <c r="C29" s="10" t="s">
        <v>482</v>
      </c>
      <c r="D29" s="4" t="s">
        <v>222</v>
      </c>
      <c r="E29" s="18" t="s">
        <v>293</v>
      </c>
    </row>
    <row r="30" spans="1:5" ht="15.75" customHeight="1" x14ac:dyDescent="0.2">
      <c r="A30" s="4" t="s">
        <v>294</v>
      </c>
      <c r="B30" s="4" t="s">
        <v>295</v>
      </c>
      <c r="C30" s="32" t="s">
        <v>653</v>
      </c>
      <c r="D30" s="4" t="s">
        <v>226</v>
      </c>
      <c r="E30" s="18"/>
    </row>
    <row r="31" spans="1:5" ht="15.75" customHeight="1" x14ac:dyDescent="0.2">
      <c r="A31" s="4" t="s">
        <v>296</v>
      </c>
      <c r="B31" s="4" t="s">
        <v>297</v>
      </c>
      <c r="C31" s="32" t="s">
        <v>226</v>
      </c>
      <c r="D31" s="4" t="s">
        <v>226</v>
      </c>
      <c r="E31" s="18" t="s">
        <v>298</v>
      </c>
    </row>
    <row r="32" spans="1:5" ht="30" customHeight="1" x14ac:dyDescent="0.2">
      <c r="A32" s="4" t="s">
        <v>299</v>
      </c>
      <c r="B32" s="4" t="s">
        <v>300</v>
      </c>
      <c r="C32" s="32" t="s">
        <v>654</v>
      </c>
      <c r="D32" s="4" t="s">
        <v>226</v>
      </c>
      <c r="E32" s="18" t="s">
        <v>301</v>
      </c>
    </row>
    <row r="34" spans="1:5" x14ac:dyDescent="0.2">
      <c r="A34" s="16" t="s">
        <v>302</v>
      </c>
    </row>
    <row r="35" spans="1:5" x14ac:dyDescent="0.2">
      <c r="A35" s="17" t="s">
        <v>303</v>
      </c>
      <c r="B35" s="17" t="s">
        <v>304</v>
      </c>
      <c r="C35" s="17" t="s">
        <v>217</v>
      </c>
      <c r="D35" s="17" t="s">
        <v>305</v>
      </c>
      <c r="E35" s="17" t="s">
        <v>306</v>
      </c>
    </row>
    <row r="36" spans="1:5" x14ac:dyDescent="0.2">
      <c r="A36" s="4" t="s">
        <v>307</v>
      </c>
      <c r="B36" s="19" t="s">
        <v>308</v>
      </c>
      <c r="C36" s="20">
        <v>2329000</v>
      </c>
      <c r="D36" s="19" t="s">
        <v>309</v>
      </c>
      <c r="E36" s="18" t="s">
        <v>310</v>
      </c>
    </row>
    <row r="37" spans="1:5" x14ac:dyDescent="0.2">
      <c r="A37" s="4" t="s">
        <v>311</v>
      </c>
      <c r="B37" s="19" t="s">
        <v>312</v>
      </c>
      <c r="C37" s="8" t="s">
        <v>483</v>
      </c>
      <c r="D37" s="19" t="s">
        <v>314</v>
      </c>
      <c r="E37" s="18"/>
    </row>
    <row r="38" spans="1:5" x14ac:dyDescent="0.2">
      <c r="A38" s="4" t="s">
        <v>315</v>
      </c>
      <c r="B38" s="19" t="s">
        <v>316</v>
      </c>
      <c r="C38" s="8" t="s">
        <v>484</v>
      </c>
      <c r="D38" s="19" t="s">
        <v>314</v>
      </c>
      <c r="E38" s="18"/>
    </row>
    <row r="39" spans="1:5" x14ac:dyDescent="0.2">
      <c r="A39" s="4" t="s">
        <v>318</v>
      </c>
      <c r="B39" s="19" t="s">
        <v>319</v>
      </c>
      <c r="C39" s="8" t="s">
        <v>455</v>
      </c>
      <c r="D39" s="19" t="s">
        <v>314</v>
      </c>
      <c r="E39" s="18" t="s">
        <v>321</v>
      </c>
    </row>
    <row r="40" spans="1:5" x14ac:dyDescent="0.2">
      <c r="A40" s="4" t="s">
        <v>322</v>
      </c>
      <c r="B40" s="19" t="s">
        <v>323</v>
      </c>
      <c r="C40" s="21">
        <v>1.10084736765085E-2</v>
      </c>
      <c r="D40" s="19" t="s">
        <v>324</v>
      </c>
      <c r="E40" s="18" t="s">
        <v>325</v>
      </c>
    </row>
    <row r="41" spans="1:5" ht="26" x14ac:dyDescent="0.2">
      <c r="A41" s="4" t="s">
        <v>326</v>
      </c>
      <c r="B41" s="19" t="s">
        <v>327</v>
      </c>
      <c r="C41" s="21">
        <v>1.04593574123596E-2</v>
      </c>
      <c r="D41" s="19" t="s">
        <v>324</v>
      </c>
      <c r="E41" s="18" t="s">
        <v>328</v>
      </c>
    </row>
    <row r="42" spans="1:5" ht="26" x14ac:dyDescent="0.2">
      <c r="A42" s="4" t="s">
        <v>329</v>
      </c>
      <c r="B42" s="19" t="s">
        <v>330</v>
      </c>
      <c r="C42" s="23">
        <v>0</v>
      </c>
      <c r="D42" s="19" t="s">
        <v>331</v>
      </c>
      <c r="E42" s="18" t="s">
        <v>332</v>
      </c>
    </row>
    <row r="43" spans="1:5" x14ac:dyDescent="0.2">
      <c r="A43" s="4" t="s">
        <v>333</v>
      </c>
      <c r="B43" s="19" t="s">
        <v>334</v>
      </c>
      <c r="C43" s="23">
        <v>7.0000000000000007E-2</v>
      </c>
      <c r="D43" s="19" t="s">
        <v>331</v>
      </c>
      <c r="E43" s="18" t="s">
        <v>261</v>
      </c>
    </row>
    <row r="44" spans="1:5" x14ac:dyDescent="0.2">
      <c r="A44" s="4" t="s">
        <v>335</v>
      </c>
      <c r="B44" s="19" t="s">
        <v>336</v>
      </c>
      <c r="C44" s="23">
        <v>7.0000000000000007E-2</v>
      </c>
      <c r="D44" s="19" t="s">
        <v>331</v>
      </c>
      <c r="E44" s="18" t="s">
        <v>264</v>
      </c>
    </row>
    <row r="45" spans="1:5" x14ac:dyDescent="0.2">
      <c r="A45" s="4" t="s">
        <v>337</v>
      </c>
      <c r="B45" s="19" t="s">
        <v>338</v>
      </c>
      <c r="C45" s="23">
        <v>0</v>
      </c>
      <c r="D45" s="19" t="s">
        <v>331</v>
      </c>
      <c r="E45" s="18" t="s">
        <v>266</v>
      </c>
    </row>
    <row r="46" spans="1:5" x14ac:dyDescent="0.2">
      <c r="A46" s="4" t="s">
        <v>253</v>
      </c>
      <c r="B46" s="19" t="s">
        <v>339</v>
      </c>
      <c r="C46" s="8" t="s">
        <v>255</v>
      </c>
      <c r="D46" s="19" t="s">
        <v>314</v>
      </c>
      <c r="E46" s="18" t="s">
        <v>340</v>
      </c>
    </row>
    <row r="47" spans="1:5" x14ac:dyDescent="0.2">
      <c r="A47" s="4" t="s">
        <v>243</v>
      </c>
      <c r="B47" s="19" t="s">
        <v>341</v>
      </c>
      <c r="C47" s="8" t="s">
        <v>94</v>
      </c>
      <c r="D47" s="19" t="s">
        <v>314</v>
      </c>
      <c r="E47" s="18" t="s">
        <v>342</v>
      </c>
    </row>
    <row r="48" spans="1:5" x14ac:dyDescent="0.2">
      <c r="A48" s="4" t="s">
        <v>249</v>
      </c>
      <c r="B48" s="19" t="s">
        <v>343</v>
      </c>
      <c r="C48" s="8" t="s">
        <v>481</v>
      </c>
      <c r="D48" s="19" t="s">
        <v>314</v>
      </c>
      <c r="E48" s="18" t="s">
        <v>344</v>
      </c>
    </row>
    <row r="49" spans="1:5" x14ac:dyDescent="0.2">
      <c r="A49" s="4" t="s">
        <v>345</v>
      </c>
      <c r="B49" s="19" t="s">
        <v>346</v>
      </c>
      <c r="C49" s="8" t="s">
        <v>347</v>
      </c>
      <c r="D49" s="19" t="s">
        <v>314</v>
      </c>
      <c r="E49" s="18" t="s">
        <v>348</v>
      </c>
    </row>
    <row r="50" spans="1:5" x14ac:dyDescent="0.2">
      <c r="A50" s="4" t="s">
        <v>349</v>
      </c>
      <c r="B50" s="19" t="s">
        <v>350</v>
      </c>
      <c r="C50" s="20">
        <v>1</v>
      </c>
      <c r="D50" s="19" t="s">
        <v>309</v>
      </c>
      <c r="E50" s="18" t="s">
        <v>351</v>
      </c>
    </row>
    <row r="51" spans="1:5" x14ac:dyDescent="0.2">
      <c r="A51" s="4" t="s">
        <v>352</v>
      </c>
      <c r="B51" s="19" t="s">
        <v>353</v>
      </c>
      <c r="C51" s="23">
        <v>5.0000000000000001E-3</v>
      </c>
      <c r="D51" s="19" t="s">
        <v>331</v>
      </c>
      <c r="E51" s="18" t="s">
        <v>274</v>
      </c>
    </row>
    <row r="52" spans="1:5" x14ac:dyDescent="0.2">
      <c r="A52" s="4" t="s">
        <v>354</v>
      </c>
      <c r="B52" s="19" t="s">
        <v>355</v>
      </c>
      <c r="C52" s="24"/>
      <c r="D52" s="19" t="s">
        <v>331</v>
      </c>
      <c r="E52" s="18" t="s">
        <v>356</v>
      </c>
    </row>
    <row r="53" spans="1:5" x14ac:dyDescent="0.2">
      <c r="A53" s="4" t="s">
        <v>280</v>
      </c>
      <c r="B53" s="19" t="s">
        <v>357</v>
      </c>
      <c r="C53" s="8" t="s">
        <v>456</v>
      </c>
      <c r="D53" s="19" t="s">
        <v>314</v>
      </c>
      <c r="E53" s="18" t="s">
        <v>359</v>
      </c>
    </row>
    <row r="54" spans="1:5" x14ac:dyDescent="0.2">
      <c r="A54" s="4" t="s">
        <v>283</v>
      </c>
      <c r="B54" s="19" t="s">
        <v>358</v>
      </c>
      <c r="C54" s="23">
        <v>0</v>
      </c>
      <c r="D54" s="19" t="s">
        <v>331</v>
      </c>
      <c r="E54" s="18" t="s">
        <v>360</v>
      </c>
    </row>
    <row r="55" spans="1:5" x14ac:dyDescent="0.2">
      <c r="A55" s="4" t="s">
        <v>361</v>
      </c>
      <c r="B55" s="19" t="s">
        <v>362</v>
      </c>
      <c r="C55" s="23">
        <v>0</v>
      </c>
      <c r="D55" s="19" t="s">
        <v>331</v>
      </c>
      <c r="E55" s="18" t="s">
        <v>363</v>
      </c>
    </row>
    <row r="57" spans="1:5" x14ac:dyDescent="0.2">
      <c r="A57" s="16" t="s">
        <v>364</v>
      </c>
    </row>
    <row r="58" spans="1:5" x14ac:dyDescent="0.2">
      <c r="A58" s="17" t="s">
        <v>365</v>
      </c>
      <c r="B58" s="17" t="s">
        <v>366</v>
      </c>
      <c r="C58" s="17" t="s">
        <v>217</v>
      </c>
      <c r="D58" s="17"/>
      <c r="E58" s="17" t="s">
        <v>367</v>
      </c>
    </row>
    <row r="59" spans="1:5" ht="26" x14ac:dyDescent="0.2">
      <c r="A59" s="4" t="s">
        <v>368</v>
      </c>
      <c r="B59" s="18" t="s">
        <v>369</v>
      </c>
      <c r="C59" s="25">
        <f>IF($C$46="market",$C$40,$C$41)</f>
        <v>1.10084736765085E-2</v>
      </c>
      <c r="E59" s="18" t="s">
        <v>370</v>
      </c>
    </row>
    <row r="60" spans="1:5" ht="39" x14ac:dyDescent="0.2">
      <c r="A60" s="4" t="s">
        <v>371</v>
      </c>
      <c r="B60" s="18" t="s">
        <v>372</v>
      </c>
      <c r="C60" s="25">
        <f>IF($C$48="in_per_out",$C$59/(1+$C$44),$C$59*(1-$C$44))</f>
        <v>1.028829315561542E-2</v>
      </c>
      <c r="E60" s="18" t="s">
        <v>373</v>
      </c>
    </row>
    <row r="61" spans="1:5" ht="28" x14ac:dyDescent="0.2">
      <c r="A61" s="4" t="s">
        <v>374</v>
      </c>
      <c r="B61" s="18" t="s">
        <v>375</v>
      </c>
      <c r="C61" s="26">
        <f>$C$36*$C$60</f>
        <v>23961.434759428314</v>
      </c>
      <c r="E61" s="18" t="s">
        <v>376</v>
      </c>
    </row>
    <row r="62" spans="1:5" x14ac:dyDescent="0.2">
      <c r="A62" s="4" t="s">
        <v>377</v>
      </c>
      <c r="B62" s="18" t="s">
        <v>378</v>
      </c>
      <c r="C62" s="26">
        <f>$C$61*$C$45</f>
        <v>0</v>
      </c>
      <c r="E62" s="18" t="s">
        <v>376</v>
      </c>
    </row>
    <row r="63" spans="1:5" x14ac:dyDescent="0.2">
      <c r="A63" s="4" t="s">
        <v>379</v>
      </c>
      <c r="B63" s="18" t="s">
        <v>380</v>
      </c>
      <c r="C63" s="26">
        <f>$C$61-$C$62</f>
        <v>23961.434759428314</v>
      </c>
      <c r="E63" s="18" t="s">
        <v>381</v>
      </c>
    </row>
    <row r="64" spans="1:5" ht="39" x14ac:dyDescent="0.2">
      <c r="A64" s="4" t="s">
        <v>382</v>
      </c>
      <c r="B64" s="18" t="s">
        <v>383</v>
      </c>
      <c r="C64" s="26">
        <f>IF($C$47="own_desk",$C$36*$C$40,IF($C$47="market_plus_pct",$C$36*$C$40*(1-$C$42),$C$36*$C$41))</f>
        <v>24359.843413385508</v>
      </c>
      <c r="E64" s="18" t="s">
        <v>384</v>
      </c>
    </row>
    <row r="65" spans="1:5" x14ac:dyDescent="0.2">
      <c r="A65" s="4" t="s">
        <v>385</v>
      </c>
      <c r="B65" s="18" t="s">
        <v>386</v>
      </c>
      <c r="C65" s="26">
        <f>$C$36*$C$40-$C$64</f>
        <v>1278.8917792027896</v>
      </c>
      <c r="E65" s="18" t="s">
        <v>381</v>
      </c>
    </row>
    <row r="66" spans="1:5" x14ac:dyDescent="0.2">
      <c r="A66" s="4" t="s">
        <v>387</v>
      </c>
      <c r="B66" s="18" t="s">
        <v>388</v>
      </c>
      <c r="C66" s="26">
        <f>$C$64-$C$63</f>
        <v>398.40865395719447</v>
      </c>
      <c r="E66" s="18" t="s">
        <v>389</v>
      </c>
    </row>
    <row r="67" spans="1:5" x14ac:dyDescent="0.2">
      <c r="A67" s="4" t="s">
        <v>390</v>
      </c>
      <c r="B67" s="18" t="s">
        <v>391</v>
      </c>
      <c r="C67" s="27">
        <f>IF($C$36*$C$40=0,0,$C$66/($C$36*$C$40))</f>
        <v>1.5539325593267461E-2</v>
      </c>
      <c r="E67" s="18" t="s">
        <v>381</v>
      </c>
    </row>
    <row r="68" spans="1:5" ht="26" x14ac:dyDescent="0.2">
      <c r="A68" s="4" t="s">
        <v>392</v>
      </c>
      <c r="B68" s="18" t="s">
        <v>393</v>
      </c>
      <c r="C68" s="7" t="str">
        <f>IF($C$67&lt;$C$51,"YES — Finance approval","no")</f>
        <v>no</v>
      </c>
      <c r="E68" s="18" t="s">
        <v>394</v>
      </c>
    </row>
    <row r="69" spans="1:5" ht="26" x14ac:dyDescent="0.2">
      <c r="A69" s="4" t="s">
        <v>395</v>
      </c>
      <c r="B69" s="18" t="s">
        <v>396</v>
      </c>
      <c r="C69" s="26">
        <f>IF($C$49="round_up_unit",CEILING($C$63,$C$50),IF($C$49="nearest_unit",MROUND($C$63,$C$50),IF($C$49="nearest_n",MROUND($C$63,$C$50),FLOOR($C$63,$C$50))))</f>
        <v>23961</v>
      </c>
      <c r="E69" s="18" t="s">
        <v>397</v>
      </c>
    </row>
    <row r="70" spans="1:5" ht="28" x14ac:dyDescent="0.2">
      <c r="A70" s="4" t="s">
        <v>398</v>
      </c>
      <c r="B70" s="18" t="s">
        <v>399</v>
      </c>
      <c r="C70" s="26">
        <f>$C$63-$C$69</f>
        <v>0.43475942831355496</v>
      </c>
      <c r="E70" s="18" t="s">
        <v>400</v>
      </c>
    </row>
    <row r="71" spans="1:5" ht="26" x14ac:dyDescent="0.2">
      <c r="A71" s="4" t="s">
        <v>401</v>
      </c>
      <c r="B71" s="18" t="s">
        <v>402</v>
      </c>
      <c r="C71" s="25">
        <f>IF($C$52="",$C$59,$C$60/(1-$C$52))</f>
        <v>1.10084736765085E-2</v>
      </c>
      <c r="E71" s="18" t="s">
        <v>356</v>
      </c>
    </row>
    <row r="72" spans="1:5" x14ac:dyDescent="0.2">
      <c r="A72" s="4" t="s">
        <v>403</v>
      </c>
      <c r="B72" s="18" t="s">
        <v>404</v>
      </c>
      <c r="C72" s="26">
        <f>IF($C$53="rebate",$C$65*$C$54,0)</f>
        <v>0</v>
      </c>
      <c r="E72" s="18" t="s">
        <v>405</v>
      </c>
    </row>
    <row r="73" spans="1:5" x14ac:dyDescent="0.2">
      <c r="A73" s="4" t="s">
        <v>406</v>
      </c>
      <c r="B73" s="18" t="s">
        <v>407</v>
      </c>
      <c r="C73" s="26">
        <f>$C$36*$C$40*$C$55</f>
        <v>0</v>
      </c>
      <c r="E73" s="18" t="s">
        <v>408</v>
      </c>
    </row>
    <row r="74" spans="1:5" ht="28" x14ac:dyDescent="0.2">
      <c r="A74" s="4" t="s">
        <v>409</v>
      </c>
      <c r="B74" s="18" t="s">
        <v>410</v>
      </c>
      <c r="C74" s="26">
        <f>ROUND($C$63+$C$65+$C$66-$C$36*$C$40,6)</f>
        <v>0</v>
      </c>
      <c r="E74" s="18" t="s">
        <v>411</v>
      </c>
    </row>
    <row r="76" spans="1:5" x14ac:dyDescent="0.2">
      <c r="A76" s="16" t="s">
        <v>412</v>
      </c>
    </row>
    <row r="77" spans="1:5" x14ac:dyDescent="0.2">
      <c r="A77" s="17" t="s">
        <v>413</v>
      </c>
      <c r="B77" s="17" t="s">
        <v>414</v>
      </c>
      <c r="C77" s="17" t="s">
        <v>415</v>
      </c>
      <c r="D77" s="17" t="s">
        <v>416</v>
      </c>
      <c r="E77" s="17" t="s">
        <v>417</v>
      </c>
    </row>
    <row r="78" spans="1:5" x14ac:dyDescent="0.2">
      <c r="A78" s="7" t="str">
        <f>"CL."&amp;$C$39&amp;"."&amp;$C$37&amp;".COLLECTED"</f>
        <v>CL.ALI.INR.COLLECTED</v>
      </c>
      <c r="B78" s="7" t="s">
        <v>418</v>
      </c>
      <c r="C78" s="26">
        <f>$C$36</f>
        <v>2329000</v>
      </c>
      <c r="D78" s="19" t="s">
        <v>419</v>
      </c>
      <c r="E78" s="19" t="s">
        <v>420</v>
      </c>
    </row>
    <row r="79" spans="1:5" x14ac:dyDescent="0.2">
      <c r="A79" s="7" t="str">
        <f>"CL.PROJECT."&amp;$C$37&amp;".PAYABLE"</f>
        <v>CL.PROJECT.INR.PAYABLE</v>
      </c>
      <c r="B79" s="7" t="s">
        <v>421</v>
      </c>
      <c r="C79" s="26">
        <f>$C$36</f>
        <v>2329000</v>
      </c>
      <c r="D79" s="19" t="s">
        <v>419</v>
      </c>
      <c r="E79" s="19" t="s">
        <v>420</v>
      </c>
    </row>
    <row r="80" spans="1:5" x14ac:dyDescent="0.2">
      <c r="A80" s="7" t="str">
        <f>"CL.PROJECT."&amp;$C$37&amp;".PAYABLE"</f>
        <v>CL.PROJECT.INR.PAYABLE</v>
      </c>
      <c r="B80" s="7" t="s">
        <v>418</v>
      </c>
      <c r="C80" s="26">
        <f>$C$36</f>
        <v>2329000</v>
      </c>
      <c r="D80" s="19" t="s">
        <v>419</v>
      </c>
      <c r="E80" s="19" t="s">
        <v>422</v>
      </c>
    </row>
    <row r="81" spans="1:5" x14ac:dyDescent="0.2">
      <c r="A81" s="7" t="str">
        <f>"CL."&amp;$C$39&amp;"."&amp;$C$37&amp;".COLLECTED"</f>
        <v>CL.ALI.INR.COLLECTED</v>
      </c>
      <c r="B81" s="7" t="s">
        <v>421</v>
      </c>
      <c r="C81" s="26">
        <f>$C$36</f>
        <v>2329000</v>
      </c>
      <c r="D81" s="19" t="s">
        <v>419</v>
      </c>
      <c r="E81" s="19" t="s">
        <v>422</v>
      </c>
    </row>
    <row r="82" spans="1:5" x14ac:dyDescent="0.2">
      <c r="A82" s="7" t="str">
        <f>"CL."&amp;$C$39&amp;"."&amp;$C$38&amp;".DUE"</f>
        <v>CL.ALI.USD.DUE</v>
      </c>
      <c r="B82" s="7" t="s">
        <v>418</v>
      </c>
      <c r="C82" s="26">
        <f>$C$63</f>
        <v>23961.434759428314</v>
      </c>
      <c r="D82" s="19" t="s">
        <v>423</v>
      </c>
      <c r="E82" s="19" t="s">
        <v>424</v>
      </c>
    </row>
    <row r="83" spans="1:5" x14ac:dyDescent="0.2">
      <c r="A83" s="7" t="str">
        <f>"CO."&amp;$C$39&amp;"."&amp;$C$38&amp;".POOL"</f>
        <v>CO.ALI.USD.POOL</v>
      </c>
      <c r="B83" s="7" t="s">
        <v>418</v>
      </c>
      <c r="C83" s="26">
        <f>IF($C$53="rebate",0,$C$66)</f>
        <v>398.40865395719447</v>
      </c>
      <c r="D83" s="19" t="s">
        <v>425</v>
      </c>
      <c r="E83" s="19" t="s">
        <v>426</v>
      </c>
    </row>
    <row r="84" spans="1:5" x14ac:dyDescent="0.2">
      <c r="A84" s="7" t="str">
        <f>"CO."&amp;$C$39&amp;"."&amp;$C$38&amp;".REBATE_RECEIVABLE"</f>
        <v>CO.ALI.USD.REBATE_RECEIVABLE</v>
      </c>
      <c r="B84" s="7" t="s">
        <v>418</v>
      </c>
      <c r="C84" s="26">
        <f>$C$72</f>
        <v>0</v>
      </c>
      <c r="D84" s="19" t="s">
        <v>425</v>
      </c>
      <c r="E84" s="19" t="s">
        <v>427</v>
      </c>
    </row>
    <row r="85" spans="1:5" x14ac:dyDescent="0.2">
      <c r="A85" s="7" t="str">
        <f>"CL.PROJECT."&amp;$C$38&amp;".PAYABLE"</f>
        <v>CL.PROJECT.USD.PAYABLE</v>
      </c>
      <c r="B85" s="7" t="s">
        <v>421</v>
      </c>
      <c r="C85" s="26">
        <f>$C$63</f>
        <v>23961.434759428314</v>
      </c>
      <c r="D85" s="19" t="s">
        <v>419</v>
      </c>
      <c r="E85" s="19" t="s">
        <v>424</v>
      </c>
    </row>
    <row r="86" spans="1:5" x14ac:dyDescent="0.2">
      <c r="A86" s="7" t="str">
        <f>"CO.NONE."&amp;$C$38&amp;".EARN_GROSS"</f>
        <v>CO.NONE.USD.EARN_GROSS</v>
      </c>
      <c r="B86" s="7" t="s">
        <v>421</v>
      </c>
      <c r="C86" s="26">
        <f>$C$66+$C$72</f>
        <v>398.40865395719447</v>
      </c>
      <c r="D86" s="19" t="s">
        <v>425</v>
      </c>
      <c r="E86" s="19" t="s">
        <v>428</v>
      </c>
    </row>
    <row r="87" spans="1:5" x14ac:dyDescent="0.2">
      <c r="A87" s="7" t="str">
        <f>"CL."&amp;$C$39&amp;"."&amp;$C$38&amp;".INTRANSIT"</f>
        <v>CL.ALI.USD.INTRANSIT</v>
      </c>
      <c r="B87" s="7" t="s">
        <v>418</v>
      </c>
      <c r="C87" s="26">
        <f>$C$69</f>
        <v>23961</v>
      </c>
      <c r="D87" s="19" t="s">
        <v>419</v>
      </c>
      <c r="E87" s="19" t="s">
        <v>429</v>
      </c>
    </row>
    <row r="88" spans="1:5" x14ac:dyDescent="0.2">
      <c r="A88" s="7" t="str">
        <f>"CL."&amp;$C$39&amp;"."&amp;$C$38&amp;".DUE"</f>
        <v>CL.ALI.USD.DUE</v>
      </c>
      <c r="B88" s="7" t="s">
        <v>421</v>
      </c>
      <c r="C88" s="26">
        <f>$C$69</f>
        <v>23961</v>
      </c>
      <c r="D88" s="19" t="s">
        <v>419</v>
      </c>
      <c r="E88" s="19" t="s">
        <v>430</v>
      </c>
    </row>
    <row r="89" spans="1:5" x14ac:dyDescent="0.2">
      <c r="A89" s="7" t="str">
        <f>"CL.PROJECT."&amp;$C$38&amp;".PAYABLE"</f>
        <v>CL.PROJECT.USD.PAYABLE</v>
      </c>
      <c r="B89" s="7" t="s">
        <v>418</v>
      </c>
      <c r="C89" s="26">
        <f>$C$69</f>
        <v>23961</v>
      </c>
      <c r="D89" s="19" t="s">
        <v>419</v>
      </c>
      <c r="E89" s="19" t="s">
        <v>431</v>
      </c>
    </row>
    <row r="90" spans="1:5" x14ac:dyDescent="0.2">
      <c r="A90" s="7" t="str">
        <f>"CL."&amp;$C$39&amp;"."&amp;$C$38&amp;".INTRANSIT"</f>
        <v>CL.ALI.USD.INTRANSIT</v>
      </c>
      <c r="B90" s="7" t="s">
        <v>421</v>
      </c>
      <c r="C90" s="26">
        <f>$C$69</f>
        <v>23961</v>
      </c>
      <c r="D90" s="19" t="s">
        <v>419</v>
      </c>
      <c r="E90" s="19" t="s">
        <v>431</v>
      </c>
    </row>
    <row r="91" spans="1:5" x14ac:dyDescent="0.2">
      <c r="A91" s="7" t="str">
        <f>"CO.NONE."&amp;$C$38&amp;".EARN_GROSS"</f>
        <v>CO.NONE.USD.EARN_GROSS</v>
      </c>
      <c r="B91" s="7" t="s">
        <v>418</v>
      </c>
      <c r="C91" s="26">
        <f>$C$73</f>
        <v>0</v>
      </c>
      <c r="D91" s="19" t="s">
        <v>432</v>
      </c>
      <c r="E91" s="19" t="s">
        <v>433</v>
      </c>
    </row>
    <row r="92" spans="1:5" x14ac:dyDescent="0.2">
      <c r="A92" s="7" t="str">
        <f>"CO.INTRODUCER."&amp;$C$38&amp;".REFERRAL_PAYABLE"</f>
        <v>CO.INTRODUCER.USD.REFERRAL_PAYABLE</v>
      </c>
      <c r="B92" s="7" t="s">
        <v>421</v>
      </c>
      <c r="C92" s="26">
        <f>$C$73</f>
        <v>0</v>
      </c>
      <c r="D92" s="19" t="s">
        <v>432</v>
      </c>
      <c r="E92" s="19" t="s">
        <v>434</v>
      </c>
    </row>
    <row r="93" spans="1:5" ht="30" customHeight="1" x14ac:dyDescent="0.2">
      <c r="A93" s="28" t="s">
        <v>435</v>
      </c>
      <c r="C93" s="29">
        <f>ROUND(SUMIF($B$82:$B$92,"Dr",$C$82:$C$92)-SUMIF($B$82:$B$92,"Cr",$C$82:$C$92),6)</f>
        <v>0</v>
      </c>
      <c r="E93" s="18" t="s">
        <v>436</v>
      </c>
    </row>
    <row r="95" spans="1:5" x14ac:dyDescent="0.2">
      <c r="A95" s="16" t="s">
        <v>437</v>
      </c>
    </row>
    <row r="96" spans="1:5" x14ac:dyDescent="0.2">
      <c r="A96" s="17" t="s">
        <v>438</v>
      </c>
      <c r="B96" s="17" t="s">
        <v>439</v>
      </c>
      <c r="C96" s="17" t="s">
        <v>440</v>
      </c>
      <c r="D96" s="17" t="s">
        <v>441</v>
      </c>
      <c r="E96" s="17" t="s">
        <v>442</v>
      </c>
    </row>
    <row r="97" spans="1:5" ht="30" customHeight="1" x14ac:dyDescent="0.2">
      <c r="A97" s="4" t="s">
        <v>485</v>
      </c>
      <c r="B97" s="20">
        <v>23960.18</v>
      </c>
      <c r="C97" s="26">
        <f>$C$61</f>
        <v>23961.434759428314</v>
      </c>
      <c r="D97" s="29">
        <f>ROUND(C97-B97,2)</f>
        <v>1.25</v>
      </c>
      <c r="E97" s="18" t="s">
        <v>486</v>
      </c>
    </row>
    <row r="99" spans="1:5" x14ac:dyDescent="0.2">
      <c r="A99" s="16" t="s">
        <v>445</v>
      </c>
    </row>
    <row r="100" spans="1:5" ht="31.5" customHeight="1" x14ac:dyDescent="0.2">
      <c r="A100" s="14" t="s">
        <v>446</v>
      </c>
      <c r="B100" s="1" t="s">
        <v>487</v>
      </c>
      <c r="C100" s="1"/>
      <c r="D100" s="1"/>
      <c r="E100" s="1"/>
    </row>
    <row r="101" spans="1:5" ht="31.5" customHeight="1" x14ac:dyDescent="0.2">
      <c r="A101" s="14" t="s">
        <v>446</v>
      </c>
      <c r="B101" s="1" t="s">
        <v>488</v>
      </c>
      <c r="C101" s="1"/>
      <c r="D101" s="1"/>
      <c r="E101" s="1"/>
    </row>
    <row r="102" spans="1:5" ht="31.5" customHeight="1" x14ac:dyDescent="0.2">
      <c r="A102" s="14" t="s">
        <v>446</v>
      </c>
      <c r="B102" s="1" t="s">
        <v>489</v>
      </c>
      <c r="C102" s="1"/>
      <c r="D102" s="1"/>
      <c r="E102" s="1"/>
    </row>
    <row r="104" spans="1:5" x14ac:dyDescent="0.2">
      <c r="B104" t="s">
        <v>650</v>
      </c>
    </row>
    <row r="105" spans="1:5" ht="365" x14ac:dyDescent="0.2">
      <c r="B105" s="40" t="s">
        <v>651</v>
      </c>
    </row>
  </sheetData>
  <mergeCells count="3">
    <mergeCell ref="B100:E100"/>
    <mergeCell ref="B101:E101"/>
    <mergeCell ref="B102:E102"/>
  </mergeCells>
  <pageMargins left="0.75" right="0.75" top="1" bottom="1"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9"/>
  <sheetViews>
    <sheetView topLeftCell="A93" zoomScaleNormal="100" workbookViewId="0">
      <selection activeCell="F103" sqref="F103"/>
    </sheetView>
  </sheetViews>
  <sheetFormatPr baseColWidth="10" defaultColWidth="8.6640625" defaultRowHeight="15" x14ac:dyDescent="0.2"/>
  <cols>
    <col min="1" max="2" width="34" customWidth="1"/>
    <col min="3" max="3" width="22" customWidth="1"/>
    <col min="4" max="4" width="18" customWidth="1"/>
    <col min="5" max="5" width="48" customWidth="1"/>
    <col min="6" max="6" width="57.6640625" bestFit="1" customWidth="1"/>
  </cols>
  <sheetData>
    <row r="1" spans="1:5" ht="17" x14ac:dyDescent="0.2">
      <c r="A1" s="2" t="s">
        <v>490</v>
      </c>
    </row>
    <row r="2" spans="1:5" x14ac:dyDescent="0.2">
      <c r="A2" s="13" t="s">
        <v>210</v>
      </c>
      <c r="B2" s="14" t="s">
        <v>491</v>
      </c>
    </row>
    <row r="3" spans="1:5" ht="30" customHeight="1" x14ac:dyDescent="0.2">
      <c r="A3" s="13" t="s">
        <v>212</v>
      </c>
      <c r="B3" s="15" t="s">
        <v>492</v>
      </c>
    </row>
    <row r="5" spans="1:5" x14ac:dyDescent="0.2">
      <c r="A5" s="16" t="s">
        <v>214</v>
      </c>
    </row>
    <row r="6" spans="1:5" x14ac:dyDescent="0.2">
      <c r="A6" s="17" t="s">
        <v>215</v>
      </c>
      <c r="B6" s="17" t="s">
        <v>216</v>
      </c>
      <c r="C6" s="17" t="s">
        <v>217</v>
      </c>
      <c r="D6" s="17" t="s">
        <v>218</v>
      </c>
      <c r="E6" s="17" t="s">
        <v>219</v>
      </c>
    </row>
    <row r="7" spans="1:5" ht="30" customHeight="1" x14ac:dyDescent="0.2">
      <c r="A7" s="4" t="s">
        <v>220</v>
      </c>
      <c r="B7" s="4" t="s">
        <v>221</v>
      </c>
      <c r="C7" s="10" t="s">
        <v>493</v>
      </c>
      <c r="D7" s="4" t="s">
        <v>222</v>
      </c>
      <c r="E7" s="18" t="s">
        <v>223</v>
      </c>
    </row>
    <row r="8" spans="1:5" ht="30" customHeight="1" x14ac:dyDescent="0.2">
      <c r="A8" s="4" t="s">
        <v>224</v>
      </c>
      <c r="B8" s="4" t="s">
        <v>225</v>
      </c>
      <c r="C8" s="32" t="s">
        <v>657</v>
      </c>
      <c r="D8" s="4" t="s">
        <v>226</v>
      </c>
      <c r="E8" s="18" t="s">
        <v>227</v>
      </c>
    </row>
    <row r="9" spans="1:5" ht="30" customHeight="1" x14ac:dyDescent="0.2">
      <c r="A9" s="4" t="s">
        <v>228</v>
      </c>
      <c r="B9" s="4" t="s">
        <v>229</v>
      </c>
      <c r="C9" s="32" t="s">
        <v>656</v>
      </c>
      <c r="D9" s="4" t="s">
        <v>226</v>
      </c>
      <c r="E9" s="18" t="s">
        <v>230</v>
      </c>
    </row>
    <row r="10" spans="1:5" ht="30" customHeight="1" x14ac:dyDescent="0.2">
      <c r="A10" s="4" t="s">
        <v>231</v>
      </c>
      <c r="B10" s="4" t="s">
        <v>232</v>
      </c>
      <c r="C10" s="32" t="s">
        <v>648</v>
      </c>
      <c r="D10" s="4" t="s">
        <v>226</v>
      </c>
      <c r="E10" s="18" t="s">
        <v>233</v>
      </c>
    </row>
    <row r="11" spans="1:5" ht="15.75" customHeight="1" x14ac:dyDescent="0.2">
      <c r="A11" s="4" t="s">
        <v>234</v>
      </c>
      <c r="B11" s="4" t="s">
        <v>235</v>
      </c>
      <c r="C11" s="10" t="s">
        <v>236</v>
      </c>
      <c r="D11" s="4" t="s">
        <v>222</v>
      </c>
      <c r="E11" s="18" t="s">
        <v>237</v>
      </c>
    </row>
    <row r="12" spans="1:5" ht="30" customHeight="1" x14ac:dyDescent="0.2">
      <c r="A12" s="4" t="s">
        <v>238</v>
      </c>
      <c r="B12" s="4" t="s">
        <v>239</v>
      </c>
      <c r="C12" s="10" t="s">
        <v>494</v>
      </c>
      <c r="D12" s="4" t="s">
        <v>222</v>
      </c>
      <c r="E12" s="18" t="s">
        <v>240</v>
      </c>
    </row>
    <row r="13" spans="1:5" ht="15.75" customHeight="1" x14ac:dyDescent="0.2">
      <c r="A13" s="4" t="s">
        <v>241</v>
      </c>
      <c r="B13" s="4" t="s">
        <v>242</v>
      </c>
      <c r="C13" s="10" t="s">
        <v>93</v>
      </c>
      <c r="D13" s="4" t="s">
        <v>222</v>
      </c>
      <c r="E13" s="18"/>
    </row>
    <row r="14" spans="1:5" ht="30" customHeight="1" x14ac:dyDescent="0.2">
      <c r="A14" s="4" t="s">
        <v>243</v>
      </c>
      <c r="B14" s="4" t="s">
        <v>244</v>
      </c>
      <c r="C14" s="10" t="s">
        <v>94</v>
      </c>
      <c r="D14" s="4" t="s">
        <v>222</v>
      </c>
      <c r="E14" s="18" t="s">
        <v>245</v>
      </c>
    </row>
    <row r="15" spans="1:5" ht="15.75" customHeight="1" x14ac:dyDescent="0.2">
      <c r="A15" s="4" t="s">
        <v>246</v>
      </c>
      <c r="B15" s="4" t="s">
        <v>247</v>
      </c>
      <c r="C15" s="10" t="s">
        <v>155</v>
      </c>
      <c r="D15" s="4" t="s">
        <v>222</v>
      </c>
      <c r="E15" s="18" t="s">
        <v>248</v>
      </c>
    </row>
    <row r="16" spans="1:5" ht="30" customHeight="1" x14ac:dyDescent="0.2">
      <c r="A16" s="4" t="s">
        <v>249</v>
      </c>
      <c r="B16" s="4" t="s">
        <v>250</v>
      </c>
      <c r="C16" s="10" t="s">
        <v>481</v>
      </c>
      <c r="D16" s="4" t="s">
        <v>222</v>
      </c>
      <c r="E16" s="18" t="s">
        <v>252</v>
      </c>
    </row>
    <row r="17" spans="1:5" ht="30" customHeight="1" x14ac:dyDescent="0.2">
      <c r="A17" s="4" t="s">
        <v>253</v>
      </c>
      <c r="B17" s="4" t="s">
        <v>254</v>
      </c>
      <c r="C17" s="10" t="s">
        <v>255</v>
      </c>
      <c r="D17" s="4" t="s">
        <v>222</v>
      </c>
      <c r="E17" s="18" t="s">
        <v>256</v>
      </c>
    </row>
    <row r="18" spans="1:5" ht="15.75" customHeight="1" x14ac:dyDescent="0.2">
      <c r="A18" s="4" t="s">
        <v>257</v>
      </c>
      <c r="B18" s="4" t="s">
        <v>258</v>
      </c>
      <c r="C18" s="10" t="s">
        <v>86</v>
      </c>
      <c r="D18" s="4" t="s">
        <v>222</v>
      </c>
      <c r="E18" s="18" t="s">
        <v>259</v>
      </c>
    </row>
    <row r="19" spans="1:5" ht="15.75" customHeight="1" x14ac:dyDescent="0.2">
      <c r="A19" s="4" t="s">
        <v>260</v>
      </c>
      <c r="B19" s="4" t="s">
        <v>261</v>
      </c>
      <c r="C19" s="12">
        <v>2.5000000000000001E-2</v>
      </c>
      <c r="D19" s="4" t="s">
        <v>222</v>
      </c>
      <c r="E19" s="18" t="s">
        <v>262</v>
      </c>
    </row>
    <row r="20" spans="1:5" ht="15.75" customHeight="1" x14ac:dyDescent="0.2">
      <c r="A20" s="4" t="s">
        <v>263</v>
      </c>
      <c r="B20" s="4" t="s">
        <v>264</v>
      </c>
      <c r="C20" s="12">
        <v>2.5000000000000001E-2</v>
      </c>
      <c r="D20" s="4" t="s">
        <v>222</v>
      </c>
      <c r="E20" s="18"/>
    </row>
    <row r="21" spans="1:5" ht="30" customHeight="1" x14ac:dyDescent="0.2">
      <c r="A21" s="4" t="s">
        <v>265</v>
      </c>
      <c r="B21" s="4" t="s">
        <v>266</v>
      </c>
      <c r="C21" s="12">
        <v>0</v>
      </c>
      <c r="D21" s="4" t="s">
        <v>222</v>
      </c>
      <c r="E21" s="18" t="s">
        <v>267</v>
      </c>
    </row>
    <row r="22" spans="1:5" ht="15.75" customHeight="1" x14ac:dyDescent="0.2">
      <c r="A22" s="4" t="s">
        <v>268</v>
      </c>
      <c r="B22" s="4" t="s">
        <v>269</v>
      </c>
      <c r="C22" s="32" t="s">
        <v>630</v>
      </c>
      <c r="D22" s="4" t="s">
        <v>226</v>
      </c>
      <c r="E22" s="18" t="s">
        <v>270</v>
      </c>
    </row>
    <row r="23" spans="1:5" ht="15.75" customHeight="1" x14ac:dyDescent="0.2">
      <c r="A23" s="4" t="s">
        <v>271</v>
      </c>
      <c r="B23" s="4" t="s">
        <v>272</v>
      </c>
      <c r="C23" s="32" t="s">
        <v>630</v>
      </c>
      <c r="D23" s="4" t="s">
        <v>226</v>
      </c>
      <c r="E23" s="18" t="s">
        <v>270</v>
      </c>
    </row>
    <row r="24" spans="1:5" ht="15.75" customHeight="1" x14ac:dyDescent="0.2">
      <c r="A24" s="4" t="s">
        <v>273</v>
      </c>
      <c r="B24" s="4" t="s">
        <v>274</v>
      </c>
      <c r="C24" s="32" t="s">
        <v>658</v>
      </c>
      <c r="D24" s="4" t="s">
        <v>226</v>
      </c>
      <c r="E24" s="18" t="s">
        <v>275</v>
      </c>
    </row>
    <row r="25" spans="1:5" ht="30" customHeight="1" x14ac:dyDescent="0.2">
      <c r="A25" s="4" t="s">
        <v>276</v>
      </c>
      <c r="B25" s="4" t="s">
        <v>277</v>
      </c>
      <c r="C25" s="32" t="s">
        <v>659</v>
      </c>
      <c r="D25" s="4" t="s">
        <v>278</v>
      </c>
      <c r="E25" s="18" t="s">
        <v>279</v>
      </c>
    </row>
    <row r="26" spans="1:5" ht="15.75" customHeight="1" x14ac:dyDescent="0.2">
      <c r="A26" s="4" t="s">
        <v>280</v>
      </c>
      <c r="B26" s="4" t="s">
        <v>281</v>
      </c>
      <c r="C26" s="10" t="s">
        <v>95</v>
      </c>
      <c r="D26" s="4" t="s">
        <v>222</v>
      </c>
      <c r="E26" s="18" t="s">
        <v>282</v>
      </c>
    </row>
    <row r="27" spans="1:5" ht="15.75" customHeight="1" x14ac:dyDescent="0.2">
      <c r="A27" s="4" t="s">
        <v>283</v>
      </c>
      <c r="B27" s="4" t="s">
        <v>284</v>
      </c>
      <c r="C27" s="32" t="s">
        <v>660</v>
      </c>
      <c r="D27" s="4" t="s">
        <v>278</v>
      </c>
      <c r="E27" s="18" t="s">
        <v>286</v>
      </c>
    </row>
    <row r="28" spans="1:5" ht="15.75" customHeight="1" x14ac:dyDescent="0.2">
      <c r="A28" s="4" t="s">
        <v>287</v>
      </c>
      <c r="B28" s="4" t="s">
        <v>288</v>
      </c>
      <c r="C28" s="10"/>
      <c r="D28" s="4" t="s">
        <v>278</v>
      </c>
      <c r="E28" s="18" t="s">
        <v>289</v>
      </c>
    </row>
    <row r="29" spans="1:5" ht="30" customHeight="1" x14ac:dyDescent="0.2">
      <c r="A29" s="4" t="s">
        <v>290</v>
      </c>
      <c r="B29" s="4" t="s">
        <v>291</v>
      </c>
      <c r="C29" s="10" t="s">
        <v>292</v>
      </c>
      <c r="D29" s="4" t="s">
        <v>222</v>
      </c>
      <c r="E29" s="18" t="s">
        <v>293</v>
      </c>
    </row>
    <row r="30" spans="1:5" ht="15.75" customHeight="1" x14ac:dyDescent="0.2">
      <c r="A30" s="4" t="s">
        <v>294</v>
      </c>
      <c r="B30" s="4" t="s">
        <v>295</v>
      </c>
      <c r="C30" s="32" t="s">
        <v>653</v>
      </c>
      <c r="D30" s="4" t="s">
        <v>226</v>
      </c>
      <c r="E30" s="18"/>
    </row>
    <row r="31" spans="1:5" ht="15.75" customHeight="1" x14ac:dyDescent="0.2">
      <c r="A31" s="4" t="s">
        <v>296</v>
      </c>
      <c r="B31" s="4" t="s">
        <v>297</v>
      </c>
      <c r="C31" s="32" t="s">
        <v>661</v>
      </c>
      <c r="D31" s="4" t="s">
        <v>226</v>
      </c>
      <c r="E31" s="18" t="s">
        <v>298</v>
      </c>
    </row>
    <row r="32" spans="1:5" ht="30" customHeight="1" x14ac:dyDescent="0.2">
      <c r="A32" s="4" t="s">
        <v>299</v>
      </c>
      <c r="B32" s="4" t="s">
        <v>300</v>
      </c>
      <c r="C32" s="32" t="s">
        <v>662</v>
      </c>
      <c r="D32" s="4" t="s">
        <v>226</v>
      </c>
      <c r="E32" s="18" t="s">
        <v>301</v>
      </c>
    </row>
    <row r="34" spans="1:5" x14ac:dyDescent="0.2">
      <c r="A34" s="16" t="s">
        <v>302</v>
      </c>
    </row>
    <row r="35" spans="1:5" x14ac:dyDescent="0.2">
      <c r="A35" s="17" t="s">
        <v>303</v>
      </c>
      <c r="B35" s="17" t="s">
        <v>304</v>
      </c>
      <c r="C35" s="17" t="s">
        <v>217</v>
      </c>
      <c r="D35" s="17" t="s">
        <v>305</v>
      </c>
      <c r="E35" s="17" t="s">
        <v>306</v>
      </c>
    </row>
    <row r="36" spans="1:5" x14ac:dyDescent="0.2">
      <c r="A36" s="4" t="s">
        <v>307</v>
      </c>
      <c r="B36" s="19" t="s">
        <v>308</v>
      </c>
      <c r="C36" s="20">
        <v>86594</v>
      </c>
      <c r="D36" s="19" t="s">
        <v>309</v>
      </c>
      <c r="E36" s="18" t="s">
        <v>310</v>
      </c>
    </row>
    <row r="37" spans="1:5" x14ac:dyDescent="0.2">
      <c r="A37" s="4" t="s">
        <v>311</v>
      </c>
      <c r="B37" s="19" t="s">
        <v>312</v>
      </c>
      <c r="C37" s="8" t="s">
        <v>313</v>
      </c>
      <c r="D37" s="19" t="s">
        <v>314</v>
      </c>
      <c r="E37" s="18"/>
    </row>
    <row r="38" spans="1:5" x14ac:dyDescent="0.2">
      <c r="A38" s="4" t="s">
        <v>315</v>
      </c>
      <c r="B38" s="19" t="s">
        <v>316</v>
      </c>
      <c r="C38" s="8" t="s">
        <v>484</v>
      </c>
      <c r="D38" s="19" t="s">
        <v>314</v>
      </c>
      <c r="E38" s="18"/>
    </row>
    <row r="39" spans="1:5" x14ac:dyDescent="0.2">
      <c r="A39" s="4" t="s">
        <v>318</v>
      </c>
      <c r="B39" s="19" t="s">
        <v>319</v>
      </c>
      <c r="C39" s="8" t="s">
        <v>455</v>
      </c>
      <c r="D39" s="19" t="s">
        <v>314</v>
      </c>
      <c r="E39" s="18" t="s">
        <v>321</v>
      </c>
    </row>
    <row r="40" spans="1:5" x14ac:dyDescent="0.2">
      <c r="A40" s="4" t="s">
        <v>322</v>
      </c>
      <c r="B40" s="19" t="s">
        <v>323</v>
      </c>
      <c r="C40" s="21">
        <v>1</v>
      </c>
      <c r="D40" s="19" t="s">
        <v>324</v>
      </c>
      <c r="E40" s="18" t="s">
        <v>325</v>
      </c>
    </row>
    <row r="41" spans="1:5" ht="26" x14ac:dyDescent="0.2">
      <c r="A41" s="4" t="s">
        <v>326</v>
      </c>
      <c r="B41" s="19" t="s">
        <v>327</v>
      </c>
      <c r="C41" s="21">
        <v>0.996</v>
      </c>
      <c r="D41" s="19" t="s">
        <v>324</v>
      </c>
      <c r="E41" s="18" t="s">
        <v>328</v>
      </c>
    </row>
    <row r="42" spans="1:5" ht="26" x14ac:dyDescent="0.2">
      <c r="A42" s="4" t="s">
        <v>329</v>
      </c>
      <c r="B42" s="19" t="s">
        <v>330</v>
      </c>
      <c r="C42" s="23">
        <v>0</v>
      </c>
      <c r="D42" s="19" t="s">
        <v>331</v>
      </c>
      <c r="E42" s="18" t="s">
        <v>332</v>
      </c>
    </row>
    <row r="43" spans="1:5" x14ac:dyDescent="0.2">
      <c r="A43" s="4" t="s">
        <v>333</v>
      </c>
      <c r="B43" s="19" t="s">
        <v>334</v>
      </c>
      <c r="C43" s="23">
        <v>2.5000000000000001E-2</v>
      </c>
      <c r="D43" s="19" t="s">
        <v>331</v>
      </c>
      <c r="E43" s="18" t="s">
        <v>261</v>
      </c>
    </row>
    <row r="44" spans="1:5" x14ac:dyDescent="0.2">
      <c r="A44" s="4" t="s">
        <v>335</v>
      </c>
      <c r="B44" s="19" t="s">
        <v>336</v>
      </c>
      <c r="C44" s="23">
        <v>2.5000000000000001E-2</v>
      </c>
      <c r="D44" s="19" t="s">
        <v>331</v>
      </c>
      <c r="E44" s="18" t="s">
        <v>264</v>
      </c>
    </row>
    <row r="45" spans="1:5" x14ac:dyDescent="0.2">
      <c r="A45" s="4" t="s">
        <v>337</v>
      </c>
      <c r="B45" s="19" t="s">
        <v>338</v>
      </c>
      <c r="C45" s="23">
        <v>0</v>
      </c>
      <c r="D45" s="19" t="s">
        <v>331</v>
      </c>
      <c r="E45" s="18" t="s">
        <v>266</v>
      </c>
    </row>
    <row r="46" spans="1:5" x14ac:dyDescent="0.2">
      <c r="A46" s="4" t="s">
        <v>253</v>
      </c>
      <c r="B46" s="19" t="s">
        <v>339</v>
      </c>
      <c r="C46" s="8" t="s">
        <v>255</v>
      </c>
      <c r="D46" s="19" t="s">
        <v>314</v>
      </c>
      <c r="E46" s="18" t="s">
        <v>340</v>
      </c>
    </row>
    <row r="47" spans="1:5" x14ac:dyDescent="0.2">
      <c r="A47" s="4" t="s">
        <v>243</v>
      </c>
      <c r="B47" s="19" t="s">
        <v>341</v>
      </c>
      <c r="C47" s="8" t="s">
        <v>94</v>
      </c>
      <c r="D47" s="19" t="s">
        <v>314</v>
      </c>
      <c r="E47" s="18" t="s">
        <v>342</v>
      </c>
    </row>
    <row r="48" spans="1:5" x14ac:dyDescent="0.2">
      <c r="A48" s="4" t="s">
        <v>249</v>
      </c>
      <c r="B48" s="19" t="s">
        <v>343</v>
      </c>
      <c r="C48" s="8" t="s">
        <v>481</v>
      </c>
      <c r="D48" s="19" t="s">
        <v>314</v>
      </c>
      <c r="E48" s="18" t="s">
        <v>344</v>
      </c>
    </row>
    <row r="49" spans="1:5" x14ac:dyDescent="0.2">
      <c r="A49" s="4" t="s">
        <v>345</v>
      </c>
      <c r="B49" s="19" t="s">
        <v>346</v>
      </c>
      <c r="C49" s="8" t="s">
        <v>347</v>
      </c>
      <c r="D49" s="19" t="s">
        <v>314</v>
      </c>
      <c r="E49" s="18" t="s">
        <v>348</v>
      </c>
    </row>
    <row r="50" spans="1:5" x14ac:dyDescent="0.2">
      <c r="A50" s="4" t="s">
        <v>349</v>
      </c>
      <c r="B50" s="19" t="s">
        <v>350</v>
      </c>
      <c r="C50" s="20">
        <v>1</v>
      </c>
      <c r="D50" s="19" t="s">
        <v>309</v>
      </c>
      <c r="E50" s="18" t="s">
        <v>351</v>
      </c>
    </row>
    <row r="51" spans="1:5" x14ac:dyDescent="0.2">
      <c r="A51" s="4" t="s">
        <v>352</v>
      </c>
      <c r="B51" s="19" t="s">
        <v>353</v>
      </c>
      <c r="C51" s="23">
        <v>5.0000000000000001E-3</v>
      </c>
      <c r="D51" s="19" t="s">
        <v>331</v>
      </c>
      <c r="E51" s="18" t="s">
        <v>274</v>
      </c>
    </row>
    <row r="52" spans="1:5" x14ac:dyDescent="0.2">
      <c r="A52" s="4" t="s">
        <v>354</v>
      </c>
      <c r="B52" s="19" t="s">
        <v>355</v>
      </c>
      <c r="C52" s="24">
        <v>2.5000000000000001E-2</v>
      </c>
      <c r="D52" s="19" t="s">
        <v>331</v>
      </c>
      <c r="E52" s="18" t="s">
        <v>356</v>
      </c>
    </row>
    <row r="53" spans="1:5" x14ac:dyDescent="0.2">
      <c r="A53" s="4" t="s">
        <v>280</v>
      </c>
      <c r="B53" s="19" t="s">
        <v>357</v>
      </c>
      <c r="C53" s="8" t="s">
        <v>456</v>
      </c>
      <c r="D53" s="19" t="s">
        <v>314</v>
      </c>
      <c r="E53" s="18" t="s">
        <v>359</v>
      </c>
    </row>
    <row r="54" spans="1:5" x14ac:dyDescent="0.2">
      <c r="A54" s="4" t="s">
        <v>283</v>
      </c>
      <c r="B54" s="19" t="s">
        <v>358</v>
      </c>
      <c r="C54" s="23">
        <v>0</v>
      </c>
      <c r="D54" s="19" t="s">
        <v>331</v>
      </c>
      <c r="E54" s="18" t="s">
        <v>360</v>
      </c>
    </row>
    <row r="55" spans="1:5" x14ac:dyDescent="0.2">
      <c r="A55" s="4" t="s">
        <v>361</v>
      </c>
      <c r="B55" s="19" t="s">
        <v>362</v>
      </c>
      <c r="C55" s="23">
        <v>0</v>
      </c>
      <c r="D55" s="19" t="s">
        <v>331</v>
      </c>
      <c r="E55" s="18" t="s">
        <v>363</v>
      </c>
    </row>
    <row r="57" spans="1:5" x14ac:dyDescent="0.2">
      <c r="A57" s="16" t="s">
        <v>364</v>
      </c>
    </row>
    <row r="58" spans="1:5" x14ac:dyDescent="0.2">
      <c r="A58" s="17" t="s">
        <v>365</v>
      </c>
      <c r="B58" s="17" t="s">
        <v>366</v>
      </c>
      <c r="C58" s="17" t="s">
        <v>217</v>
      </c>
      <c r="D58" s="17"/>
      <c r="E58" s="17" t="s">
        <v>367</v>
      </c>
    </row>
    <row r="59" spans="1:5" ht="26" x14ac:dyDescent="0.2">
      <c r="A59" s="4" t="s">
        <v>368</v>
      </c>
      <c r="B59" s="18" t="s">
        <v>369</v>
      </c>
      <c r="C59" s="25">
        <f>IF($C$46="market",$C$40,$C$41)</f>
        <v>1</v>
      </c>
      <c r="E59" s="18" t="s">
        <v>370</v>
      </c>
    </row>
    <row r="60" spans="1:5" ht="39" x14ac:dyDescent="0.2">
      <c r="A60" s="4" t="s">
        <v>371</v>
      </c>
      <c r="B60" s="18" t="s">
        <v>372</v>
      </c>
      <c r="C60" s="25">
        <f>IF($C$48="in_per_out",$C$59/(1+$C$44),$C$59*(1-$C$44))</f>
        <v>0.97560975609756106</v>
      </c>
      <c r="E60" s="18" t="s">
        <v>373</v>
      </c>
    </row>
    <row r="61" spans="1:5" ht="28" x14ac:dyDescent="0.2">
      <c r="A61" s="4" t="s">
        <v>374</v>
      </c>
      <c r="B61" s="18" t="s">
        <v>375</v>
      </c>
      <c r="C61" s="26">
        <f>$C$36*$C$60</f>
        <v>84481.951219512208</v>
      </c>
      <c r="E61" s="18" t="s">
        <v>376</v>
      </c>
    </row>
    <row r="62" spans="1:5" x14ac:dyDescent="0.2">
      <c r="A62" s="4" t="s">
        <v>377</v>
      </c>
      <c r="B62" s="18" t="s">
        <v>378</v>
      </c>
      <c r="C62" s="26">
        <f>$C$61*$C$45</f>
        <v>0</v>
      </c>
      <c r="E62" s="18" t="s">
        <v>376</v>
      </c>
    </row>
    <row r="63" spans="1:5" x14ac:dyDescent="0.2">
      <c r="A63" s="4" t="s">
        <v>379</v>
      </c>
      <c r="B63" s="18" t="s">
        <v>380</v>
      </c>
      <c r="C63" s="26">
        <f>$C$61-$C$62</f>
        <v>84481.951219512208</v>
      </c>
      <c r="E63" s="18" t="s">
        <v>381</v>
      </c>
    </row>
    <row r="64" spans="1:5" ht="39" x14ac:dyDescent="0.2">
      <c r="A64" s="4" t="s">
        <v>382</v>
      </c>
      <c r="B64" s="18" t="s">
        <v>383</v>
      </c>
      <c r="C64" s="26">
        <f>IF($C$47="own_desk",$C$36*$C$40,IF($C$47="market_plus_pct",$C$36*$C$40*(1-$C$42),$C$36*$C$41))</f>
        <v>86247.623999999996</v>
      </c>
      <c r="E64" s="18" t="s">
        <v>384</v>
      </c>
    </row>
    <row r="65" spans="1:5" x14ac:dyDescent="0.2">
      <c r="A65" s="4" t="s">
        <v>385</v>
      </c>
      <c r="B65" s="18" t="s">
        <v>386</v>
      </c>
      <c r="C65" s="26">
        <f>$C$36*$C$40-$C$64</f>
        <v>346.37600000000384</v>
      </c>
      <c r="E65" s="18" t="s">
        <v>381</v>
      </c>
    </row>
    <row r="66" spans="1:5" x14ac:dyDescent="0.2">
      <c r="A66" s="4" t="s">
        <v>387</v>
      </c>
      <c r="B66" s="18" t="s">
        <v>388</v>
      </c>
      <c r="C66" s="26">
        <f>$C$64-$C$63</f>
        <v>1765.6727804877883</v>
      </c>
      <c r="E66" s="18" t="s">
        <v>389</v>
      </c>
    </row>
    <row r="67" spans="1:5" x14ac:dyDescent="0.2">
      <c r="A67" s="4" t="s">
        <v>390</v>
      </c>
      <c r="B67" s="18" t="s">
        <v>391</v>
      </c>
      <c r="C67" s="27">
        <f>IF($C$36*$C$40=0,0,$C$66/($C$36*$C$40))</f>
        <v>2.0390243902438831E-2</v>
      </c>
      <c r="E67" s="18" t="s">
        <v>381</v>
      </c>
    </row>
    <row r="68" spans="1:5" ht="26" x14ac:dyDescent="0.2">
      <c r="A68" s="4" t="s">
        <v>392</v>
      </c>
      <c r="B68" s="18" t="s">
        <v>393</v>
      </c>
      <c r="C68" s="7" t="str">
        <f>IF($C$67&lt;$C$51,"YES — Finance approval","no")</f>
        <v>no</v>
      </c>
      <c r="E68" s="18" t="s">
        <v>394</v>
      </c>
    </row>
    <row r="69" spans="1:5" ht="26" x14ac:dyDescent="0.2">
      <c r="A69" s="4" t="s">
        <v>395</v>
      </c>
      <c r="B69" s="18" t="s">
        <v>396</v>
      </c>
      <c r="C69" s="26">
        <f>IF($C$49="round_up_unit",CEILING($C$63,$C$50),IF($C$49="nearest_unit",MROUND($C$63,$C$50),IF($C$49="nearest_n",MROUND($C$63,$C$50),FLOOR($C$63,$C$50))))</f>
        <v>84481</v>
      </c>
      <c r="E69" s="18" t="s">
        <v>397</v>
      </c>
    </row>
    <row r="70" spans="1:5" ht="28" x14ac:dyDescent="0.2">
      <c r="A70" s="4" t="s">
        <v>398</v>
      </c>
      <c r="B70" s="18" t="s">
        <v>399</v>
      </c>
      <c r="C70" s="26">
        <f>$C$63-$C$69</f>
        <v>0.95121951220789924</v>
      </c>
      <c r="E70" s="18" t="s">
        <v>400</v>
      </c>
    </row>
    <row r="71" spans="1:5" ht="26" x14ac:dyDescent="0.2">
      <c r="A71" s="4" t="s">
        <v>401</v>
      </c>
      <c r="B71" s="18" t="s">
        <v>402</v>
      </c>
      <c r="C71" s="25">
        <f>IF($C$52="",$C$59,$C$60/(1-$C$52))</f>
        <v>1.0006253908692935</v>
      </c>
      <c r="E71" s="18" t="s">
        <v>356</v>
      </c>
    </row>
    <row r="72" spans="1:5" x14ac:dyDescent="0.2">
      <c r="A72" s="4" t="s">
        <v>403</v>
      </c>
      <c r="B72" s="18" t="s">
        <v>404</v>
      </c>
      <c r="C72" s="26">
        <f>IF($C$53="rebate",$C$65*$C$54,0)</f>
        <v>0</v>
      </c>
      <c r="E72" s="18" t="s">
        <v>405</v>
      </c>
    </row>
    <row r="73" spans="1:5" x14ac:dyDescent="0.2">
      <c r="A73" s="4" t="s">
        <v>406</v>
      </c>
      <c r="B73" s="18" t="s">
        <v>407</v>
      </c>
      <c r="C73" s="26">
        <f>$C$36*$C$40*$C$55</f>
        <v>0</v>
      </c>
      <c r="E73" s="18" t="s">
        <v>408</v>
      </c>
    </row>
    <row r="74" spans="1:5" ht="28" x14ac:dyDescent="0.2">
      <c r="A74" s="4" t="s">
        <v>409</v>
      </c>
      <c r="B74" s="18" t="s">
        <v>410</v>
      </c>
      <c r="C74" s="26">
        <f>ROUND($C$63+$C$65+$C$66-$C$36*$C$40,6)</f>
        <v>0</v>
      </c>
      <c r="E74" s="18" t="s">
        <v>411</v>
      </c>
    </row>
    <row r="76" spans="1:5" x14ac:dyDescent="0.2">
      <c r="A76" s="16" t="s">
        <v>412</v>
      </c>
    </row>
    <row r="77" spans="1:5" x14ac:dyDescent="0.2">
      <c r="A77" s="17" t="s">
        <v>413</v>
      </c>
      <c r="B77" s="17" t="s">
        <v>414</v>
      </c>
      <c r="C77" s="17" t="s">
        <v>415</v>
      </c>
      <c r="D77" s="17" t="s">
        <v>416</v>
      </c>
      <c r="E77" s="17" t="s">
        <v>417</v>
      </c>
    </row>
    <row r="78" spans="1:5" x14ac:dyDescent="0.2">
      <c r="A78" s="7" t="str">
        <f>"CL."&amp;$C$39&amp;"."&amp;$C$37&amp;".COLLECTED"</f>
        <v>CL.ALI.USDT.COLLECTED</v>
      </c>
      <c r="B78" s="7" t="s">
        <v>418</v>
      </c>
      <c r="C78" s="26">
        <f>$C$36</f>
        <v>86594</v>
      </c>
      <c r="D78" s="19" t="s">
        <v>419</v>
      </c>
      <c r="E78" s="19" t="s">
        <v>420</v>
      </c>
    </row>
    <row r="79" spans="1:5" x14ac:dyDescent="0.2">
      <c r="A79" s="7" t="str">
        <f>"CL.PROJECT."&amp;$C$37&amp;".PAYABLE"</f>
        <v>CL.PROJECT.USDT.PAYABLE</v>
      </c>
      <c r="B79" s="7" t="s">
        <v>421</v>
      </c>
      <c r="C79" s="26">
        <f>$C$36</f>
        <v>86594</v>
      </c>
      <c r="D79" s="19" t="s">
        <v>419</v>
      </c>
      <c r="E79" s="19" t="s">
        <v>420</v>
      </c>
    </row>
    <row r="80" spans="1:5" x14ac:dyDescent="0.2">
      <c r="A80" s="7" t="str">
        <f>"CL.PROJECT."&amp;$C$37&amp;".PAYABLE"</f>
        <v>CL.PROJECT.USDT.PAYABLE</v>
      </c>
      <c r="B80" s="7" t="s">
        <v>418</v>
      </c>
      <c r="C80" s="26">
        <f>$C$36</f>
        <v>86594</v>
      </c>
      <c r="D80" s="19" t="s">
        <v>419</v>
      </c>
      <c r="E80" s="19" t="s">
        <v>422</v>
      </c>
    </row>
    <row r="81" spans="1:5" x14ac:dyDescent="0.2">
      <c r="A81" s="7" t="str">
        <f>"CL."&amp;$C$39&amp;"."&amp;$C$37&amp;".COLLECTED"</f>
        <v>CL.ALI.USDT.COLLECTED</v>
      </c>
      <c r="B81" s="7" t="s">
        <v>421</v>
      </c>
      <c r="C81" s="26">
        <f>$C$36</f>
        <v>86594</v>
      </c>
      <c r="D81" s="19" t="s">
        <v>419</v>
      </c>
      <c r="E81" s="19" t="s">
        <v>422</v>
      </c>
    </row>
    <row r="82" spans="1:5" x14ac:dyDescent="0.2">
      <c r="A82" s="7" t="str">
        <f>"CL."&amp;$C$39&amp;"."&amp;$C$38&amp;".DUE"</f>
        <v>CL.ALI.USD.DUE</v>
      </c>
      <c r="B82" s="7" t="s">
        <v>418</v>
      </c>
      <c r="C82" s="26">
        <f>$C$63</f>
        <v>84481.951219512208</v>
      </c>
      <c r="D82" s="19" t="s">
        <v>423</v>
      </c>
      <c r="E82" s="19" t="s">
        <v>424</v>
      </c>
    </row>
    <row r="83" spans="1:5" x14ac:dyDescent="0.2">
      <c r="A83" s="7" t="str">
        <f>"CO."&amp;$C$39&amp;"."&amp;$C$38&amp;".POOL"</f>
        <v>CO.ALI.USD.POOL</v>
      </c>
      <c r="B83" s="7" t="s">
        <v>418</v>
      </c>
      <c r="C83" s="26">
        <f>IF($C$53="rebate",0,$C$66)</f>
        <v>1765.6727804877883</v>
      </c>
      <c r="D83" s="19" t="s">
        <v>425</v>
      </c>
      <c r="E83" s="19" t="s">
        <v>426</v>
      </c>
    </row>
    <row r="84" spans="1:5" x14ac:dyDescent="0.2">
      <c r="A84" s="7" t="str">
        <f>"CO."&amp;$C$39&amp;"."&amp;$C$38&amp;".REBATE_RECEIVABLE"</f>
        <v>CO.ALI.USD.REBATE_RECEIVABLE</v>
      </c>
      <c r="B84" s="7" t="s">
        <v>418</v>
      </c>
      <c r="C84" s="26">
        <f>$C$72</f>
        <v>0</v>
      </c>
      <c r="D84" s="19" t="s">
        <v>425</v>
      </c>
      <c r="E84" s="19" t="s">
        <v>427</v>
      </c>
    </row>
    <row r="85" spans="1:5" x14ac:dyDescent="0.2">
      <c r="A85" s="7" t="str">
        <f>"CL.PROJECT."&amp;$C$38&amp;".PAYABLE"</f>
        <v>CL.PROJECT.USD.PAYABLE</v>
      </c>
      <c r="B85" s="7" t="s">
        <v>421</v>
      </c>
      <c r="C85" s="26">
        <f>$C$63</f>
        <v>84481.951219512208</v>
      </c>
      <c r="D85" s="19" t="s">
        <v>419</v>
      </c>
      <c r="E85" s="19" t="s">
        <v>424</v>
      </c>
    </row>
    <row r="86" spans="1:5" x14ac:dyDescent="0.2">
      <c r="A86" s="7" t="str">
        <f>"CO.NONE."&amp;$C$38&amp;".EARN_GROSS"</f>
        <v>CO.NONE.USD.EARN_GROSS</v>
      </c>
      <c r="B86" s="7" t="s">
        <v>421</v>
      </c>
      <c r="C86" s="26">
        <f>$C$66+$C$72</f>
        <v>1765.6727804877883</v>
      </c>
      <c r="D86" s="19" t="s">
        <v>425</v>
      </c>
      <c r="E86" s="19" t="s">
        <v>428</v>
      </c>
    </row>
    <row r="87" spans="1:5" x14ac:dyDescent="0.2">
      <c r="A87" s="7" t="str">
        <f>"CL."&amp;$C$39&amp;"."&amp;$C$38&amp;".INTRANSIT"</f>
        <v>CL.ALI.USD.INTRANSIT</v>
      </c>
      <c r="B87" s="7" t="s">
        <v>418</v>
      </c>
      <c r="C87" s="26">
        <f>$C$69</f>
        <v>84481</v>
      </c>
      <c r="D87" s="19" t="s">
        <v>419</v>
      </c>
      <c r="E87" s="19" t="s">
        <v>429</v>
      </c>
    </row>
    <row r="88" spans="1:5" x14ac:dyDescent="0.2">
      <c r="A88" s="7" t="str">
        <f>"CL."&amp;$C$39&amp;"."&amp;$C$38&amp;".DUE"</f>
        <v>CL.ALI.USD.DUE</v>
      </c>
      <c r="B88" s="7" t="s">
        <v>421</v>
      </c>
      <c r="C88" s="26">
        <f>$C$69</f>
        <v>84481</v>
      </c>
      <c r="D88" s="19" t="s">
        <v>419</v>
      </c>
      <c r="E88" s="19" t="s">
        <v>430</v>
      </c>
    </row>
    <row r="89" spans="1:5" x14ac:dyDescent="0.2">
      <c r="A89" s="7" t="str">
        <f>"CL.PROJECT."&amp;$C$38&amp;".PAYABLE"</f>
        <v>CL.PROJECT.USD.PAYABLE</v>
      </c>
      <c r="B89" s="7" t="s">
        <v>418</v>
      </c>
      <c r="C89" s="26">
        <f>$C$69</f>
        <v>84481</v>
      </c>
      <c r="D89" s="19" t="s">
        <v>419</v>
      </c>
      <c r="E89" s="19" t="s">
        <v>431</v>
      </c>
    </row>
    <row r="90" spans="1:5" x14ac:dyDescent="0.2">
      <c r="A90" s="7" t="str">
        <f>"CL."&amp;$C$39&amp;"."&amp;$C$38&amp;".INTRANSIT"</f>
        <v>CL.ALI.USD.INTRANSIT</v>
      </c>
      <c r="B90" s="7" t="s">
        <v>421</v>
      </c>
      <c r="C90" s="26">
        <f>$C$69</f>
        <v>84481</v>
      </c>
      <c r="D90" s="19" t="s">
        <v>419</v>
      </c>
      <c r="E90" s="19" t="s">
        <v>431</v>
      </c>
    </row>
    <row r="91" spans="1:5" x14ac:dyDescent="0.2">
      <c r="A91" s="7" t="str">
        <f>"CO.NONE."&amp;$C$38&amp;".EARN_GROSS"</f>
        <v>CO.NONE.USD.EARN_GROSS</v>
      </c>
      <c r="B91" s="7" t="s">
        <v>418</v>
      </c>
      <c r="C91" s="26">
        <f>$C$73</f>
        <v>0</v>
      </c>
      <c r="D91" s="19" t="s">
        <v>432</v>
      </c>
      <c r="E91" s="19" t="s">
        <v>433</v>
      </c>
    </row>
    <row r="92" spans="1:5" x14ac:dyDescent="0.2">
      <c r="A92" s="7" t="str">
        <f>"CO.INTRODUCER."&amp;$C$38&amp;".REFERRAL_PAYABLE"</f>
        <v>CO.INTRODUCER.USD.REFERRAL_PAYABLE</v>
      </c>
      <c r="B92" s="7" t="s">
        <v>421</v>
      </c>
      <c r="C92" s="26">
        <f>$C$73</f>
        <v>0</v>
      </c>
      <c r="D92" s="19" t="s">
        <v>432</v>
      </c>
      <c r="E92" s="19" t="s">
        <v>434</v>
      </c>
    </row>
    <row r="93" spans="1:5" ht="30" customHeight="1" x14ac:dyDescent="0.2">
      <c r="A93" s="28" t="s">
        <v>435</v>
      </c>
      <c r="C93" s="29">
        <f>ROUND(SUMIF($B$82:$B$92,"Dr",$C$82:$C$92)-SUMIF($B$82:$B$92,"Cr",$C$82:$C$92),6)</f>
        <v>0</v>
      </c>
      <c r="E93" s="18" t="s">
        <v>436</v>
      </c>
    </row>
    <row r="95" spans="1:5" x14ac:dyDescent="0.2">
      <c r="A95" s="16" t="s">
        <v>437</v>
      </c>
    </row>
    <row r="96" spans="1:5" x14ac:dyDescent="0.2">
      <c r="A96" s="17" t="s">
        <v>438</v>
      </c>
      <c r="B96" s="17" t="s">
        <v>439</v>
      </c>
      <c r="C96" s="17" t="s">
        <v>440</v>
      </c>
      <c r="D96" s="17" t="s">
        <v>441</v>
      </c>
      <c r="E96" s="17" t="s">
        <v>442</v>
      </c>
    </row>
    <row r="97" spans="1:6" ht="30" customHeight="1" x14ac:dyDescent="0.2">
      <c r="A97" s="4" t="s">
        <v>495</v>
      </c>
      <c r="B97" s="20">
        <v>84482</v>
      </c>
      <c r="C97" s="26">
        <f>$C$61</f>
        <v>84481.951219512208</v>
      </c>
      <c r="D97" s="29">
        <f>ROUND(C97-B97,2)</f>
        <v>-0.05</v>
      </c>
      <c r="E97" s="18" t="s">
        <v>496</v>
      </c>
    </row>
    <row r="99" spans="1:6" x14ac:dyDescent="0.2">
      <c r="A99" s="16" t="s">
        <v>497</v>
      </c>
    </row>
    <row r="100" spans="1:6" x14ac:dyDescent="0.2">
      <c r="A100" s="17" t="s">
        <v>498</v>
      </c>
      <c r="B100" s="17" t="s">
        <v>499</v>
      </c>
      <c r="C100" s="17"/>
      <c r="D100" s="17"/>
      <c r="E100" s="17" t="s">
        <v>500</v>
      </c>
    </row>
    <row r="101" spans="1:6" x14ac:dyDescent="0.2">
      <c r="A101" s="20">
        <v>0</v>
      </c>
      <c r="B101" s="23">
        <v>2.5000000000000001E-2</v>
      </c>
      <c r="E101" s="19" t="s">
        <v>501</v>
      </c>
    </row>
    <row r="102" spans="1:6" x14ac:dyDescent="0.2">
      <c r="A102" s="20">
        <v>500000</v>
      </c>
      <c r="B102" s="23">
        <v>2.2499999999999999E-2</v>
      </c>
      <c r="E102" s="19" t="s">
        <v>502</v>
      </c>
    </row>
    <row r="103" spans="1:6" ht="28" x14ac:dyDescent="0.2">
      <c r="A103" s="4" t="s">
        <v>503</v>
      </c>
      <c r="B103" s="30">
        <v>163124</v>
      </c>
      <c r="E103" s="18" t="s">
        <v>504</v>
      </c>
      <c r="F103" s="41" t="s">
        <v>663</v>
      </c>
    </row>
    <row r="104" spans="1:6" ht="30" customHeight="1" x14ac:dyDescent="0.2">
      <c r="A104" s="5" t="s">
        <v>505</v>
      </c>
      <c r="B104" s="31">
        <f>IF($B$103="",B101,INDEX(B101:B102,MATCH($B$103,A101:A102,1)))</f>
        <v>2.5000000000000001E-2</v>
      </c>
      <c r="E104" s="18" t="s">
        <v>506</v>
      </c>
    </row>
    <row r="106" spans="1:6" x14ac:dyDescent="0.2">
      <c r="A106" s="16" t="s">
        <v>445</v>
      </c>
    </row>
    <row r="107" spans="1:6" ht="31.5" customHeight="1" x14ac:dyDescent="0.2">
      <c r="A107" s="14" t="s">
        <v>446</v>
      </c>
      <c r="B107" s="1" t="s">
        <v>507</v>
      </c>
      <c r="C107" s="1"/>
      <c r="D107" s="1"/>
      <c r="E107" s="1"/>
    </row>
    <row r="108" spans="1:6" ht="31.5" customHeight="1" x14ac:dyDescent="0.2">
      <c r="A108" s="14" t="s">
        <v>446</v>
      </c>
      <c r="B108" s="1" t="s">
        <v>508</v>
      </c>
      <c r="C108" s="1"/>
      <c r="D108" s="1"/>
      <c r="E108" s="1"/>
    </row>
    <row r="109" spans="1:6" ht="31.5" customHeight="1" x14ac:dyDescent="0.2">
      <c r="A109" s="14" t="s">
        <v>446</v>
      </c>
      <c r="B109" s="1" t="s">
        <v>509</v>
      </c>
      <c r="C109" s="1"/>
      <c r="D109" s="1"/>
      <c r="E109" s="1"/>
    </row>
  </sheetData>
  <mergeCells count="3">
    <mergeCell ref="B107:E107"/>
    <mergeCell ref="B108:E108"/>
    <mergeCell ref="B109:E109"/>
  </mergeCells>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8"/>
  <sheetViews>
    <sheetView topLeftCell="A89" zoomScaleNormal="100" workbookViewId="0">
      <selection activeCell="B102" sqref="B102:E102"/>
    </sheetView>
  </sheetViews>
  <sheetFormatPr baseColWidth="10" defaultColWidth="8.6640625" defaultRowHeight="15" x14ac:dyDescent="0.2"/>
  <cols>
    <col min="1" max="2" width="34" customWidth="1"/>
    <col min="3" max="3" width="22" customWidth="1"/>
    <col min="4" max="4" width="18" customWidth="1"/>
    <col min="5" max="5" width="48" customWidth="1"/>
  </cols>
  <sheetData>
    <row r="1" spans="1:5" ht="17" x14ac:dyDescent="0.2">
      <c r="A1" s="2" t="s">
        <v>510</v>
      </c>
    </row>
    <row r="2" spans="1:5" x14ac:dyDescent="0.2">
      <c r="A2" s="13" t="s">
        <v>210</v>
      </c>
      <c r="B2" s="14" t="s">
        <v>511</v>
      </c>
    </row>
    <row r="3" spans="1:5" ht="30" customHeight="1" x14ac:dyDescent="0.2">
      <c r="A3" s="13" t="s">
        <v>212</v>
      </c>
      <c r="B3" s="15" t="s">
        <v>512</v>
      </c>
    </row>
    <row r="5" spans="1:5" x14ac:dyDescent="0.2">
      <c r="A5" s="16" t="s">
        <v>214</v>
      </c>
    </row>
    <row r="6" spans="1:5" x14ac:dyDescent="0.2">
      <c r="A6" s="17" t="s">
        <v>215</v>
      </c>
      <c r="B6" s="17" t="s">
        <v>216</v>
      </c>
      <c r="C6" s="17" t="s">
        <v>217</v>
      </c>
      <c r="D6" s="17" t="s">
        <v>218</v>
      </c>
      <c r="E6" s="17" t="s">
        <v>219</v>
      </c>
    </row>
    <row r="7" spans="1:5" ht="30" customHeight="1" x14ac:dyDescent="0.2">
      <c r="A7" s="4" t="s">
        <v>220</v>
      </c>
      <c r="B7" s="4" t="s">
        <v>221</v>
      </c>
      <c r="C7" s="10" t="s">
        <v>513</v>
      </c>
      <c r="D7" s="4" t="s">
        <v>222</v>
      </c>
      <c r="E7" s="18" t="s">
        <v>223</v>
      </c>
    </row>
    <row r="8" spans="1:5" ht="30" customHeight="1" x14ac:dyDescent="0.2">
      <c r="A8" s="4" t="s">
        <v>224</v>
      </c>
      <c r="B8" s="4" t="s">
        <v>225</v>
      </c>
      <c r="C8" s="32" t="s">
        <v>664</v>
      </c>
      <c r="D8" s="4" t="s">
        <v>226</v>
      </c>
      <c r="E8" s="18" t="s">
        <v>227</v>
      </c>
    </row>
    <row r="9" spans="1:5" ht="30" customHeight="1" x14ac:dyDescent="0.2">
      <c r="A9" s="4" t="s">
        <v>228</v>
      </c>
      <c r="B9" s="4" t="s">
        <v>229</v>
      </c>
      <c r="C9" s="32" t="s">
        <v>618</v>
      </c>
      <c r="D9" s="4" t="s">
        <v>226</v>
      </c>
      <c r="E9" s="18" t="s">
        <v>230</v>
      </c>
    </row>
    <row r="10" spans="1:5" ht="30" customHeight="1" x14ac:dyDescent="0.2">
      <c r="A10" s="4" t="s">
        <v>231</v>
      </c>
      <c r="B10" s="4" t="s">
        <v>232</v>
      </c>
      <c r="C10" s="32" t="s">
        <v>665</v>
      </c>
      <c r="D10" s="4" t="s">
        <v>226</v>
      </c>
      <c r="E10" s="18" t="s">
        <v>233</v>
      </c>
    </row>
    <row r="11" spans="1:5" ht="15.75" customHeight="1" x14ac:dyDescent="0.2">
      <c r="A11" s="4" t="s">
        <v>234</v>
      </c>
      <c r="B11" s="4" t="s">
        <v>235</v>
      </c>
      <c r="C11" s="10" t="s">
        <v>236</v>
      </c>
      <c r="D11" s="4" t="s">
        <v>222</v>
      </c>
      <c r="E11" s="18" t="s">
        <v>237</v>
      </c>
    </row>
    <row r="12" spans="1:5" ht="30" customHeight="1" x14ac:dyDescent="0.2">
      <c r="A12" s="4" t="s">
        <v>238</v>
      </c>
      <c r="B12" s="4" t="s">
        <v>239</v>
      </c>
      <c r="C12" s="10" t="s">
        <v>666</v>
      </c>
      <c r="D12" s="4" t="s">
        <v>222</v>
      </c>
      <c r="E12" s="18" t="s">
        <v>240</v>
      </c>
    </row>
    <row r="13" spans="1:5" ht="15.75" customHeight="1" x14ac:dyDescent="0.2">
      <c r="A13" s="4" t="s">
        <v>241</v>
      </c>
      <c r="B13" s="4" t="s">
        <v>242</v>
      </c>
      <c r="C13" s="10" t="s">
        <v>91</v>
      </c>
      <c r="D13" s="4" t="s">
        <v>222</v>
      </c>
      <c r="E13" s="18"/>
    </row>
    <row r="14" spans="1:5" ht="30" customHeight="1" x14ac:dyDescent="0.2">
      <c r="A14" s="4" t="s">
        <v>243</v>
      </c>
      <c r="B14" s="4" t="s">
        <v>244</v>
      </c>
      <c r="C14" s="10" t="s">
        <v>84</v>
      </c>
      <c r="D14" s="4" t="s">
        <v>222</v>
      </c>
      <c r="E14" s="18" t="s">
        <v>245</v>
      </c>
    </row>
    <row r="15" spans="1:5" ht="15.75" customHeight="1" x14ac:dyDescent="0.2">
      <c r="A15" s="4" t="s">
        <v>246</v>
      </c>
      <c r="B15" s="4" t="s">
        <v>247</v>
      </c>
      <c r="C15" s="10" t="s">
        <v>85</v>
      </c>
      <c r="D15" s="4" t="s">
        <v>222</v>
      </c>
      <c r="E15" s="18" t="s">
        <v>248</v>
      </c>
    </row>
    <row r="16" spans="1:5" ht="30" customHeight="1" x14ac:dyDescent="0.2">
      <c r="A16" s="4" t="s">
        <v>249</v>
      </c>
      <c r="B16" s="4" t="s">
        <v>250</v>
      </c>
      <c r="C16" s="10" t="s">
        <v>251</v>
      </c>
      <c r="D16" s="4" t="s">
        <v>222</v>
      </c>
      <c r="E16" s="18" t="s">
        <v>252</v>
      </c>
    </row>
    <row r="17" spans="1:5" ht="30" customHeight="1" x14ac:dyDescent="0.2">
      <c r="A17" s="4" t="s">
        <v>253</v>
      </c>
      <c r="B17" s="4" t="s">
        <v>254</v>
      </c>
      <c r="C17" s="10" t="s">
        <v>255</v>
      </c>
      <c r="D17" s="4" t="s">
        <v>222</v>
      </c>
      <c r="E17" s="18" t="s">
        <v>256</v>
      </c>
    </row>
    <row r="18" spans="1:5" ht="15.75" customHeight="1" x14ac:dyDescent="0.2">
      <c r="A18" s="4" t="s">
        <v>257</v>
      </c>
      <c r="B18" s="4" t="s">
        <v>258</v>
      </c>
      <c r="C18" s="10" t="s">
        <v>86</v>
      </c>
      <c r="D18" s="4" t="s">
        <v>222</v>
      </c>
      <c r="E18" s="18" t="s">
        <v>259</v>
      </c>
    </row>
    <row r="19" spans="1:5" ht="15.75" customHeight="1" x14ac:dyDescent="0.2">
      <c r="A19" s="4" t="s">
        <v>260</v>
      </c>
      <c r="B19" s="4" t="s">
        <v>261</v>
      </c>
      <c r="C19" s="12">
        <v>0.04</v>
      </c>
      <c r="D19" s="4" t="s">
        <v>222</v>
      </c>
      <c r="E19" s="18" t="s">
        <v>262</v>
      </c>
    </row>
    <row r="20" spans="1:5" ht="15.75" customHeight="1" x14ac:dyDescent="0.2">
      <c r="A20" s="4" t="s">
        <v>263</v>
      </c>
      <c r="B20" s="4" t="s">
        <v>264</v>
      </c>
      <c r="C20" s="12">
        <v>0.04</v>
      </c>
      <c r="D20" s="4" t="s">
        <v>222</v>
      </c>
      <c r="E20" s="18"/>
    </row>
    <row r="21" spans="1:5" ht="30" customHeight="1" x14ac:dyDescent="0.2">
      <c r="A21" s="4" t="s">
        <v>265</v>
      </c>
      <c r="B21" s="4" t="s">
        <v>266</v>
      </c>
      <c r="C21" s="12">
        <v>0</v>
      </c>
      <c r="D21" s="4" t="s">
        <v>222</v>
      </c>
      <c r="E21" s="18" t="s">
        <v>267</v>
      </c>
    </row>
    <row r="22" spans="1:5" ht="15.75" customHeight="1" x14ac:dyDescent="0.2">
      <c r="A22" s="4" t="s">
        <v>268</v>
      </c>
      <c r="B22" s="4" t="s">
        <v>269</v>
      </c>
      <c r="C22" s="32" t="s">
        <v>630</v>
      </c>
      <c r="D22" s="4" t="s">
        <v>226</v>
      </c>
      <c r="E22" s="18" t="s">
        <v>270</v>
      </c>
    </row>
    <row r="23" spans="1:5" ht="15.75" customHeight="1" x14ac:dyDescent="0.2">
      <c r="A23" s="4" t="s">
        <v>271</v>
      </c>
      <c r="B23" s="4" t="s">
        <v>272</v>
      </c>
      <c r="C23" s="32" t="s">
        <v>630</v>
      </c>
      <c r="D23" s="4" t="s">
        <v>226</v>
      </c>
      <c r="E23" s="18" t="s">
        <v>270</v>
      </c>
    </row>
    <row r="24" spans="1:5" ht="15.75" customHeight="1" x14ac:dyDescent="0.2">
      <c r="A24" s="4" t="s">
        <v>273</v>
      </c>
      <c r="B24" s="4" t="s">
        <v>274</v>
      </c>
      <c r="C24" s="11"/>
      <c r="D24" s="4" t="s">
        <v>226</v>
      </c>
      <c r="E24" s="18" t="s">
        <v>275</v>
      </c>
    </row>
    <row r="25" spans="1:5" ht="30" customHeight="1" x14ac:dyDescent="0.2">
      <c r="A25" s="4" t="s">
        <v>276</v>
      </c>
      <c r="B25" s="4" t="s">
        <v>277</v>
      </c>
      <c r="C25" s="32" t="s">
        <v>667</v>
      </c>
      <c r="D25" s="4" t="s">
        <v>278</v>
      </c>
      <c r="E25" s="18" t="s">
        <v>279</v>
      </c>
    </row>
    <row r="26" spans="1:5" ht="15.75" customHeight="1" x14ac:dyDescent="0.2">
      <c r="A26" s="4" t="s">
        <v>280</v>
      </c>
      <c r="B26" s="4" t="s">
        <v>281</v>
      </c>
      <c r="C26" s="10" t="s">
        <v>668</v>
      </c>
      <c r="D26" s="4" t="s">
        <v>80</v>
      </c>
      <c r="E26" s="18" t="s">
        <v>282</v>
      </c>
    </row>
    <row r="27" spans="1:5" ht="15.75" customHeight="1" x14ac:dyDescent="0.2">
      <c r="A27" s="4" t="s">
        <v>283</v>
      </c>
      <c r="B27" s="4" t="s">
        <v>284</v>
      </c>
      <c r="C27" s="32" t="s">
        <v>670</v>
      </c>
      <c r="D27" s="4" t="s">
        <v>278</v>
      </c>
      <c r="E27" s="18" t="s">
        <v>286</v>
      </c>
    </row>
    <row r="28" spans="1:5" ht="15.75" customHeight="1" x14ac:dyDescent="0.2">
      <c r="A28" s="4" t="s">
        <v>287</v>
      </c>
      <c r="B28" s="4" t="s">
        <v>288</v>
      </c>
      <c r="C28" s="10" t="s">
        <v>514</v>
      </c>
      <c r="D28" s="4" t="s">
        <v>222</v>
      </c>
      <c r="E28" s="18" t="s">
        <v>289</v>
      </c>
    </row>
    <row r="29" spans="1:5" ht="30" customHeight="1" x14ac:dyDescent="0.2">
      <c r="A29" s="4" t="s">
        <v>290</v>
      </c>
      <c r="B29" s="4" t="s">
        <v>291</v>
      </c>
      <c r="C29" s="10" t="s">
        <v>292</v>
      </c>
      <c r="D29" s="4" t="s">
        <v>222</v>
      </c>
      <c r="E29" s="18" t="s">
        <v>293</v>
      </c>
    </row>
    <row r="30" spans="1:5" ht="15.75" customHeight="1" x14ac:dyDescent="0.2">
      <c r="A30" s="4" t="s">
        <v>294</v>
      </c>
      <c r="B30" s="4" t="s">
        <v>295</v>
      </c>
      <c r="C30" s="32" t="s">
        <v>91</v>
      </c>
      <c r="D30" s="4" t="s">
        <v>226</v>
      </c>
      <c r="E30" s="18"/>
    </row>
    <row r="31" spans="1:5" ht="15.75" customHeight="1" x14ac:dyDescent="0.2">
      <c r="A31" s="4" t="s">
        <v>296</v>
      </c>
      <c r="B31" s="4" t="s">
        <v>297</v>
      </c>
      <c r="C31" s="32" t="s">
        <v>669</v>
      </c>
      <c r="D31" s="4" t="s">
        <v>226</v>
      </c>
      <c r="E31" s="18" t="s">
        <v>298</v>
      </c>
    </row>
    <row r="32" spans="1:5" ht="30" customHeight="1" x14ac:dyDescent="0.2">
      <c r="A32" s="4" t="s">
        <v>299</v>
      </c>
      <c r="B32" s="4" t="s">
        <v>300</v>
      </c>
      <c r="C32" s="32" t="s">
        <v>654</v>
      </c>
      <c r="D32" s="4" t="s">
        <v>226</v>
      </c>
      <c r="E32" s="18" t="s">
        <v>301</v>
      </c>
    </row>
    <row r="34" spans="1:5" x14ac:dyDescent="0.2">
      <c r="A34" s="16" t="s">
        <v>302</v>
      </c>
    </row>
    <row r="35" spans="1:5" x14ac:dyDescent="0.2">
      <c r="A35" s="17" t="s">
        <v>303</v>
      </c>
      <c r="B35" s="17" t="s">
        <v>304</v>
      </c>
      <c r="C35" s="17" t="s">
        <v>217</v>
      </c>
      <c r="D35" s="17" t="s">
        <v>305</v>
      </c>
      <c r="E35" s="17" t="s">
        <v>306</v>
      </c>
    </row>
    <row r="36" spans="1:5" x14ac:dyDescent="0.2">
      <c r="A36" s="4" t="s">
        <v>307</v>
      </c>
      <c r="B36" s="19" t="s">
        <v>308</v>
      </c>
      <c r="C36" s="20">
        <v>50000</v>
      </c>
      <c r="D36" s="19" t="s">
        <v>309</v>
      </c>
      <c r="E36" s="18" t="s">
        <v>310</v>
      </c>
    </row>
    <row r="37" spans="1:5" x14ac:dyDescent="0.2">
      <c r="A37" s="4" t="s">
        <v>311</v>
      </c>
      <c r="B37" s="19" t="s">
        <v>312</v>
      </c>
      <c r="C37" s="8" t="s">
        <v>313</v>
      </c>
      <c r="D37" s="19" t="s">
        <v>314</v>
      </c>
      <c r="E37" s="18"/>
    </row>
    <row r="38" spans="1:5" x14ac:dyDescent="0.2">
      <c r="A38" s="4" t="s">
        <v>315</v>
      </c>
      <c r="B38" s="19" t="s">
        <v>316</v>
      </c>
      <c r="C38" s="8" t="s">
        <v>317</v>
      </c>
      <c r="D38" s="19" t="s">
        <v>314</v>
      </c>
      <c r="E38" s="18"/>
    </row>
    <row r="39" spans="1:5" x14ac:dyDescent="0.2">
      <c r="A39" s="4" t="s">
        <v>318</v>
      </c>
      <c r="B39" s="19" t="s">
        <v>319</v>
      </c>
      <c r="C39" s="8" t="s">
        <v>515</v>
      </c>
      <c r="D39" s="19" t="s">
        <v>314</v>
      </c>
      <c r="E39" s="18" t="s">
        <v>321</v>
      </c>
    </row>
    <row r="40" spans="1:5" x14ac:dyDescent="0.2">
      <c r="A40" s="4" t="s">
        <v>322</v>
      </c>
      <c r="B40" s="19" t="s">
        <v>323</v>
      </c>
      <c r="C40" s="21">
        <v>0.86500359999999998</v>
      </c>
      <c r="D40" s="19" t="s">
        <v>324</v>
      </c>
      <c r="E40" s="18" t="s">
        <v>325</v>
      </c>
    </row>
    <row r="41" spans="1:5" ht="26" x14ac:dyDescent="0.2">
      <c r="A41" s="4" t="s">
        <v>326</v>
      </c>
      <c r="B41" s="19" t="s">
        <v>327</v>
      </c>
      <c r="C41" s="22">
        <v>0.85608600000000001</v>
      </c>
      <c r="D41" s="19" t="s">
        <v>324</v>
      </c>
      <c r="E41" s="18" t="s">
        <v>328</v>
      </c>
    </row>
    <row r="42" spans="1:5" ht="26" x14ac:dyDescent="0.2">
      <c r="A42" s="4" t="s">
        <v>329</v>
      </c>
      <c r="B42" s="19" t="s">
        <v>330</v>
      </c>
      <c r="C42" s="23">
        <v>8.0000000000000002E-3</v>
      </c>
      <c r="D42" s="19" t="s">
        <v>331</v>
      </c>
      <c r="E42" s="18" t="s">
        <v>332</v>
      </c>
    </row>
    <row r="43" spans="1:5" x14ac:dyDescent="0.2">
      <c r="A43" s="4" t="s">
        <v>333</v>
      </c>
      <c r="B43" s="19" t="s">
        <v>334</v>
      </c>
      <c r="C43" s="23">
        <v>0.04</v>
      </c>
      <c r="D43" s="19" t="s">
        <v>331</v>
      </c>
      <c r="E43" s="18" t="s">
        <v>261</v>
      </c>
    </row>
    <row r="44" spans="1:5" x14ac:dyDescent="0.2">
      <c r="A44" s="4" t="s">
        <v>335</v>
      </c>
      <c r="B44" s="19" t="s">
        <v>336</v>
      </c>
      <c r="C44" s="23">
        <v>0.04</v>
      </c>
      <c r="D44" s="19" t="s">
        <v>331</v>
      </c>
      <c r="E44" s="18" t="s">
        <v>264</v>
      </c>
    </row>
    <row r="45" spans="1:5" x14ac:dyDescent="0.2">
      <c r="A45" s="4" t="s">
        <v>337</v>
      </c>
      <c r="B45" s="19" t="s">
        <v>338</v>
      </c>
      <c r="C45" s="23">
        <v>0</v>
      </c>
      <c r="D45" s="19" t="s">
        <v>331</v>
      </c>
      <c r="E45" s="18" t="s">
        <v>266</v>
      </c>
    </row>
    <row r="46" spans="1:5" x14ac:dyDescent="0.2">
      <c r="A46" s="4" t="s">
        <v>253</v>
      </c>
      <c r="B46" s="19" t="s">
        <v>339</v>
      </c>
      <c r="C46" s="8" t="s">
        <v>255</v>
      </c>
      <c r="D46" s="19" t="s">
        <v>314</v>
      </c>
      <c r="E46" s="18" t="s">
        <v>340</v>
      </c>
    </row>
    <row r="47" spans="1:5" x14ac:dyDescent="0.2">
      <c r="A47" s="4" t="s">
        <v>243</v>
      </c>
      <c r="B47" s="19" t="s">
        <v>341</v>
      </c>
      <c r="C47" s="8" t="s">
        <v>84</v>
      </c>
      <c r="D47" s="19" t="s">
        <v>314</v>
      </c>
      <c r="E47" s="18" t="s">
        <v>342</v>
      </c>
    </row>
    <row r="48" spans="1:5" x14ac:dyDescent="0.2">
      <c r="A48" s="4" t="s">
        <v>249</v>
      </c>
      <c r="B48" s="19" t="s">
        <v>343</v>
      </c>
      <c r="C48" s="8" t="s">
        <v>251</v>
      </c>
      <c r="D48" s="19" t="s">
        <v>314</v>
      </c>
      <c r="E48" s="18" t="s">
        <v>344</v>
      </c>
    </row>
    <row r="49" spans="1:5" x14ac:dyDescent="0.2">
      <c r="A49" s="4" t="s">
        <v>345</v>
      </c>
      <c r="B49" s="19" t="s">
        <v>346</v>
      </c>
      <c r="C49" s="8" t="s">
        <v>347</v>
      </c>
      <c r="D49" s="19" t="s">
        <v>314</v>
      </c>
      <c r="E49" s="18" t="s">
        <v>348</v>
      </c>
    </row>
    <row r="50" spans="1:5" x14ac:dyDescent="0.2">
      <c r="A50" s="4" t="s">
        <v>349</v>
      </c>
      <c r="B50" s="19" t="s">
        <v>350</v>
      </c>
      <c r="C50" s="20">
        <v>1</v>
      </c>
      <c r="D50" s="19" t="s">
        <v>309</v>
      </c>
      <c r="E50" s="18" t="s">
        <v>351</v>
      </c>
    </row>
    <row r="51" spans="1:5" x14ac:dyDescent="0.2">
      <c r="A51" s="4" t="s">
        <v>352</v>
      </c>
      <c r="B51" s="19" t="s">
        <v>353</v>
      </c>
      <c r="C51" s="23">
        <v>5.0000000000000001E-3</v>
      </c>
      <c r="D51" s="19" t="s">
        <v>331</v>
      </c>
      <c r="E51" s="18" t="s">
        <v>274</v>
      </c>
    </row>
    <row r="52" spans="1:5" x14ac:dyDescent="0.2">
      <c r="A52" s="4" t="s">
        <v>354</v>
      </c>
      <c r="B52" s="19" t="s">
        <v>355</v>
      </c>
      <c r="C52" s="24"/>
      <c r="D52" s="19" t="s">
        <v>331</v>
      </c>
      <c r="E52" s="18" t="s">
        <v>356</v>
      </c>
    </row>
    <row r="53" spans="1:5" x14ac:dyDescent="0.2">
      <c r="A53" s="4" t="s">
        <v>280</v>
      </c>
      <c r="B53" s="19" t="s">
        <v>357</v>
      </c>
      <c r="C53" s="8" t="s">
        <v>456</v>
      </c>
      <c r="D53" s="19" t="s">
        <v>314</v>
      </c>
      <c r="E53" s="18" t="s">
        <v>359</v>
      </c>
    </row>
    <row r="54" spans="1:5" x14ac:dyDescent="0.2">
      <c r="A54" s="4" t="s">
        <v>283</v>
      </c>
      <c r="B54" s="19" t="s">
        <v>358</v>
      </c>
      <c r="C54" s="23">
        <v>0</v>
      </c>
      <c r="D54" s="19" t="s">
        <v>331</v>
      </c>
      <c r="E54" s="18" t="s">
        <v>360</v>
      </c>
    </row>
    <row r="55" spans="1:5" x14ac:dyDescent="0.2">
      <c r="A55" s="4" t="s">
        <v>361</v>
      </c>
      <c r="B55" s="19" t="s">
        <v>362</v>
      </c>
      <c r="C55" s="23">
        <v>1.4999999999999999E-2</v>
      </c>
      <c r="D55" s="19" t="s">
        <v>331</v>
      </c>
      <c r="E55" s="18" t="s">
        <v>363</v>
      </c>
    </row>
    <row r="57" spans="1:5" x14ac:dyDescent="0.2">
      <c r="A57" s="16" t="s">
        <v>364</v>
      </c>
    </row>
    <row r="58" spans="1:5" x14ac:dyDescent="0.2">
      <c r="A58" s="17" t="s">
        <v>365</v>
      </c>
      <c r="B58" s="17" t="s">
        <v>366</v>
      </c>
      <c r="C58" s="17" t="s">
        <v>217</v>
      </c>
      <c r="D58" s="17"/>
      <c r="E58" s="17" t="s">
        <v>367</v>
      </c>
    </row>
    <row r="59" spans="1:5" ht="26" x14ac:dyDescent="0.2">
      <c r="A59" s="4" t="s">
        <v>368</v>
      </c>
      <c r="B59" s="18" t="s">
        <v>369</v>
      </c>
      <c r="C59" s="25">
        <f>IF($C$46="market",$C$40,$C$41)</f>
        <v>0.86500359999999998</v>
      </c>
      <c r="E59" s="18" t="s">
        <v>370</v>
      </c>
    </row>
    <row r="60" spans="1:5" ht="39" x14ac:dyDescent="0.2">
      <c r="A60" s="4" t="s">
        <v>371</v>
      </c>
      <c r="B60" s="18" t="s">
        <v>372</v>
      </c>
      <c r="C60" s="25">
        <f>IF($C$48="in_per_out",$C$59/(1+$C$44),$C$59*(1-$C$44))</f>
        <v>0.83040345599999998</v>
      </c>
      <c r="E60" s="18" t="s">
        <v>373</v>
      </c>
    </row>
    <row r="61" spans="1:5" ht="28" x14ac:dyDescent="0.2">
      <c r="A61" s="4" t="s">
        <v>374</v>
      </c>
      <c r="B61" s="18" t="s">
        <v>375</v>
      </c>
      <c r="C61" s="26">
        <f>$C$36*$C$60</f>
        <v>41520.1728</v>
      </c>
      <c r="E61" s="18" t="s">
        <v>376</v>
      </c>
    </row>
    <row r="62" spans="1:5" x14ac:dyDescent="0.2">
      <c r="A62" s="4" t="s">
        <v>377</v>
      </c>
      <c r="B62" s="18" t="s">
        <v>378</v>
      </c>
      <c r="C62" s="26">
        <f>$C$61*$C$45</f>
        <v>0</v>
      </c>
      <c r="E62" s="18" t="s">
        <v>376</v>
      </c>
    </row>
    <row r="63" spans="1:5" x14ac:dyDescent="0.2">
      <c r="A63" s="4" t="s">
        <v>379</v>
      </c>
      <c r="B63" s="18" t="s">
        <v>380</v>
      </c>
      <c r="C63" s="26">
        <f>$C$61-$C$62</f>
        <v>41520.1728</v>
      </c>
      <c r="E63" s="18" t="s">
        <v>381</v>
      </c>
    </row>
    <row r="64" spans="1:5" ht="39" x14ac:dyDescent="0.2">
      <c r="A64" s="4" t="s">
        <v>382</v>
      </c>
      <c r="B64" s="18" t="s">
        <v>383</v>
      </c>
      <c r="C64" s="26">
        <f>IF($C$47="own_desk",$C$36*$C$40,IF($C$47="market_plus_pct",$C$36*$C$40*(1-$C$42),$C$36*$C$41))</f>
        <v>42904.17856</v>
      </c>
      <c r="E64" s="18" t="s">
        <v>384</v>
      </c>
    </row>
    <row r="65" spans="1:5" x14ac:dyDescent="0.2">
      <c r="A65" s="4" t="s">
        <v>385</v>
      </c>
      <c r="B65" s="18" t="s">
        <v>386</v>
      </c>
      <c r="C65" s="26">
        <f>$C$36*$C$40-$C$64</f>
        <v>346.00144</v>
      </c>
      <c r="E65" s="18" t="s">
        <v>381</v>
      </c>
    </row>
    <row r="66" spans="1:5" x14ac:dyDescent="0.2">
      <c r="A66" s="4" t="s">
        <v>387</v>
      </c>
      <c r="B66" s="18" t="s">
        <v>388</v>
      </c>
      <c r="C66" s="26">
        <f>$C$64-$C$63</f>
        <v>1384.00576</v>
      </c>
      <c r="E66" s="18" t="s">
        <v>389</v>
      </c>
    </row>
    <row r="67" spans="1:5" x14ac:dyDescent="0.2">
      <c r="A67" s="4" t="s">
        <v>390</v>
      </c>
      <c r="B67" s="18" t="s">
        <v>391</v>
      </c>
      <c r="C67" s="27">
        <f>IF($C$36*$C$40=0,0,$C$66/($C$36*$C$40))</f>
        <v>3.2000000000000001E-2</v>
      </c>
      <c r="E67" s="18" t="s">
        <v>381</v>
      </c>
    </row>
    <row r="68" spans="1:5" ht="26" x14ac:dyDescent="0.2">
      <c r="A68" s="4" t="s">
        <v>392</v>
      </c>
      <c r="B68" s="18" t="s">
        <v>393</v>
      </c>
      <c r="C68" s="7" t="str">
        <f>IF($C$67&lt;$C$51,"YES — Finance approval","no")</f>
        <v>no</v>
      </c>
      <c r="E68" s="18" t="s">
        <v>394</v>
      </c>
    </row>
    <row r="69" spans="1:5" ht="26" x14ac:dyDescent="0.2">
      <c r="A69" s="4" t="s">
        <v>395</v>
      </c>
      <c r="B69" s="18" t="s">
        <v>396</v>
      </c>
      <c r="C69" s="26">
        <f>IF($C$49="round_up_unit",CEILING($C$63,$C$50),IF($C$49="nearest_unit",MROUND($C$63,$C$50),IF($C$49="nearest_n",MROUND($C$63,$C$50),FLOOR($C$63,$C$50))))</f>
        <v>41520</v>
      </c>
      <c r="E69" s="18" t="s">
        <v>397</v>
      </c>
    </row>
    <row r="70" spans="1:5" ht="28" x14ac:dyDescent="0.2">
      <c r="A70" s="4" t="s">
        <v>398</v>
      </c>
      <c r="B70" s="18" t="s">
        <v>399</v>
      </c>
      <c r="C70" s="26">
        <f>$C$63-$C$69</f>
        <v>0.1728000000002794</v>
      </c>
      <c r="E70" s="18" t="s">
        <v>400</v>
      </c>
    </row>
    <row r="71" spans="1:5" ht="26" x14ac:dyDescent="0.2">
      <c r="A71" s="4" t="s">
        <v>401</v>
      </c>
      <c r="B71" s="18" t="s">
        <v>402</v>
      </c>
      <c r="C71" s="25">
        <f>IF($C$52="",$C$59,$C$60/(1-$C$52))</f>
        <v>0.86500359999999998</v>
      </c>
      <c r="E71" s="18" t="s">
        <v>356</v>
      </c>
    </row>
    <row r="72" spans="1:5" x14ac:dyDescent="0.2">
      <c r="A72" s="4" t="s">
        <v>403</v>
      </c>
      <c r="B72" s="18" t="s">
        <v>404</v>
      </c>
      <c r="C72" s="26">
        <f>IF($C$53="rebate",$C$65*$C$54,0)</f>
        <v>0</v>
      </c>
      <c r="E72" s="18" t="s">
        <v>405</v>
      </c>
    </row>
    <row r="73" spans="1:5" x14ac:dyDescent="0.2">
      <c r="A73" s="4" t="s">
        <v>406</v>
      </c>
      <c r="B73" s="18" t="s">
        <v>407</v>
      </c>
      <c r="C73" s="26">
        <f>$C$36*$C$40*$C$55</f>
        <v>648.7527</v>
      </c>
      <c r="E73" s="18" t="s">
        <v>408</v>
      </c>
    </row>
    <row r="74" spans="1:5" ht="28" x14ac:dyDescent="0.2">
      <c r="A74" s="4" t="s">
        <v>409</v>
      </c>
      <c r="B74" s="18" t="s">
        <v>410</v>
      </c>
      <c r="C74" s="26">
        <f>ROUND($C$63+$C$65+$C$66-$C$36*$C$40,6)</f>
        <v>0</v>
      </c>
      <c r="E74" s="18" t="s">
        <v>411</v>
      </c>
    </row>
    <row r="76" spans="1:5" x14ac:dyDescent="0.2">
      <c r="A76" s="16" t="s">
        <v>412</v>
      </c>
    </row>
    <row r="77" spans="1:5" x14ac:dyDescent="0.2">
      <c r="A77" s="17" t="s">
        <v>413</v>
      </c>
      <c r="B77" s="17" t="s">
        <v>414</v>
      </c>
      <c r="C77" s="17" t="s">
        <v>415</v>
      </c>
      <c r="D77" s="17" t="s">
        <v>416</v>
      </c>
      <c r="E77" s="17" t="s">
        <v>417</v>
      </c>
    </row>
    <row r="78" spans="1:5" x14ac:dyDescent="0.2">
      <c r="A78" s="7" t="str">
        <f>"CL."&amp;$C$39&amp;"."&amp;$C$37&amp;".COLLECTED"</f>
        <v>CL.AQUANOW.USDT.COLLECTED</v>
      </c>
      <c r="B78" s="7" t="s">
        <v>418</v>
      </c>
      <c r="C78" s="26">
        <f>$C$36</f>
        <v>50000</v>
      </c>
      <c r="D78" s="19" t="s">
        <v>419</v>
      </c>
      <c r="E78" s="19" t="s">
        <v>420</v>
      </c>
    </row>
    <row r="79" spans="1:5" x14ac:dyDescent="0.2">
      <c r="A79" s="7" t="str">
        <f>"CL.PROJECT."&amp;$C$37&amp;".PAYABLE"</f>
        <v>CL.PROJECT.USDT.PAYABLE</v>
      </c>
      <c r="B79" s="7" t="s">
        <v>421</v>
      </c>
      <c r="C79" s="26">
        <f>$C$36</f>
        <v>50000</v>
      </c>
      <c r="D79" s="19" t="s">
        <v>419</v>
      </c>
      <c r="E79" s="19" t="s">
        <v>420</v>
      </c>
    </row>
    <row r="80" spans="1:5" x14ac:dyDescent="0.2">
      <c r="A80" s="7" t="str">
        <f>"CL.PROJECT."&amp;$C$37&amp;".PAYABLE"</f>
        <v>CL.PROJECT.USDT.PAYABLE</v>
      </c>
      <c r="B80" s="7" t="s">
        <v>418</v>
      </c>
      <c r="C80" s="26">
        <f>$C$36</f>
        <v>50000</v>
      </c>
      <c r="D80" s="19" t="s">
        <v>419</v>
      </c>
      <c r="E80" s="19" t="s">
        <v>422</v>
      </c>
    </row>
    <row r="81" spans="1:5" x14ac:dyDescent="0.2">
      <c r="A81" s="7" t="str">
        <f>"CL."&amp;$C$39&amp;"."&amp;$C$37&amp;".COLLECTED"</f>
        <v>CL.AQUANOW.USDT.COLLECTED</v>
      </c>
      <c r="B81" s="7" t="s">
        <v>421</v>
      </c>
      <c r="C81" s="26">
        <f>$C$36</f>
        <v>50000</v>
      </c>
      <c r="D81" s="19" t="s">
        <v>419</v>
      </c>
      <c r="E81" s="19" t="s">
        <v>422</v>
      </c>
    </row>
    <row r="82" spans="1:5" x14ac:dyDescent="0.2">
      <c r="A82" s="7" t="str">
        <f>"CL."&amp;$C$39&amp;"."&amp;$C$38&amp;".DUE"</f>
        <v>CL.AQUANOW.EUR.DUE</v>
      </c>
      <c r="B82" s="7" t="s">
        <v>418</v>
      </c>
      <c r="C82" s="26">
        <f>$C$63</f>
        <v>41520.1728</v>
      </c>
      <c r="D82" s="19" t="s">
        <v>423</v>
      </c>
      <c r="E82" s="19" t="s">
        <v>424</v>
      </c>
    </row>
    <row r="83" spans="1:5" x14ac:dyDescent="0.2">
      <c r="A83" s="7" t="str">
        <f>"CO."&amp;$C$39&amp;"."&amp;$C$38&amp;".POOL"</f>
        <v>CO.AQUANOW.EUR.POOL</v>
      </c>
      <c r="B83" s="7" t="s">
        <v>418</v>
      </c>
      <c r="C83" s="26">
        <f>IF($C$53="rebate",0,$C$66)</f>
        <v>1384.00576</v>
      </c>
      <c r="D83" s="19" t="s">
        <v>425</v>
      </c>
      <c r="E83" s="19" t="s">
        <v>426</v>
      </c>
    </row>
    <row r="84" spans="1:5" x14ac:dyDescent="0.2">
      <c r="A84" s="7" t="str">
        <f>"CO."&amp;$C$39&amp;"."&amp;$C$38&amp;".REBATE_RECEIVABLE"</f>
        <v>CO.AQUANOW.EUR.REBATE_RECEIVABLE</v>
      </c>
      <c r="B84" s="7" t="s">
        <v>418</v>
      </c>
      <c r="C84" s="26">
        <f>$C$72</f>
        <v>0</v>
      </c>
      <c r="D84" s="19" t="s">
        <v>425</v>
      </c>
      <c r="E84" s="19" t="s">
        <v>427</v>
      </c>
    </row>
    <row r="85" spans="1:5" x14ac:dyDescent="0.2">
      <c r="A85" s="7" t="str">
        <f>"CL.PROJECT."&amp;$C$38&amp;".PAYABLE"</f>
        <v>CL.PROJECT.EUR.PAYABLE</v>
      </c>
      <c r="B85" s="7" t="s">
        <v>421</v>
      </c>
      <c r="C85" s="26">
        <f>$C$63</f>
        <v>41520.1728</v>
      </c>
      <c r="D85" s="19" t="s">
        <v>419</v>
      </c>
      <c r="E85" s="19" t="s">
        <v>424</v>
      </c>
    </row>
    <row r="86" spans="1:5" x14ac:dyDescent="0.2">
      <c r="A86" s="7" t="str">
        <f>"CO.NONE."&amp;$C$38&amp;".EARN_GROSS"</f>
        <v>CO.NONE.EUR.EARN_GROSS</v>
      </c>
      <c r="B86" s="7" t="s">
        <v>421</v>
      </c>
      <c r="C86" s="26">
        <f>$C$66+$C$72</f>
        <v>1384.00576</v>
      </c>
      <c r="D86" s="19" t="s">
        <v>425</v>
      </c>
      <c r="E86" s="19" t="s">
        <v>428</v>
      </c>
    </row>
    <row r="87" spans="1:5" x14ac:dyDescent="0.2">
      <c r="A87" s="7" t="str">
        <f>"CL."&amp;$C$39&amp;"."&amp;$C$38&amp;".INTRANSIT"</f>
        <v>CL.AQUANOW.EUR.INTRANSIT</v>
      </c>
      <c r="B87" s="7" t="s">
        <v>418</v>
      </c>
      <c r="C87" s="26">
        <f>$C$69</f>
        <v>41520</v>
      </c>
      <c r="D87" s="19" t="s">
        <v>419</v>
      </c>
      <c r="E87" s="19" t="s">
        <v>429</v>
      </c>
    </row>
    <row r="88" spans="1:5" x14ac:dyDescent="0.2">
      <c r="A88" s="7" t="str">
        <f>"CL."&amp;$C$39&amp;"."&amp;$C$38&amp;".DUE"</f>
        <v>CL.AQUANOW.EUR.DUE</v>
      </c>
      <c r="B88" s="7" t="s">
        <v>421</v>
      </c>
      <c r="C88" s="26">
        <f>$C$69</f>
        <v>41520</v>
      </c>
      <c r="D88" s="19" t="s">
        <v>419</v>
      </c>
      <c r="E88" s="19" t="s">
        <v>430</v>
      </c>
    </row>
    <row r="89" spans="1:5" x14ac:dyDescent="0.2">
      <c r="A89" s="7" t="str">
        <f>"CL.PROJECT."&amp;$C$38&amp;".PAYABLE"</f>
        <v>CL.PROJECT.EUR.PAYABLE</v>
      </c>
      <c r="B89" s="7" t="s">
        <v>418</v>
      </c>
      <c r="C89" s="26">
        <f>$C$69</f>
        <v>41520</v>
      </c>
      <c r="D89" s="19" t="s">
        <v>419</v>
      </c>
      <c r="E89" s="19" t="s">
        <v>431</v>
      </c>
    </row>
    <row r="90" spans="1:5" x14ac:dyDescent="0.2">
      <c r="A90" s="7" t="str">
        <f>"CL."&amp;$C$39&amp;"."&amp;$C$38&amp;".INTRANSIT"</f>
        <v>CL.AQUANOW.EUR.INTRANSIT</v>
      </c>
      <c r="B90" s="7" t="s">
        <v>421</v>
      </c>
      <c r="C90" s="26">
        <f>$C$69</f>
        <v>41520</v>
      </c>
      <c r="D90" s="19" t="s">
        <v>419</v>
      </c>
      <c r="E90" s="19" t="s">
        <v>431</v>
      </c>
    </row>
    <row r="91" spans="1:5" x14ac:dyDescent="0.2">
      <c r="A91" s="7" t="str">
        <f>"CO.NONE."&amp;$C$38&amp;".EARN_GROSS"</f>
        <v>CO.NONE.EUR.EARN_GROSS</v>
      </c>
      <c r="B91" s="7" t="s">
        <v>418</v>
      </c>
      <c r="C91" s="26">
        <f>$C$73</f>
        <v>648.7527</v>
      </c>
      <c r="D91" s="19" t="s">
        <v>432</v>
      </c>
      <c r="E91" s="19" t="s">
        <v>433</v>
      </c>
    </row>
    <row r="92" spans="1:5" x14ac:dyDescent="0.2">
      <c r="A92" s="7" t="str">
        <f>"CO.INTRODUCER."&amp;$C$38&amp;".REFERRAL_PAYABLE"</f>
        <v>CO.INTRODUCER.EUR.REFERRAL_PAYABLE</v>
      </c>
      <c r="B92" s="7" t="s">
        <v>421</v>
      </c>
      <c r="C92" s="26">
        <f>$C$73</f>
        <v>648.7527</v>
      </c>
      <c r="D92" s="19" t="s">
        <v>432</v>
      </c>
      <c r="E92" s="19" t="s">
        <v>434</v>
      </c>
    </row>
    <row r="93" spans="1:5" ht="30" customHeight="1" x14ac:dyDescent="0.2">
      <c r="A93" s="28" t="s">
        <v>435</v>
      </c>
      <c r="C93" s="29">
        <f>ROUND(SUMIF($B$82:$B$92,"Dr",$C$82:$C$92)-SUMIF($B$82:$B$92,"Cr",$C$82:$C$92),6)</f>
        <v>0</v>
      </c>
      <c r="E93" s="18" t="s">
        <v>436</v>
      </c>
    </row>
    <row r="95" spans="1:5" x14ac:dyDescent="0.2">
      <c r="A95" s="16" t="s">
        <v>437</v>
      </c>
    </row>
    <row r="96" spans="1:5" x14ac:dyDescent="0.2">
      <c r="A96" s="17" t="s">
        <v>438</v>
      </c>
      <c r="B96" s="17" t="s">
        <v>439</v>
      </c>
      <c r="C96" s="17" t="s">
        <v>440</v>
      </c>
      <c r="D96" s="17" t="s">
        <v>441</v>
      </c>
      <c r="E96" s="17" t="s">
        <v>442</v>
      </c>
    </row>
    <row r="97" spans="1:5" ht="15.75" customHeight="1" x14ac:dyDescent="0.2">
      <c r="A97" s="4" t="s">
        <v>516</v>
      </c>
      <c r="B97" s="20">
        <v>41520.17</v>
      </c>
      <c r="C97" s="26">
        <f>$C$61</f>
        <v>41520.1728</v>
      </c>
      <c r="D97" s="29">
        <f>ROUND(C97-B97,2)</f>
        <v>0</v>
      </c>
      <c r="E97" s="18" t="s">
        <v>517</v>
      </c>
    </row>
    <row r="99" spans="1:5" x14ac:dyDescent="0.2">
      <c r="A99" s="16" t="s">
        <v>445</v>
      </c>
    </row>
    <row r="100" spans="1:5" ht="31.5" customHeight="1" x14ac:dyDescent="0.2">
      <c r="A100" s="14" t="s">
        <v>446</v>
      </c>
      <c r="B100" s="1" t="s">
        <v>518</v>
      </c>
      <c r="C100" s="1"/>
      <c r="D100" s="1"/>
      <c r="E100" s="1"/>
    </row>
    <row r="101" spans="1:5" ht="31.5" customHeight="1" x14ac:dyDescent="0.2">
      <c r="A101" s="14"/>
      <c r="B101" s="35" t="s">
        <v>671</v>
      </c>
      <c r="C101" s="35"/>
      <c r="D101" s="35"/>
      <c r="E101" s="35"/>
    </row>
    <row r="102" spans="1:5" ht="31.5" customHeight="1" x14ac:dyDescent="0.2">
      <c r="A102" s="14" t="s">
        <v>446</v>
      </c>
      <c r="B102" s="1" t="s">
        <v>519</v>
      </c>
      <c r="C102" s="1"/>
      <c r="D102" s="1"/>
      <c r="E102" s="1"/>
    </row>
    <row r="103" spans="1:5" ht="31.5" customHeight="1" x14ac:dyDescent="0.2">
      <c r="A103" s="14"/>
      <c r="B103" s="34" t="s">
        <v>672</v>
      </c>
      <c r="C103" s="15"/>
      <c r="D103" s="15"/>
      <c r="E103" s="15"/>
    </row>
    <row r="104" spans="1:5" ht="31.5" customHeight="1" x14ac:dyDescent="0.2">
      <c r="A104" s="14" t="s">
        <v>446</v>
      </c>
      <c r="B104" s="1" t="s">
        <v>520</v>
      </c>
      <c r="C104" s="1"/>
      <c r="D104" s="1"/>
      <c r="E104" s="1"/>
    </row>
    <row r="106" spans="1:5" x14ac:dyDescent="0.2">
      <c r="B106" t="s">
        <v>673</v>
      </c>
    </row>
    <row r="107" spans="1:5" x14ac:dyDescent="0.2">
      <c r="B107" t="s">
        <v>674</v>
      </c>
    </row>
    <row r="108" spans="1:5" ht="240" customHeight="1" x14ac:dyDescent="0.2">
      <c r="B108" s="42" t="s">
        <v>675</v>
      </c>
      <c r="C108" s="42"/>
      <c r="D108" s="42"/>
      <c r="E108" s="42"/>
    </row>
  </sheetData>
  <mergeCells count="5">
    <mergeCell ref="B100:E100"/>
    <mergeCell ref="B102:E102"/>
    <mergeCell ref="B104:E104"/>
    <mergeCell ref="B101:E101"/>
    <mergeCell ref="B108:E108"/>
  </mergeCells>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6"/>
  <sheetViews>
    <sheetView topLeftCell="A42" zoomScaleNormal="100" workbookViewId="0">
      <selection activeCell="C53" sqref="C53"/>
    </sheetView>
  </sheetViews>
  <sheetFormatPr baseColWidth="10" defaultColWidth="8.6640625" defaultRowHeight="15" x14ac:dyDescent="0.2"/>
  <cols>
    <col min="1" max="2" width="34" customWidth="1"/>
    <col min="3" max="3" width="22" customWidth="1"/>
    <col min="4" max="4" width="18" customWidth="1"/>
    <col min="5" max="5" width="48" customWidth="1"/>
  </cols>
  <sheetData>
    <row r="1" spans="1:5" ht="17" x14ac:dyDescent="0.2">
      <c r="A1" s="2" t="s">
        <v>521</v>
      </c>
    </row>
    <row r="2" spans="1:5" x14ac:dyDescent="0.2">
      <c r="A2" s="13" t="s">
        <v>210</v>
      </c>
      <c r="B2" s="14" t="s">
        <v>522</v>
      </c>
    </row>
    <row r="3" spans="1:5" ht="30" customHeight="1" x14ac:dyDescent="0.2">
      <c r="A3" s="13" t="s">
        <v>212</v>
      </c>
      <c r="B3" s="15" t="s">
        <v>523</v>
      </c>
    </row>
    <row r="5" spans="1:5" x14ac:dyDescent="0.2">
      <c r="A5" s="16" t="s">
        <v>214</v>
      </c>
    </row>
    <row r="6" spans="1:5" x14ac:dyDescent="0.2">
      <c r="A6" s="17" t="s">
        <v>215</v>
      </c>
      <c r="B6" s="17" t="s">
        <v>216</v>
      </c>
      <c r="C6" s="17" t="s">
        <v>217</v>
      </c>
      <c r="D6" s="17" t="s">
        <v>218</v>
      </c>
      <c r="E6" s="17" t="s">
        <v>219</v>
      </c>
    </row>
    <row r="7" spans="1:5" ht="30" customHeight="1" x14ac:dyDescent="0.2">
      <c r="A7" s="4" t="s">
        <v>220</v>
      </c>
      <c r="B7" s="4" t="s">
        <v>221</v>
      </c>
      <c r="C7" s="10" t="s">
        <v>179</v>
      </c>
      <c r="D7" s="4" t="s">
        <v>222</v>
      </c>
      <c r="E7" s="18" t="s">
        <v>223</v>
      </c>
    </row>
    <row r="8" spans="1:5" ht="30" customHeight="1" x14ac:dyDescent="0.2">
      <c r="A8" s="4" t="s">
        <v>224</v>
      </c>
      <c r="B8" s="4" t="s">
        <v>225</v>
      </c>
      <c r="C8" s="10" t="s">
        <v>524</v>
      </c>
      <c r="D8" s="4" t="s">
        <v>222</v>
      </c>
      <c r="E8" s="18" t="s">
        <v>227</v>
      </c>
    </row>
    <row r="9" spans="1:5" ht="30" customHeight="1" x14ac:dyDescent="0.2">
      <c r="A9" s="4" t="s">
        <v>228</v>
      </c>
      <c r="B9" s="4" t="s">
        <v>229</v>
      </c>
      <c r="C9" s="10" t="s">
        <v>525</v>
      </c>
      <c r="D9" s="4" t="s">
        <v>222</v>
      </c>
      <c r="E9" s="18" t="s">
        <v>230</v>
      </c>
    </row>
    <row r="10" spans="1:5" ht="30" customHeight="1" x14ac:dyDescent="0.2">
      <c r="A10" s="4" t="s">
        <v>231</v>
      </c>
      <c r="B10" s="4" t="s">
        <v>232</v>
      </c>
      <c r="C10" s="10" t="s">
        <v>526</v>
      </c>
      <c r="D10" s="4" t="s">
        <v>222</v>
      </c>
      <c r="E10" s="18" t="s">
        <v>233</v>
      </c>
    </row>
    <row r="11" spans="1:5" ht="15.75" customHeight="1" x14ac:dyDescent="0.2">
      <c r="A11" s="4" t="s">
        <v>234</v>
      </c>
      <c r="B11" s="4" t="s">
        <v>235</v>
      </c>
      <c r="C11" s="10" t="s">
        <v>236</v>
      </c>
      <c r="D11" s="4" t="s">
        <v>222</v>
      </c>
      <c r="E11" s="18" t="s">
        <v>237</v>
      </c>
    </row>
    <row r="12" spans="1:5" ht="30" customHeight="1" x14ac:dyDescent="0.2">
      <c r="A12" s="4" t="s">
        <v>238</v>
      </c>
      <c r="B12" s="4" t="s">
        <v>239</v>
      </c>
      <c r="C12" s="10" t="s">
        <v>527</v>
      </c>
      <c r="D12" s="4" t="s">
        <v>222</v>
      </c>
      <c r="E12" s="18" t="s">
        <v>240</v>
      </c>
    </row>
    <row r="13" spans="1:5" ht="15.75" customHeight="1" x14ac:dyDescent="0.2">
      <c r="A13" s="4" t="s">
        <v>241</v>
      </c>
      <c r="B13" s="4" t="s">
        <v>242</v>
      </c>
      <c r="C13" s="10" t="s">
        <v>528</v>
      </c>
      <c r="D13" s="4" t="s">
        <v>222</v>
      </c>
      <c r="E13" s="18"/>
    </row>
    <row r="14" spans="1:5" ht="30" customHeight="1" x14ac:dyDescent="0.2">
      <c r="A14" s="4" t="s">
        <v>243</v>
      </c>
      <c r="B14" s="4" t="s">
        <v>244</v>
      </c>
      <c r="C14" s="10" t="s">
        <v>182</v>
      </c>
      <c r="D14" s="4" t="s">
        <v>222</v>
      </c>
      <c r="E14" s="18" t="s">
        <v>245</v>
      </c>
    </row>
    <row r="15" spans="1:5" ht="15.75" customHeight="1" x14ac:dyDescent="0.2">
      <c r="A15" s="4" t="s">
        <v>246</v>
      </c>
      <c r="B15" s="4" t="s">
        <v>247</v>
      </c>
      <c r="C15" s="10" t="s">
        <v>529</v>
      </c>
      <c r="D15" s="4" t="s">
        <v>222</v>
      </c>
      <c r="E15" s="18" t="s">
        <v>248</v>
      </c>
    </row>
    <row r="16" spans="1:5" ht="30" customHeight="1" x14ac:dyDescent="0.2">
      <c r="A16" s="4" t="s">
        <v>249</v>
      </c>
      <c r="B16" s="4" t="s">
        <v>250</v>
      </c>
      <c r="C16" s="10" t="s">
        <v>481</v>
      </c>
      <c r="D16" s="4" t="s">
        <v>222</v>
      </c>
      <c r="E16" s="18" t="s">
        <v>252</v>
      </c>
    </row>
    <row r="17" spans="1:5" ht="30" customHeight="1" x14ac:dyDescent="0.2">
      <c r="A17" s="4" t="s">
        <v>253</v>
      </c>
      <c r="B17" s="4" t="s">
        <v>254</v>
      </c>
      <c r="C17" s="10" t="s">
        <v>255</v>
      </c>
      <c r="D17" s="4" t="s">
        <v>222</v>
      </c>
      <c r="E17" s="18" t="s">
        <v>256</v>
      </c>
    </row>
    <row r="18" spans="1:5" ht="15.75" customHeight="1" x14ac:dyDescent="0.2">
      <c r="A18" s="4" t="s">
        <v>257</v>
      </c>
      <c r="B18" s="4" t="s">
        <v>258</v>
      </c>
      <c r="C18" s="10" t="s">
        <v>86</v>
      </c>
      <c r="D18" s="4" t="s">
        <v>222</v>
      </c>
      <c r="E18" s="18" t="s">
        <v>259</v>
      </c>
    </row>
    <row r="19" spans="1:5" ht="15.75" customHeight="1" x14ac:dyDescent="0.2">
      <c r="A19" s="4" t="s">
        <v>260</v>
      </c>
      <c r="B19" s="4" t="s">
        <v>261</v>
      </c>
      <c r="C19" s="12">
        <v>0.02</v>
      </c>
      <c r="D19" s="4" t="s">
        <v>222</v>
      </c>
      <c r="E19" s="18" t="s">
        <v>262</v>
      </c>
    </row>
    <row r="20" spans="1:5" ht="15.75" customHeight="1" x14ac:dyDescent="0.2">
      <c r="A20" s="4" t="s">
        <v>263</v>
      </c>
      <c r="B20" s="4" t="s">
        <v>264</v>
      </c>
      <c r="C20" s="12">
        <v>0.02</v>
      </c>
      <c r="D20" s="4" t="s">
        <v>222</v>
      </c>
      <c r="E20" s="18"/>
    </row>
    <row r="21" spans="1:5" ht="30" customHeight="1" x14ac:dyDescent="0.2">
      <c r="A21" s="4" t="s">
        <v>265</v>
      </c>
      <c r="B21" s="4" t="s">
        <v>266</v>
      </c>
      <c r="C21" s="12">
        <v>0</v>
      </c>
      <c r="D21" s="4" t="s">
        <v>222</v>
      </c>
      <c r="E21" s="18" t="s">
        <v>267</v>
      </c>
    </row>
    <row r="22" spans="1:5" ht="15.75" customHeight="1" x14ac:dyDescent="0.2">
      <c r="A22" s="4" t="s">
        <v>268</v>
      </c>
      <c r="B22" s="4" t="s">
        <v>269</v>
      </c>
      <c r="C22" s="32" t="s">
        <v>630</v>
      </c>
      <c r="D22" s="4" t="s">
        <v>226</v>
      </c>
      <c r="E22" s="18" t="s">
        <v>270</v>
      </c>
    </row>
    <row r="23" spans="1:5" ht="15.75" customHeight="1" x14ac:dyDescent="0.2">
      <c r="A23" s="4" t="s">
        <v>271</v>
      </c>
      <c r="B23" s="4" t="s">
        <v>272</v>
      </c>
      <c r="C23" s="32" t="s">
        <v>630</v>
      </c>
      <c r="D23" s="4" t="s">
        <v>226</v>
      </c>
      <c r="E23" s="18" t="s">
        <v>270</v>
      </c>
    </row>
    <row r="24" spans="1:5" ht="15.75" customHeight="1" x14ac:dyDescent="0.2">
      <c r="A24" s="4" t="s">
        <v>273</v>
      </c>
      <c r="B24" s="4" t="s">
        <v>274</v>
      </c>
      <c r="C24" s="43">
        <v>5.0000000000000001E-3</v>
      </c>
      <c r="D24" s="4" t="s">
        <v>226</v>
      </c>
      <c r="E24" s="18" t="s">
        <v>275</v>
      </c>
    </row>
    <row r="25" spans="1:5" ht="30" customHeight="1" x14ac:dyDescent="0.2">
      <c r="A25" s="4" t="s">
        <v>276</v>
      </c>
      <c r="B25" s="4" t="s">
        <v>277</v>
      </c>
      <c r="C25" s="32" t="s">
        <v>677</v>
      </c>
      <c r="D25" s="4" t="s">
        <v>278</v>
      </c>
      <c r="E25" s="18" t="s">
        <v>279</v>
      </c>
    </row>
    <row r="26" spans="1:5" ht="15.75" customHeight="1" x14ac:dyDescent="0.2">
      <c r="A26" s="4" t="s">
        <v>280</v>
      </c>
      <c r="B26" s="4" t="s">
        <v>281</v>
      </c>
      <c r="C26" s="10" t="s">
        <v>183</v>
      </c>
      <c r="D26" s="4" t="s">
        <v>222</v>
      </c>
      <c r="E26" s="18" t="s">
        <v>282</v>
      </c>
    </row>
    <row r="27" spans="1:5" ht="15.75" customHeight="1" x14ac:dyDescent="0.2">
      <c r="A27" s="4" t="s">
        <v>283</v>
      </c>
      <c r="B27" s="4" t="s">
        <v>284</v>
      </c>
      <c r="C27" s="32" t="s">
        <v>621</v>
      </c>
      <c r="D27" s="4" t="s">
        <v>278</v>
      </c>
      <c r="E27" s="18" t="s">
        <v>286</v>
      </c>
    </row>
    <row r="28" spans="1:5" ht="15.75" customHeight="1" x14ac:dyDescent="0.2">
      <c r="A28" s="4" t="s">
        <v>287</v>
      </c>
      <c r="B28" s="4" t="s">
        <v>288</v>
      </c>
      <c r="C28" s="10"/>
      <c r="D28" s="4" t="s">
        <v>278</v>
      </c>
      <c r="E28" s="18" t="s">
        <v>289</v>
      </c>
    </row>
    <row r="29" spans="1:5" ht="30" customHeight="1" x14ac:dyDescent="0.2">
      <c r="A29" s="4" t="s">
        <v>290</v>
      </c>
      <c r="B29" s="4" t="s">
        <v>291</v>
      </c>
      <c r="C29" s="10" t="s">
        <v>530</v>
      </c>
      <c r="D29" s="4" t="s">
        <v>222</v>
      </c>
      <c r="E29" s="18" t="s">
        <v>293</v>
      </c>
    </row>
    <row r="30" spans="1:5" ht="15.75" customHeight="1" x14ac:dyDescent="0.2">
      <c r="A30" s="4" t="s">
        <v>294</v>
      </c>
      <c r="B30" s="4" t="s">
        <v>295</v>
      </c>
      <c r="C30" s="32" t="s">
        <v>676</v>
      </c>
      <c r="D30" s="4" t="s">
        <v>226</v>
      </c>
      <c r="E30" s="18"/>
    </row>
    <row r="31" spans="1:5" ht="15.75" customHeight="1" x14ac:dyDescent="0.2">
      <c r="A31" s="4" t="s">
        <v>296</v>
      </c>
      <c r="B31" s="4" t="s">
        <v>297</v>
      </c>
      <c r="C31" s="32" t="s">
        <v>676</v>
      </c>
      <c r="D31" s="4" t="s">
        <v>226</v>
      </c>
      <c r="E31" s="18" t="s">
        <v>298</v>
      </c>
    </row>
    <row r="32" spans="1:5" ht="30" customHeight="1" x14ac:dyDescent="0.2">
      <c r="A32" s="4" t="s">
        <v>299</v>
      </c>
      <c r="B32" s="4" t="s">
        <v>300</v>
      </c>
      <c r="C32" s="32" t="s">
        <v>654</v>
      </c>
      <c r="D32" s="4" t="s">
        <v>226</v>
      </c>
      <c r="E32" s="18" t="s">
        <v>301</v>
      </c>
    </row>
    <row r="34" spans="1:5" x14ac:dyDescent="0.2">
      <c r="A34" s="16" t="s">
        <v>302</v>
      </c>
    </row>
    <row r="35" spans="1:5" x14ac:dyDescent="0.2">
      <c r="A35" s="17" t="s">
        <v>303</v>
      </c>
      <c r="B35" s="17" t="s">
        <v>304</v>
      </c>
      <c r="C35" s="17" t="s">
        <v>217</v>
      </c>
      <c r="D35" s="17" t="s">
        <v>305</v>
      </c>
      <c r="E35" s="17" t="s">
        <v>306</v>
      </c>
    </row>
    <row r="36" spans="1:5" x14ac:dyDescent="0.2">
      <c r="A36" s="4" t="s">
        <v>307</v>
      </c>
      <c r="B36" s="19" t="s">
        <v>308</v>
      </c>
      <c r="C36" s="20">
        <v>2600</v>
      </c>
      <c r="D36" s="19" t="s">
        <v>309</v>
      </c>
      <c r="E36" s="18" t="s">
        <v>310</v>
      </c>
    </row>
    <row r="37" spans="1:5" x14ac:dyDescent="0.2">
      <c r="A37" s="4" t="s">
        <v>311</v>
      </c>
      <c r="B37" s="19" t="s">
        <v>312</v>
      </c>
      <c r="C37" s="8" t="s">
        <v>313</v>
      </c>
      <c r="D37" s="19" t="s">
        <v>314</v>
      </c>
      <c r="E37" s="18"/>
    </row>
    <row r="38" spans="1:5" x14ac:dyDescent="0.2">
      <c r="A38" s="4" t="s">
        <v>315</v>
      </c>
      <c r="B38" s="19" t="s">
        <v>316</v>
      </c>
      <c r="C38" s="8" t="s">
        <v>317</v>
      </c>
      <c r="D38" s="19" t="s">
        <v>314</v>
      </c>
      <c r="E38" s="18"/>
    </row>
    <row r="39" spans="1:5" x14ac:dyDescent="0.2">
      <c r="A39" s="4" t="s">
        <v>318</v>
      </c>
      <c r="B39" s="19" t="s">
        <v>319</v>
      </c>
      <c r="C39" s="8" t="s">
        <v>531</v>
      </c>
      <c r="D39" s="19" t="s">
        <v>314</v>
      </c>
      <c r="E39" s="18" t="s">
        <v>321</v>
      </c>
    </row>
    <row r="40" spans="1:5" x14ac:dyDescent="0.2">
      <c r="A40" s="4" t="s">
        <v>322</v>
      </c>
      <c r="B40" s="19" t="s">
        <v>323</v>
      </c>
      <c r="C40" s="21">
        <v>0.87160000000000004</v>
      </c>
      <c r="D40" s="19" t="s">
        <v>324</v>
      </c>
      <c r="E40" s="18" t="s">
        <v>325</v>
      </c>
    </row>
    <row r="41" spans="1:5" ht="26" x14ac:dyDescent="0.2">
      <c r="A41" s="4" t="s">
        <v>326</v>
      </c>
      <c r="B41" s="19" t="s">
        <v>327</v>
      </c>
      <c r="C41" s="22">
        <f>1/1.17026158788435</f>
        <v>0.85450980392156906</v>
      </c>
      <c r="D41" s="19" t="s">
        <v>324</v>
      </c>
      <c r="E41" s="18" t="s">
        <v>328</v>
      </c>
    </row>
    <row r="42" spans="1:5" ht="26" x14ac:dyDescent="0.2">
      <c r="A42" s="4" t="s">
        <v>329</v>
      </c>
      <c r="B42" s="19" t="s">
        <v>330</v>
      </c>
      <c r="C42" s="23">
        <v>0</v>
      </c>
      <c r="D42" s="19" t="s">
        <v>331</v>
      </c>
      <c r="E42" s="18" t="s">
        <v>332</v>
      </c>
    </row>
    <row r="43" spans="1:5" x14ac:dyDescent="0.2">
      <c r="A43" s="4" t="s">
        <v>333</v>
      </c>
      <c r="B43" s="19" t="s">
        <v>334</v>
      </c>
      <c r="C43" s="23">
        <v>0.02</v>
      </c>
      <c r="D43" s="19" t="s">
        <v>331</v>
      </c>
      <c r="E43" s="18" t="s">
        <v>261</v>
      </c>
    </row>
    <row r="44" spans="1:5" x14ac:dyDescent="0.2">
      <c r="A44" s="4" t="s">
        <v>335</v>
      </c>
      <c r="B44" s="19" t="s">
        <v>336</v>
      </c>
      <c r="C44" s="23">
        <v>0.02</v>
      </c>
      <c r="D44" s="19" t="s">
        <v>331</v>
      </c>
      <c r="E44" s="18" t="s">
        <v>264</v>
      </c>
    </row>
    <row r="45" spans="1:5" x14ac:dyDescent="0.2">
      <c r="A45" s="4" t="s">
        <v>337</v>
      </c>
      <c r="B45" s="19" t="s">
        <v>338</v>
      </c>
      <c r="C45" s="23">
        <v>0</v>
      </c>
      <c r="D45" s="19" t="s">
        <v>331</v>
      </c>
      <c r="E45" s="18" t="s">
        <v>266</v>
      </c>
    </row>
    <row r="46" spans="1:5" x14ac:dyDescent="0.2">
      <c r="A46" s="4" t="s">
        <v>253</v>
      </c>
      <c r="B46" s="19" t="s">
        <v>339</v>
      </c>
      <c r="C46" s="8" t="s">
        <v>255</v>
      </c>
      <c r="D46" s="19" t="s">
        <v>314</v>
      </c>
      <c r="E46" s="18" t="s">
        <v>340</v>
      </c>
    </row>
    <row r="47" spans="1:5" x14ac:dyDescent="0.2">
      <c r="A47" s="4" t="s">
        <v>243</v>
      </c>
      <c r="B47" s="19" t="s">
        <v>341</v>
      </c>
      <c r="C47" s="8" t="s">
        <v>532</v>
      </c>
      <c r="D47" s="19" t="s">
        <v>314</v>
      </c>
      <c r="E47" s="18" t="s">
        <v>342</v>
      </c>
    </row>
    <row r="48" spans="1:5" x14ac:dyDescent="0.2">
      <c r="A48" s="4" t="s">
        <v>249</v>
      </c>
      <c r="B48" s="19" t="s">
        <v>343</v>
      </c>
      <c r="C48" s="8" t="s">
        <v>481</v>
      </c>
      <c r="D48" s="19" t="s">
        <v>314</v>
      </c>
      <c r="E48" s="18" t="s">
        <v>344</v>
      </c>
    </row>
    <row r="49" spans="1:5" x14ac:dyDescent="0.2">
      <c r="A49" s="4" t="s">
        <v>345</v>
      </c>
      <c r="B49" s="19" t="s">
        <v>346</v>
      </c>
      <c r="C49" s="8" t="s">
        <v>347</v>
      </c>
      <c r="D49" s="19" t="s">
        <v>314</v>
      </c>
      <c r="E49" s="18" t="s">
        <v>348</v>
      </c>
    </row>
    <row r="50" spans="1:5" x14ac:dyDescent="0.2">
      <c r="A50" s="4" t="s">
        <v>349</v>
      </c>
      <c r="B50" s="19" t="s">
        <v>350</v>
      </c>
      <c r="C50" s="20">
        <v>1</v>
      </c>
      <c r="D50" s="19" t="s">
        <v>309</v>
      </c>
      <c r="E50" s="18" t="s">
        <v>351</v>
      </c>
    </row>
    <row r="51" spans="1:5" x14ac:dyDescent="0.2">
      <c r="A51" s="4" t="s">
        <v>352</v>
      </c>
      <c r="B51" s="19" t="s">
        <v>353</v>
      </c>
      <c r="C51" s="23">
        <v>0</v>
      </c>
      <c r="D51" s="19" t="s">
        <v>331</v>
      </c>
      <c r="E51" s="18" t="s">
        <v>274</v>
      </c>
    </row>
    <row r="52" spans="1:5" x14ac:dyDescent="0.2">
      <c r="A52" s="4" t="s">
        <v>354</v>
      </c>
      <c r="B52" s="19" t="s">
        <v>355</v>
      </c>
      <c r="C52" s="33" t="s">
        <v>682</v>
      </c>
      <c r="D52" s="19" t="s">
        <v>331</v>
      </c>
      <c r="E52" s="18" t="s">
        <v>356</v>
      </c>
    </row>
    <row r="53" spans="1:5" x14ac:dyDescent="0.2">
      <c r="A53" s="4" t="s">
        <v>280</v>
      </c>
      <c r="B53" s="19" t="s">
        <v>357</v>
      </c>
      <c r="C53" s="8" t="s">
        <v>532</v>
      </c>
      <c r="D53" s="19" t="s">
        <v>314</v>
      </c>
      <c r="E53" s="18" t="s">
        <v>359</v>
      </c>
    </row>
    <row r="54" spans="1:5" x14ac:dyDescent="0.2">
      <c r="A54" s="4" t="s">
        <v>283</v>
      </c>
      <c r="B54" s="19" t="s">
        <v>358</v>
      </c>
      <c r="C54" s="23">
        <v>0</v>
      </c>
      <c r="D54" s="19" t="s">
        <v>331</v>
      </c>
      <c r="E54" s="18" t="s">
        <v>360</v>
      </c>
    </row>
    <row r="55" spans="1:5" x14ac:dyDescent="0.2">
      <c r="A55" s="4" t="s">
        <v>361</v>
      </c>
      <c r="B55" s="19" t="s">
        <v>362</v>
      </c>
      <c r="C55" s="23">
        <v>0</v>
      </c>
      <c r="D55" s="19" t="s">
        <v>331</v>
      </c>
      <c r="E55" s="18" t="s">
        <v>363</v>
      </c>
    </row>
    <row r="57" spans="1:5" x14ac:dyDescent="0.2">
      <c r="A57" s="16" t="s">
        <v>364</v>
      </c>
    </row>
    <row r="58" spans="1:5" x14ac:dyDescent="0.2">
      <c r="A58" s="17" t="s">
        <v>365</v>
      </c>
      <c r="B58" s="17" t="s">
        <v>366</v>
      </c>
      <c r="C58" s="17" t="s">
        <v>217</v>
      </c>
      <c r="D58" s="17"/>
      <c r="E58" s="17" t="s">
        <v>367</v>
      </c>
    </row>
    <row r="59" spans="1:5" ht="26" x14ac:dyDescent="0.2">
      <c r="A59" s="4" t="s">
        <v>368</v>
      </c>
      <c r="B59" s="18" t="s">
        <v>369</v>
      </c>
      <c r="C59" s="25">
        <f>IF($C$46="market",$C$40,$C$41)</f>
        <v>0.87160000000000004</v>
      </c>
      <c r="E59" s="18" t="s">
        <v>370</v>
      </c>
    </row>
    <row r="60" spans="1:5" ht="39" x14ac:dyDescent="0.2">
      <c r="A60" s="4" t="s">
        <v>371</v>
      </c>
      <c r="B60" s="18" t="s">
        <v>372</v>
      </c>
      <c r="C60" s="25">
        <f>IF($C$48="in_per_out",$C$59/(1+$C$44),$C$59*(1-$C$44))</f>
        <v>0.85450980392156861</v>
      </c>
      <c r="E60" s="18" t="s">
        <v>373</v>
      </c>
    </row>
    <row r="61" spans="1:5" ht="28" x14ac:dyDescent="0.2">
      <c r="A61" s="4" t="s">
        <v>374</v>
      </c>
      <c r="B61" s="18" t="s">
        <v>375</v>
      </c>
      <c r="C61" s="26">
        <f>$C$36*$C$60</f>
        <v>2221.7254901960782</v>
      </c>
      <c r="E61" s="18" t="s">
        <v>376</v>
      </c>
    </row>
    <row r="62" spans="1:5" x14ac:dyDescent="0.2">
      <c r="A62" s="4" t="s">
        <v>377</v>
      </c>
      <c r="B62" s="18" t="s">
        <v>378</v>
      </c>
      <c r="C62" s="26">
        <f>$C$61*$C$45</f>
        <v>0</v>
      </c>
      <c r="E62" s="18" t="s">
        <v>376</v>
      </c>
    </row>
    <row r="63" spans="1:5" x14ac:dyDescent="0.2">
      <c r="A63" s="4" t="s">
        <v>379</v>
      </c>
      <c r="B63" s="18" t="s">
        <v>380</v>
      </c>
      <c r="C63" s="26">
        <f>$C$61-$C$62</f>
        <v>2221.7254901960782</v>
      </c>
      <c r="E63" s="18" t="s">
        <v>381</v>
      </c>
    </row>
    <row r="64" spans="1:5" ht="39" x14ac:dyDescent="0.2">
      <c r="A64" s="4" t="s">
        <v>382</v>
      </c>
      <c r="B64" s="18" t="s">
        <v>383</v>
      </c>
      <c r="C64" s="26">
        <f>IF($C$47="own_desk",$C$36*$C$40,IF($C$47="market_plus_pct",$C$36*$C$40*(1-$C$42),$C$36*$C$41))</f>
        <v>2266.1600000000003</v>
      </c>
      <c r="E64" s="18" t="s">
        <v>384</v>
      </c>
    </row>
    <row r="65" spans="1:5" x14ac:dyDescent="0.2">
      <c r="A65" s="4" t="s">
        <v>385</v>
      </c>
      <c r="B65" s="18" t="s">
        <v>386</v>
      </c>
      <c r="C65" s="26">
        <f>$C$36*$C$40-$C$64</f>
        <v>0</v>
      </c>
      <c r="E65" s="18" t="s">
        <v>381</v>
      </c>
    </row>
    <row r="66" spans="1:5" x14ac:dyDescent="0.2">
      <c r="A66" s="4" t="s">
        <v>387</v>
      </c>
      <c r="B66" s="18" t="s">
        <v>388</v>
      </c>
      <c r="C66" s="26">
        <f>$C$64-$C$63</f>
        <v>44.434509803922083</v>
      </c>
      <c r="E66" s="18" t="s">
        <v>389</v>
      </c>
    </row>
    <row r="67" spans="1:5" x14ac:dyDescent="0.2">
      <c r="A67" s="4" t="s">
        <v>390</v>
      </c>
      <c r="B67" s="18" t="s">
        <v>391</v>
      </c>
      <c r="C67" s="27">
        <f>IF($C$36*$C$40=0,0,$C$66/($C$36*$C$40))</f>
        <v>1.9607843137255127E-2</v>
      </c>
      <c r="E67" s="18" t="s">
        <v>381</v>
      </c>
    </row>
    <row r="68" spans="1:5" ht="26" x14ac:dyDescent="0.2">
      <c r="A68" s="4" t="s">
        <v>392</v>
      </c>
      <c r="B68" s="18" t="s">
        <v>393</v>
      </c>
      <c r="C68" s="7" t="str">
        <f>IF($C$67&lt;$C$51,"YES — Finance approval","no")</f>
        <v>no</v>
      </c>
      <c r="E68" s="18" t="s">
        <v>394</v>
      </c>
    </row>
    <row r="69" spans="1:5" ht="26" x14ac:dyDescent="0.2">
      <c r="A69" s="4" t="s">
        <v>395</v>
      </c>
      <c r="B69" s="18" t="s">
        <v>396</v>
      </c>
      <c r="C69" s="26">
        <f>IF($C$49="round_up_unit",CEILING($C$63,$C$50),IF($C$49="nearest_unit",MROUND($C$63,$C$50),IF($C$49="nearest_n",MROUND($C$63,$C$50),FLOOR($C$63,$C$50))))</f>
        <v>2221</v>
      </c>
      <c r="E69" s="18" t="s">
        <v>397</v>
      </c>
    </row>
    <row r="70" spans="1:5" ht="28" x14ac:dyDescent="0.2">
      <c r="A70" s="4" t="s">
        <v>398</v>
      </c>
      <c r="B70" s="18" t="s">
        <v>399</v>
      </c>
      <c r="C70" s="26">
        <f>$C$63-$C$69</f>
        <v>0.72549019607822629</v>
      </c>
      <c r="E70" s="18" t="s">
        <v>400</v>
      </c>
    </row>
    <row r="71" spans="1:5" ht="26" x14ac:dyDescent="0.2">
      <c r="A71" s="4" t="s">
        <v>401</v>
      </c>
      <c r="B71" s="18" t="s">
        <v>402</v>
      </c>
      <c r="C71" s="25" t="e">
        <f>IF($C$52="",$C$59,$C$60/(1-$C$52))</f>
        <v>#VALUE!</v>
      </c>
      <c r="E71" s="18" t="s">
        <v>356</v>
      </c>
    </row>
    <row r="72" spans="1:5" x14ac:dyDescent="0.2">
      <c r="A72" s="4" t="s">
        <v>403</v>
      </c>
      <c r="B72" s="18" t="s">
        <v>404</v>
      </c>
      <c r="C72" s="26">
        <f>IF($C$53="rebate",$C$65*$C$54,0)</f>
        <v>0</v>
      </c>
      <c r="E72" s="18" t="s">
        <v>405</v>
      </c>
    </row>
    <row r="73" spans="1:5" x14ac:dyDescent="0.2">
      <c r="A73" s="4" t="s">
        <v>406</v>
      </c>
      <c r="B73" s="18" t="s">
        <v>407</v>
      </c>
      <c r="C73" s="26">
        <f>$C$36*$C$40*$C$55</f>
        <v>0</v>
      </c>
      <c r="E73" s="18" t="s">
        <v>408</v>
      </c>
    </row>
    <row r="74" spans="1:5" ht="28" x14ac:dyDescent="0.2">
      <c r="A74" s="4" t="s">
        <v>409</v>
      </c>
      <c r="B74" s="18" t="s">
        <v>410</v>
      </c>
      <c r="C74" s="26">
        <f>ROUND($C$63+$C$65+$C$66-$C$36*$C$40,6)</f>
        <v>0</v>
      </c>
      <c r="E74" s="18" t="s">
        <v>411</v>
      </c>
    </row>
    <row r="76" spans="1:5" x14ac:dyDescent="0.2">
      <c r="A76" s="16" t="s">
        <v>412</v>
      </c>
    </row>
    <row r="77" spans="1:5" x14ac:dyDescent="0.2">
      <c r="A77" s="17" t="s">
        <v>413</v>
      </c>
      <c r="B77" s="17" t="s">
        <v>414</v>
      </c>
      <c r="C77" s="17" t="s">
        <v>415</v>
      </c>
      <c r="D77" s="17" t="s">
        <v>416</v>
      </c>
      <c r="E77" s="17" t="s">
        <v>417</v>
      </c>
    </row>
    <row r="78" spans="1:5" x14ac:dyDescent="0.2">
      <c r="A78" s="7" t="str">
        <f>"CL."&amp;$C$39&amp;"."&amp;$C$37&amp;".COLLECTED"</f>
        <v>CL.OWNDESK.USDT.COLLECTED</v>
      </c>
      <c r="B78" s="7" t="s">
        <v>418</v>
      </c>
      <c r="C78" s="26">
        <f>$C$36</f>
        <v>2600</v>
      </c>
      <c r="D78" s="19" t="s">
        <v>419</v>
      </c>
      <c r="E78" s="19" t="s">
        <v>420</v>
      </c>
    </row>
    <row r="79" spans="1:5" x14ac:dyDescent="0.2">
      <c r="A79" s="7" t="str">
        <f>"CL.PROJECT."&amp;$C$37&amp;".PAYABLE"</f>
        <v>CL.PROJECT.USDT.PAYABLE</v>
      </c>
      <c r="B79" s="7" t="s">
        <v>421</v>
      </c>
      <c r="C79" s="26">
        <f>$C$36</f>
        <v>2600</v>
      </c>
      <c r="D79" s="19" t="s">
        <v>419</v>
      </c>
      <c r="E79" s="19" t="s">
        <v>420</v>
      </c>
    </row>
    <row r="80" spans="1:5" x14ac:dyDescent="0.2">
      <c r="A80" s="7" t="str">
        <f>"CL.PROJECT."&amp;$C$37&amp;".PAYABLE"</f>
        <v>CL.PROJECT.USDT.PAYABLE</v>
      </c>
      <c r="B80" s="7" t="s">
        <v>418</v>
      </c>
      <c r="C80" s="26">
        <f>$C$36</f>
        <v>2600</v>
      </c>
      <c r="D80" s="19" t="s">
        <v>419</v>
      </c>
      <c r="E80" s="19" t="s">
        <v>422</v>
      </c>
    </row>
    <row r="81" spans="1:5" x14ac:dyDescent="0.2">
      <c r="A81" s="7" t="str">
        <f>"CL."&amp;$C$39&amp;"."&amp;$C$37&amp;".COLLECTED"</f>
        <v>CL.OWNDESK.USDT.COLLECTED</v>
      </c>
      <c r="B81" s="7" t="s">
        <v>421</v>
      </c>
      <c r="C81" s="26">
        <f>$C$36</f>
        <v>2600</v>
      </c>
      <c r="D81" s="19" t="s">
        <v>419</v>
      </c>
      <c r="E81" s="19" t="s">
        <v>422</v>
      </c>
    </row>
    <row r="82" spans="1:5" x14ac:dyDescent="0.2">
      <c r="A82" s="7" t="str">
        <f>"CL."&amp;$C$39&amp;"."&amp;$C$38&amp;".DUE"</f>
        <v>CL.OWNDESK.EUR.DUE</v>
      </c>
      <c r="B82" s="7" t="s">
        <v>418</v>
      </c>
      <c r="C82" s="26">
        <f>$C$63</f>
        <v>2221.7254901960782</v>
      </c>
      <c r="D82" s="19" t="s">
        <v>423</v>
      </c>
      <c r="E82" s="19" t="s">
        <v>424</v>
      </c>
    </row>
    <row r="83" spans="1:5" x14ac:dyDescent="0.2">
      <c r="A83" s="7" t="str">
        <f>"CO."&amp;$C$39&amp;"."&amp;$C$38&amp;".POOL"</f>
        <v>CO.OWNDESK.EUR.POOL</v>
      </c>
      <c r="B83" s="7" t="s">
        <v>418</v>
      </c>
      <c r="C83" s="26">
        <f>IF($C$53="rebate",0,$C$66)</f>
        <v>44.434509803922083</v>
      </c>
      <c r="D83" s="19" t="s">
        <v>425</v>
      </c>
      <c r="E83" s="19" t="s">
        <v>426</v>
      </c>
    </row>
    <row r="84" spans="1:5" x14ac:dyDescent="0.2">
      <c r="A84" s="7" t="str">
        <f>"CO."&amp;$C$39&amp;"."&amp;$C$38&amp;".REBATE_RECEIVABLE"</f>
        <v>CO.OWNDESK.EUR.REBATE_RECEIVABLE</v>
      </c>
      <c r="B84" s="7" t="s">
        <v>418</v>
      </c>
      <c r="C84" s="26">
        <f>$C$72</f>
        <v>0</v>
      </c>
      <c r="D84" s="19" t="s">
        <v>425</v>
      </c>
      <c r="E84" s="19" t="s">
        <v>427</v>
      </c>
    </row>
    <row r="85" spans="1:5" x14ac:dyDescent="0.2">
      <c r="A85" s="7" t="str">
        <f>"CL.PROJECT."&amp;$C$38&amp;".PAYABLE"</f>
        <v>CL.PROJECT.EUR.PAYABLE</v>
      </c>
      <c r="B85" s="7" t="s">
        <v>421</v>
      </c>
      <c r="C85" s="26">
        <f>$C$63</f>
        <v>2221.7254901960782</v>
      </c>
      <c r="D85" s="19" t="s">
        <v>419</v>
      </c>
      <c r="E85" s="19" t="s">
        <v>424</v>
      </c>
    </row>
    <row r="86" spans="1:5" x14ac:dyDescent="0.2">
      <c r="A86" s="7" t="str">
        <f>"CO.NONE."&amp;$C$38&amp;".EARN_GROSS"</f>
        <v>CO.NONE.EUR.EARN_GROSS</v>
      </c>
      <c r="B86" s="7" t="s">
        <v>421</v>
      </c>
      <c r="C86" s="26">
        <f>$C$66+$C$72</f>
        <v>44.434509803922083</v>
      </c>
      <c r="D86" s="19" t="s">
        <v>425</v>
      </c>
      <c r="E86" s="19" t="s">
        <v>428</v>
      </c>
    </row>
    <row r="87" spans="1:5" x14ac:dyDescent="0.2">
      <c r="A87" s="7" t="str">
        <f>"CL."&amp;$C$39&amp;"."&amp;$C$38&amp;".INTRANSIT"</f>
        <v>CL.OWNDESK.EUR.INTRANSIT</v>
      </c>
      <c r="B87" s="7" t="s">
        <v>418</v>
      </c>
      <c r="C87" s="26">
        <f>$C$69</f>
        <v>2221</v>
      </c>
      <c r="D87" s="19" t="s">
        <v>419</v>
      </c>
      <c r="E87" s="19" t="s">
        <v>429</v>
      </c>
    </row>
    <row r="88" spans="1:5" x14ac:dyDescent="0.2">
      <c r="A88" s="7" t="str">
        <f>"CL."&amp;$C$39&amp;"."&amp;$C$38&amp;".DUE"</f>
        <v>CL.OWNDESK.EUR.DUE</v>
      </c>
      <c r="B88" s="7" t="s">
        <v>421</v>
      </c>
      <c r="C88" s="26">
        <f>$C$69</f>
        <v>2221</v>
      </c>
      <c r="D88" s="19" t="s">
        <v>419</v>
      </c>
      <c r="E88" s="19" t="s">
        <v>430</v>
      </c>
    </row>
    <row r="89" spans="1:5" x14ac:dyDescent="0.2">
      <c r="A89" s="7" t="str">
        <f>"CL.PROJECT."&amp;$C$38&amp;".PAYABLE"</f>
        <v>CL.PROJECT.EUR.PAYABLE</v>
      </c>
      <c r="B89" s="7" t="s">
        <v>418</v>
      </c>
      <c r="C89" s="26">
        <f>$C$69</f>
        <v>2221</v>
      </c>
      <c r="D89" s="19" t="s">
        <v>419</v>
      </c>
      <c r="E89" s="19" t="s">
        <v>431</v>
      </c>
    </row>
    <row r="90" spans="1:5" x14ac:dyDescent="0.2">
      <c r="A90" s="7" t="str">
        <f>"CL."&amp;$C$39&amp;"."&amp;$C$38&amp;".INTRANSIT"</f>
        <v>CL.OWNDESK.EUR.INTRANSIT</v>
      </c>
      <c r="B90" s="7" t="s">
        <v>421</v>
      </c>
      <c r="C90" s="26">
        <f>$C$69</f>
        <v>2221</v>
      </c>
      <c r="D90" s="19" t="s">
        <v>419</v>
      </c>
      <c r="E90" s="19" t="s">
        <v>431</v>
      </c>
    </row>
    <row r="91" spans="1:5" x14ac:dyDescent="0.2">
      <c r="A91" s="7" t="str">
        <f>"CO.NONE."&amp;$C$38&amp;".EARN_GROSS"</f>
        <v>CO.NONE.EUR.EARN_GROSS</v>
      </c>
      <c r="B91" s="7" t="s">
        <v>418</v>
      </c>
      <c r="C91" s="26">
        <f>$C$73</f>
        <v>0</v>
      </c>
      <c r="D91" s="19" t="s">
        <v>432</v>
      </c>
      <c r="E91" s="19" t="s">
        <v>433</v>
      </c>
    </row>
    <row r="92" spans="1:5" x14ac:dyDescent="0.2">
      <c r="A92" s="7" t="str">
        <f>"CO.INTRODUCER."&amp;$C$38&amp;".REFERRAL_PAYABLE"</f>
        <v>CO.INTRODUCER.EUR.REFERRAL_PAYABLE</v>
      </c>
      <c r="B92" s="7" t="s">
        <v>421</v>
      </c>
      <c r="C92" s="26">
        <f>$C$73</f>
        <v>0</v>
      </c>
      <c r="D92" s="19" t="s">
        <v>432</v>
      </c>
      <c r="E92" s="19" t="s">
        <v>434</v>
      </c>
    </row>
    <row r="93" spans="1:5" ht="30" customHeight="1" x14ac:dyDescent="0.2">
      <c r="A93" s="28" t="s">
        <v>435</v>
      </c>
      <c r="C93" s="29">
        <f>ROUND(SUMIF($B$82:$B$92,"Dr",$C$82:$C$92)-SUMIF($B$82:$B$92,"Cr",$C$82:$C$92),6)</f>
        <v>0</v>
      </c>
      <c r="E93" s="18" t="s">
        <v>436</v>
      </c>
    </row>
    <row r="95" spans="1:5" x14ac:dyDescent="0.2">
      <c r="A95" s="16" t="s">
        <v>437</v>
      </c>
    </row>
    <row r="96" spans="1:5" x14ac:dyDescent="0.2">
      <c r="A96" s="17" t="s">
        <v>438</v>
      </c>
      <c r="B96" s="17" t="s">
        <v>439</v>
      </c>
      <c r="C96" s="17" t="s">
        <v>440</v>
      </c>
      <c r="D96" s="17" t="s">
        <v>441</v>
      </c>
      <c r="E96" s="17" t="s">
        <v>442</v>
      </c>
    </row>
    <row r="97" spans="1:5" ht="30" customHeight="1" x14ac:dyDescent="0.2">
      <c r="A97" s="4" t="s">
        <v>533</v>
      </c>
      <c r="B97" s="20">
        <v>2220</v>
      </c>
      <c r="C97" s="26">
        <f>$C$61</f>
        <v>2221.7254901960782</v>
      </c>
      <c r="D97" s="29">
        <f>ROUND(C97-B97,2)</f>
        <v>1.73</v>
      </c>
      <c r="E97" s="18" t="s">
        <v>534</v>
      </c>
    </row>
    <row r="99" spans="1:5" x14ac:dyDescent="0.2">
      <c r="A99" s="16" t="s">
        <v>535</v>
      </c>
    </row>
    <row r="100" spans="1:5" x14ac:dyDescent="0.2">
      <c r="A100" s="17" t="s">
        <v>365</v>
      </c>
      <c r="B100" s="17"/>
      <c r="C100" s="17" t="s">
        <v>217</v>
      </c>
      <c r="D100" s="17"/>
      <c r="E100" s="17" t="s">
        <v>218</v>
      </c>
    </row>
    <row r="101" spans="1:5" x14ac:dyDescent="0.2">
      <c r="A101" s="7" t="s">
        <v>536</v>
      </c>
      <c r="C101" s="20">
        <v>1358.98</v>
      </c>
      <c r="E101" s="19" t="s">
        <v>537</v>
      </c>
    </row>
    <row r="102" spans="1:5" x14ac:dyDescent="0.2">
      <c r="A102" s="7" t="s">
        <v>538</v>
      </c>
      <c r="C102" s="21">
        <v>1.1409650827662501</v>
      </c>
      <c r="E102" s="19" t="s">
        <v>539</v>
      </c>
    </row>
    <row r="103" spans="1:5" x14ac:dyDescent="0.2">
      <c r="A103" s="7" t="s">
        <v>540</v>
      </c>
      <c r="C103" s="26">
        <f>ROUND($C$101*$C$102,2)</f>
        <v>1550.55</v>
      </c>
      <c r="E103" s="19" t="s">
        <v>541</v>
      </c>
    </row>
    <row r="104" spans="1:5" x14ac:dyDescent="0.2">
      <c r="A104" s="7" t="s">
        <v>542</v>
      </c>
      <c r="C104" s="26">
        <f>$C$101</f>
        <v>1358.98</v>
      </c>
      <c r="E104" s="19" t="s">
        <v>543</v>
      </c>
    </row>
    <row r="105" spans="1:5" ht="30" customHeight="1" x14ac:dyDescent="0.2">
      <c r="A105" s="5" t="s">
        <v>544</v>
      </c>
      <c r="C105" s="29">
        <f>ROUND($C$63-$C$101,2)</f>
        <v>862.75</v>
      </c>
      <c r="E105" s="18" t="s">
        <v>545</v>
      </c>
    </row>
    <row r="107" spans="1:5" x14ac:dyDescent="0.2">
      <c r="A107" s="16" t="s">
        <v>445</v>
      </c>
    </row>
    <row r="108" spans="1:5" ht="31.5" customHeight="1" x14ac:dyDescent="0.2">
      <c r="A108" s="14" t="s">
        <v>446</v>
      </c>
      <c r="B108" s="1" t="s">
        <v>546</v>
      </c>
      <c r="C108" s="1"/>
      <c r="D108" s="1"/>
      <c r="E108" s="1"/>
    </row>
    <row r="109" spans="1:5" ht="31.5" customHeight="1" x14ac:dyDescent="0.2">
      <c r="A109" s="14"/>
      <c r="B109" s="35" t="s">
        <v>678</v>
      </c>
      <c r="C109" s="44"/>
      <c r="D109" s="44"/>
      <c r="E109" s="44"/>
    </row>
    <row r="110" spans="1:5" ht="31.5" customHeight="1" x14ac:dyDescent="0.2">
      <c r="A110" s="14"/>
      <c r="B110" s="15"/>
      <c r="C110" s="15"/>
      <c r="D110" s="15"/>
      <c r="E110" s="15"/>
    </row>
    <row r="111" spans="1:5" ht="31.5" customHeight="1" x14ac:dyDescent="0.2">
      <c r="A111" s="14" t="s">
        <v>446</v>
      </c>
      <c r="B111" s="1" t="s">
        <v>547</v>
      </c>
      <c r="C111" s="1"/>
      <c r="D111" s="1"/>
      <c r="E111" s="1"/>
    </row>
    <row r="112" spans="1:5" ht="31.5" customHeight="1" x14ac:dyDescent="0.2">
      <c r="A112" s="14"/>
      <c r="B112" s="35" t="s">
        <v>679</v>
      </c>
      <c r="C112" s="44"/>
      <c r="D112" s="44"/>
      <c r="E112" s="44"/>
    </row>
    <row r="113" spans="1:5" ht="31.5" customHeight="1" x14ac:dyDescent="0.2">
      <c r="A113" s="14" t="s">
        <v>446</v>
      </c>
      <c r="B113" s="1" t="s">
        <v>548</v>
      </c>
      <c r="C113" s="1"/>
      <c r="D113" s="1"/>
      <c r="E113" s="1"/>
    </row>
    <row r="114" spans="1:5" ht="31.5" customHeight="1" x14ac:dyDescent="0.2">
      <c r="A114" s="14"/>
      <c r="B114" s="35" t="s">
        <v>680</v>
      </c>
      <c r="C114" s="44"/>
      <c r="D114" s="44"/>
      <c r="E114" s="44"/>
    </row>
    <row r="115" spans="1:5" ht="31.5" customHeight="1" x14ac:dyDescent="0.2">
      <c r="A115" s="14" t="s">
        <v>446</v>
      </c>
      <c r="B115" s="1" t="s">
        <v>549</v>
      </c>
      <c r="C115" s="1"/>
      <c r="D115" s="1"/>
      <c r="E115" s="1"/>
    </row>
    <row r="116" spans="1:5" x14ac:dyDescent="0.2">
      <c r="B116" s="35" t="s">
        <v>681</v>
      </c>
      <c r="C116" s="44"/>
      <c r="D116" s="44"/>
      <c r="E116" s="44"/>
    </row>
  </sheetData>
  <mergeCells count="8">
    <mergeCell ref="B116:E116"/>
    <mergeCell ref="B108:E108"/>
    <mergeCell ref="B111:E111"/>
    <mergeCell ref="B113:E113"/>
    <mergeCell ref="B115:E115"/>
    <mergeCell ref="B109:E109"/>
    <mergeCell ref="B112:E112"/>
    <mergeCell ref="B114:E114"/>
  </mergeCells>
  <pageMargins left="0.75" right="0.75" top="1" bottom="1"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14"/>
  <sheetViews>
    <sheetView topLeftCell="A92" zoomScaleNormal="100" workbookViewId="0">
      <selection activeCell="C112" sqref="C112"/>
    </sheetView>
  </sheetViews>
  <sheetFormatPr baseColWidth="10" defaultColWidth="8.6640625" defaultRowHeight="15" x14ac:dyDescent="0.2"/>
  <cols>
    <col min="1" max="2" width="34" customWidth="1"/>
    <col min="3" max="3" width="22" customWidth="1"/>
    <col min="4" max="4" width="18" customWidth="1"/>
    <col min="5" max="5" width="48" customWidth="1"/>
  </cols>
  <sheetData>
    <row r="1" spans="1:5" ht="17" x14ac:dyDescent="0.2">
      <c r="A1" s="2" t="s">
        <v>550</v>
      </c>
    </row>
    <row r="2" spans="1:5" x14ac:dyDescent="0.2">
      <c r="A2" s="13" t="s">
        <v>210</v>
      </c>
      <c r="B2" s="14" t="s">
        <v>551</v>
      </c>
    </row>
    <row r="3" spans="1:5" ht="30" customHeight="1" x14ac:dyDescent="0.2">
      <c r="A3" s="13" t="s">
        <v>212</v>
      </c>
      <c r="B3" s="15" t="s">
        <v>552</v>
      </c>
    </row>
    <row r="5" spans="1:5" x14ac:dyDescent="0.2">
      <c r="A5" s="16" t="s">
        <v>214</v>
      </c>
    </row>
    <row r="6" spans="1:5" x14ac:dyDescent="0.2">
      <c r="A6" s="17" t="s">
        <v>215</v>
      </c>
      <c r="B6" s="17" t="s">
        <v>216</v>
      </c>
      <c r="C6" s="17" t="s">
        <v>217</v>
      </c>
      <c r="D6" s="17" t="s">
        <v>218</v>
      </c>
      <c r="E6" s="17" t="s">
        <v>219</v>
      </c>
    </row>
    <row r="7" spans="1:5" ht="30" customHeight="1" x14ac:dyDescent="0.2">
      <c r="A7" s="4" t="s">
        <v>220</v>
      </c>
      <c r="B7" s="4" t="s">
        <v>221</v>
      </c>
      <c r="C7" s="10" t="s">
        <v>175</v>
      </c>
      <c r="D7" s="4" t="s">
        <v>222</v>
      </c>
      <c r="E7" s="18" t="s">
        <v>223</v>
      </c>
    </row>
    <row r="8" spans="1:5" ht="30" customHeight="1" x14ac:dyDescent="0.2">
      <c r="A8" s="4" t="s">
        <v>224</v>
      </c>
      <c r="B8" s="4" t="s">
        <v>225</v>
      </c>
      <c r="C8" s="10" t="s">
        <v>553</v>
      </c>
      <c r="D8" s="4" t="s">
        <v>222</v>
      </c>
      <c r="E8" s="18" t="s">
        <v>227</v>
      </c>
    </row>
    <row r="9" spans="1:5" ht="30" customHeight="1" x14ac:dyDescent="0.2">
      <c r="A9" s="4" t="s">
        <v>228</v>
      </c>
      <c r="B9" s="4" t="s">
        <v>229</v>
      </c>
      <c r="C9" s="10" t="s">
        <v>554</v>
      </c>
      <c r="D9" s="4" t="s">
        <v>222</v>
      </c>
      <c r="E9" s="18" t="s">
        <v>230</v>
      </c>
    </row>
    <row r="10" spans="1:5" ht="30" customHeight="1" x14ac:dyDescent="0.2">
      <c r="A10" s="4" t="s">
        <v>231</v>
      </c>
      <c r="B10" s="4" t="s">
        <v>232</v>
      </c>
      <c r="C10" s="10" t="s">
        <v>555</v>
      </c>
      <c r="D10" s="4" t="s">
        <v>222</v>
      </c>
      <c r="E10" s="18" t="s">
        <v>233</v>
      </c>
    </row>
    <row r="11" spans="1:5" ht="15.75" customHeight="1" x14ac:dyDescent="0.2">
      <c r="A11" s="4" t="s">
        <v>234</v>
      </c>
      <c r="B11" s="4" t="s">
        <v>235</v>
      </c>
      <c r="C11" s="10" t="s">
        <v>556</v>
      </c>
      <c r="D11" s="4" t="s">
        <v>222</v>
      </c>
      <c r="E11" s="18" t="s">
        <v>237</v>
      </c>
    </row>
    <row r="12" spans="1:5" ht="30" customHeight="1" x14ac:dyDescent="0.2">
      <c r="A12" s="4" t="s">
        <v>238</v>
      </c>
      <c r="B12" s="4" t="s">
        <v>239</v>
      </c>
      <c r="C12" s="10" t="s">
        <v>557</v>
      </c>
      <c r="D12" s="4" t="s">
        <v>222</v>
      </c>
      <c r="E12" s="18" t="s">
        <v>240</v>
      </c>
    </row>
    <row r="13" spans="1:5" ht="15.75" customHeight="1" x14ac:dyDescent="0.2">
      <c r="A13" s="4" t="s">
        <v>241</v>
      </c>
      <c r="B13" s="4" t="s">
        <v>242</v>
      </c>
      <c r="C13" s="10" t="s">
        <v>93</v>
      </c>
      <c r="D13" s="4" t="s">
        <v>222</v>
      </c>
      <c r="E13" s="18"/>
    </row>
    <row r="14" spans="1:5" ht="30" customHeight="1" x14ac:dyDescent="0.2">
      <c r="A14" s="4" t="s">
        <v>243</v>
      </c>
      <c r="B14" s="4" t="s">
        <v>244</v>
      </c>
      <c r="C14" s="10" t="s">
        <v>94</v>
      </c>
      <c r="D14" s="4" t="s">
        <v>222</v>
      </c>
      <c r="E14" s="18" t="s">
        <v>245</v>
      </c>
    </row>
    <row r="15" spans="1:5" ht="15.75" customHeight="1" x14ac:dyDescent="0.2">
      <c r="A15" s="4" t="s">
        <v>246</v>
      </c>
      <c r="B15" s="4" t="s">
        <v>247</v>
      </c>
      <c r="C15" s="10" t="s">
        <v>558</v>
      </c>
      <c r="D15" s="4" t="s">
        <v>222</v>
      </c>
      <c r="E15" s="18" t="s">
        <v>248</v>
      </c>
    </row>
    <row r="16" spans="1:5" ht="30" customHeight="1" x14ac:dyDescent="0.2">
      <c r="A16" s="4" t="s">
        <v>249</v>
      </c>
      <c r="B16" s="4" t="s">
        <v>250</v>
      </c>
      <c r="C16" s="10" t="s">
        <v>481</v>
      </c>
      <c r="D16" s="4" t="s">
        <v>222</v>
      </c>
      <c r="E16" s="18" t="s">
        <v>252</v>
      </c>
    </row>
    <row r="17" spans="1:5" ht="30" customHeight="1" x14ac:dyDescent="0.2">
      <c r="A17" s="4" t="s">
        <v>253</v>
      </c>
      <c r="B17" s="4" t="s">
        <v>254</v>
      </c>
      <c r="C17" s="10" t="s">
        <v>255</v>
      </c>
      <c r="D17" s="4" t="s">
        <v>222</v>
      </c>
      <c r="E17" s="18" t="s">
        <v>256</v>
      </c>
    </row>
    <row r="18" spans="1:5" ht="15.75" customHeight="1" x14ac:dyDescent="0.2">
      <c r="A18" s="4" t="s">
        <v>257</v>
      </c>
      <c r="B18" s="4" t="s">
        <v>258</v>
      </c>
      <c r="C18" s="10" t="s">
        <v>86</v>
      </c>
      <c r="D18" s="4" t="s">
        <v>222</v>
      </c>
      <c r="E18" s="18" t="s">
        <v>259</v>
      </c>
    </row>
    <row r="19" spans="1:5" ht="15.75" customHeight="1" x14ac:dyDescent="0.2">
      <c r="A19" s="4" t="s">
        <v>260</v>
      </c>
      <c r="B19" s="4" t="s">
        <v>261</v>
      </c>
      <c r="C19" s="12">
        <v>0.02</v>
      </c>
      <c r="D19" s="4" t="s">
        <v>222</v>
      </c>
      <c r="E19" s="18" t="s">
        <v>262</v>
      </c>
    </row>
    <row r="20" spans="1:5" ht="15.75" customHeight="1" x14ac:dyDescent="0.2">
      <c r="A20" s="4" t="s">
        <v>263</v>
      </c>
      <c r="B20" s="4" t="s">
        <v>264</v>
      </c>
      <c r="C20" s="12">
        <v>0.02</v>
      </c>
      <c r="D20" s="4" t="s">
        <v>222</v>
      </c>
      <c r="E20" s="18"/>
    </row>
    <row r="21" spans="1:5" ht="30" customHeight="1" x14ac:dyDescent="0.2">
      <c r="A21" s="4" t="s">
        <v>265</v>
      </c>
      <c r="B21" s="4" t="s">
        <v>266</v>
      </c>
      <c r="C21" s="12">
        <v>0</v>
      </c>
      <c r="D21" s="4" t="s">
        <v>222</v>
      </c>
      <c r="E21" s="18" t="s">
        <v>267</v>
      </c>
    </row>
    <row r="22" spans="1:5" ht="15.75" customHeight="1" x14ac:dyDescent="0.2">
      <c r="A22" s="4" t="s">
        <v>268</v>
      </c>
      <c r="B22" s="4" t="s">
        <v>269</v>
      </c>
      <c r="C22" s="32" t="s">
        <v>630</v>
      </c>
      <c r="D22" s="4" t="s">
        <v>226</v>
      </c>
      <c r="E22" s="18" t="s">
        <v>270</v>
      </c>
    </row>
    <row r="23" spans="1:5" ht="15.75" customHeight="1" x14ac:dyDescent="0.2">
      <c r="A23" s="4" t="s">
        <v>271</v>
      </c>
      <c r="B23" s="4" t="s">
        <v>272</v>
      </c>
      <c r="C23" s="32" t="s">
        <v>630</v>
      </c>
      <c r="D23" s="4" t="s">
        <v>226</v>
      </c>
      <c r="E23" s="18" t="s">
        <v>270</v>
      </c>
    </row>
    <row r="24" spans="1:5" ht="15.75" customHeight="1" x14ac:dyDescent="0.2">
      <c r="A24" s="4" t="s">
        <v>273</v>
      </c>
      <c r="B24" s="4" t="s">
        <v>274</v>
      </c>
      <c r="C24" s="12">
        <v>5.0000000000000001E-3</v>
      </c>
      <c r="D24" s="4" t="s">
        <v>222</v>
      </c>
      <c r="E24" s="18" t="s">
        <v>275</v>
      </c>
    </row>
    <row r="25" spans="1:5" ht="30" customHeight="1" x14ac:dyDescent="0.2">
      <c r="A25" s="4" t="s">
        <v>276</v>
      </c>
      <c r="B25" s="4" t="s">
        <v>277</v>
      </c>
      <c r="C25" s="32" t="s">
        <v>684</v>
      </c>
      <c r="D25" s="4" t="s">
        <v>278</v>
      </c>
      <c r="E25" s="18" t="s">
        <v>279</v>
      </c>
    </row>
    <row r="26" spans="1:5" ht="15.75" customHeight="1" x14ac:dyDescent="0.2">
      <c r="A26" s="4" t="s">
        <v>280</v>
      </c>
      <c r="B26" s="4" t="s">
        <v>281</v>
      </c>
      <c r="C26" s="39" t="s">
        <v>683</v>
      </c>
      <c r="D26" s="4" t="s">
        <v>222</v>
      </c>
      <c r="E26" s="18" t="s">
        <v>282</v>
      </c>
    </row>
    <row r="27" spans="1:5" ht="15.75" customHeight="1" x14ac:dyDescent="0.2">
      <c r="A27" s="4" t="s">
        <v>283</v>
      </c>
      <c r="B27" s="4" t="s">
        <v>284</v>
      </c>
      <c r="C27" s="32" t="s">
        <v>621</v>
      </c>
      <c r="D27" s="4" t="s">
        <v>278</v>
      </c>
      <c r="E27" s="18" t="s">
        <v>286</v>
      </c>
    </row>
    <row r="28" spans="1:5" ht="15.75" customHeight="1" x14ac:dyDescent="0.2">
      <c r="A28" s="4" t="s">
        <v>287</v>
      </c>
      <c r="B28" s="4" t="s">
        <v>288</v>
      </c>
      <c r="C28" s="10"/>
      <c r="D28" s="4" t="s">
        <v>278</v>
      </c>
      <c r="E28" s="18" t="s">
        <v>289</v>
      </c>
    </row>
    <row r="29" spans="1:5" ht="30" customHeight="1" x14ac:dyDescent="0.2">
      <c r="A29" s="4" t="s">
        <v>290</v>
      </c>
      <c r="B29" s="4" t="s">
        <v>291</v>
      </c>
      <c r="C29" s="10" t="s">
        <v>559</v>
      </c>
      <c r="D29" s="4" t="s">
        <v>222</v>
      </c>
      <c r="E29" s="18" t="s">
        <v>293</v>
      </c>
    </row>
    <row r="30" spans="1:5" ht="15.75" customHeight="1" x14ac:dyDescent="0.2">
      <c r="A30" s="4" t="s">
        <v>294</v>
      </c>
      <c r="B30" s="4" t="s">
        <v>295</v>
      </c>
      <c r="C30" s="32" t="s">
        <v>313</v>
      </c>
      <c r="D30" s="4" t="s">
        <v>226</v>
      </c>
      <c r="E30" s="18"/>
    </row>
    <row r="31" spans="1:5" ht="15.75" customHeight="1" x14ac:dyDescent="0.2">
      <c r="A31" s="4" t="s">
        <v>296</v>
      </c>
      <c r="B31" s="4" t="s">
        <v>297</v>
      </c>
      <c r="C31" s="32" t="s">
        <v>313</v>
      </c>
      <c r="D31" s="4" t="s">
        <v>226</v>
      </c>
      <c r="E31" s="18" t="s">
        <v>298</v>
      </c>
    </row>
    <row r="32" spans="1:5" ht="30" customHeight="1" x14ac:dyDescent="0.2">
      <c r="A32" s="4" t="s">
        <v>299</v>
      </c>
      <c r="B32" s="4" t="s">
        <v>300</v>
      </c>
      <c r="C32" s="32" t="s">
        <v>654</v>
      </c>
      <c r="D32" s="4" t="s">
        <v>226</v>
      </c>
      <c r="E32" s="18" t="s">
        <v>301</v>
      </c>
    </row>
    <row r="34" spans="1:5" x14ac:dyDescent="0.2">
      <c r="A34" s="16" t="s">
        <v>302</v>
      </c>
    </row>
    <row r="35" spans="1:5" x14ac:dyDescent="0.2">
      <c r="A35" s="17" t="s">
        <v>303</v>
      </c>
      <c r="B35" s="17" t="s">
        <v>304</v>
      </c>
      <c r="C35" s="17" t="s">
        <v>217</v>
      </c>
      <c r="D35" s="17" t="s">
        <v>305</v>
      </c>
      <c r="E35" s="17" t="s">
        <v>306</v>
      </c>
    </row>
    <row r="36" spans="1:5" x14ac:dyDescent="0.2">
      <c r="A36" s="4" t="s">
        <v>307</v>
      </c>
      <c r="B36" s="19" t="s">
        <v>308</v>
      </c>
      <c r="C36" s="20">
        <v>17000000</v>
      </c>
      <c r="D36" s="19" t="s">
        <v>309</v>
      </c>
      <c r="E36" s="18" t="s">
        <v>310</v>
      </c>
    </row>
    <row r="37" spans="1:5" x14ac:dyDescent="0.2">
      <c r="A37" s="4" t="s">
        <v>311</v>
      </c>
      <c r="B37" s="19" t="s">
        <v>312</v>
      </c>
      <c r="C37" s="8" t="s">
        <v>560</v>
      </c>
      <c r="D37" s="19" t="s">
        <v>314</v>
      </c>
      <c r="E37" s="18"/>
    </row>
    <row r="38" spans="1:5" x14ac:dyDescent="0.2">
      <c r="A38" s="4" t="s">
        <v>315</v>
      </c>
      <c r="B38" s="19" t="s">
        <v>316</v>
      </c>
      <c r="C38" s="8" t="s">
        <v>317</v>
      </c>
      <c r="D38" s="19" t="s">
        <v>314</v>
      </c>
      <c r="E38" s="18"/>
    </row>
    <row r="39" spans="1:5" x14ac:dyDescent="0.2">
      <c r="A39" s="4" t="s">
        <v>318</v>
      </c>
      <c r="B39" s="19" t="s">
        <v>319</v>
      </c>
      <c r="C39" s="8" t="s">
        <v>455</v>
      </c>
      <c r="D39" s="19" t="s">
        <v>314</v>
      </c>
      <c r="E39" s="18" t="s">
        <v>321</v>
      </c>
    </row>
    <row r="40" spans="1:5" x14ac:dyDescent="0.2">
      <c r="A40" s="4" t="s">
        <v>322</v>
      </c>
      <c r="B40" s="19" t="s">
        <v>323</v>
      </c>
      <c r="C40" s="21">
        <v>2.59463782412186E-2</v>
      </c>
      <c r="D40" s="19" t="s">
        <v>324</v>
      </c>
      <c r="E40" s="18" t="s">
        <v>325</v>
      </c>
    </row>
    <row r="41" spans="1:5" ht="57" x14ac:dyDescent="0.2">
      <c r="A41" s="4" t="s">
        <v>326</v>
      </c>
      <c r="B41" s="19" t="s">
        <v>327</v>
      </c>
      <c r="C41" s="45" t="s">
        <v>685</v>
      </c>
      <c r="D41" s="19" t="s">
        <v>324</v>
      </c>
      <c r="E41" s="18" t="s">
        <v>328</v>
      </c>
    </row>
    <row r="42" spans="1:5" ht="26" x14ac:dyDescent="0.2">
      <c r="A42" s="4" t="s">
        <v>329</v>
      </c>
      <c r="B42" s="19" t="s">
        <v>330</v>
      </c>
      <c r="C42" s="23">
        <v>0</v>
      </c>
      <c r="D42" s="19" t="s">
        <v>331</v>
      </c>
      <c r="E42" s="18" t="s">
        <v>332</v>
      </c>
    </row>
    <row r="43" spans="1:5" x14ac:dyDescent="0.2">
      <c r="A43" s="4" t="s">
        <v>333</v>
      </c>
      <c r="B43" s="19" t="s">
        <v>334</v>
      </c>
      <c r="C43" s="23">
        <v>0.02</v>
      </c>
      <c r="D43" s="19" t="s">
        <v>331</v>
      </c>
      <c r="E43" s="18" t="s">
        <v>261</v>
      </c>
    </row>
    <row r="44" spans="1:5" x14ac:dyDescent="0.2">
      <c r="A44" s="4" t="s">
        <v>335</v>
      </c>
      <c r="B44" s="19" t="s">
        <v>336</v>
      </c>
      <c r="C44" s="23">
        <v>0.02</v>
      </c>
      <c r="D44" s="19" t="s">
        <v>331</v>
      </c>
      <c r="E44" s="18" t="s">
        <v>264</v>
      </c>
    </row>
    <row r="45" spans="1:5" x14ac:dyDescent="0.2">
      <c r="A45" s="4" t="s">
        <v>337</v>
      </c>
      <c r="B45" s="19" t="s">
        <v>338</v>
      </c>
      <c r="C45" s="23">
        <v>0</v>
      </c>
      <c r="D45" s="19" t="s">
        <v>331</v>
      </c>
      <c r="E45" s="18" t="s">
        <v>266</v>
      </c>
    </row>
    <row r="46" spans="1:5" x14ac:dyDescent="0.2">
      <c r="A46" s="4" t="s">
        <v>253</v>
      </c>
      <c r="B46" s="19" t="s">
        <v>339</v>
      </c>
      <c r="C46" s="8" t="s">
        <v>255</v>
      </c>
      <c r="D46" s="19" t="s">
        <v>314</v>
      </c>
      <c r="E46" s="18" t="s">
        <v>340</v>
      </c>
    </row>
    <row r="47" spans="1:5" x14ac:dyDescent="0.2">
      <c r="A47" s="4" t="s">
        <v>243</v>
      </c>
      <c r="B47" s="19" t="s">
        <v>341</v>
      </c>
      <c r="C47" s="8" t="s">
        <v>94</v>
      </c>
      <c r="D47" s="19" t="s">
        <v>314</v>
      </c>
      <c r="E47" s="18" t="s">
        <v>342</v>
      </c>
    </row>
    <row r="48" spans="1:5" x14ac:dyDescent="0.2">
      <c r="A48" s="4" t="s">
        <v>249</v>
      </c>
      <c r="B48" s="19" t="s">
        <v>343</v>
      </c>
      <c r="C48" s="8" t="s">
        <v>251</v>
      </c>
      <c r="D48" s="19" t="s">
        <v>314</v>
      </c>
      <c r="E48" s="18" t="s">
        <v>344</v>
      </c>
    </row>
    <row r="49" spans="1:5" x14ac:dyDescent="0.2">
      <c r="A49" s="4" t="s">
        <v>345</v>
      </c>
      <c r="B49" s="19" t="s">
        <v>346</v>
      </c>
      <c r="C49" s="8" t="s">
        <v>347</v>
      </c>
      <c r="D49" s="19" t="s">
        <v>314</v>
      </c>
      <c r="E49" s="18" t="s">
        <v>348</v>
      </c>
    </row>
    <row r="50" spans="1:5" x14ac:dyDescent="0.2">
      <c r="A50" s="4" t="s">
        <v>349</v>
      </c>
      <c r="B50" s="19" t="s">
        <v>350</v>
      </c>
      <c r="C50" s="20">
        <v>1</v>
      </c>
      <c r="D50" s="19" t="s">
        <v>309</v>
      </c>
      <c r="E50" s="18" t="s">
        <v>351</v>
      </c>
    </row>
    <row r="51" spans="1:5" x14ac:dyDescent="0.2">
      <c r="A51" s="4" t="s">
        <v>352</v>
      </c>
      <c r="B51" s="19" t="s">
        <v>353</v>
      </c>
      <c r="C51" s="23">
        <v>5.0000000000000001E-3</v>
      </c>
      <c r="D51" s="19" t="s">
        <v>331</v>
      </c>
      <c r="E51" s="18" t="s">
        <v>274</v>
      </c>
    </row>
    <row r="52" spans="1:5" x14ac:dyDescent="0.2">
      <c r="A52" s="4" t="s">
        <v>354</v>
      </c>
      <c r="B52" s="19" t="s">
        <v>355</v>
      </c>
      <c r="C52" s="24"/>
      <c r="D52" s="19" t="s">
        <v>331</v>
      </c>
      <c r="E52" s="18" t="s">
        <v>356</v>
      </c>
    </row>
    <row r="53" spans="1:5" x14ac:dyDescent="0.2">
      <c r="A53" s="4" t="s">
        <v>280</v>
      </c>
      <c r="B53" s="19" t="s">
        <v>357</v>
      </c>
      <c r="C53" s="8" t="s">
        <v>456</v>
      </c>
      <c r="D53" s="19" t="s">
        <v>314</v>
      </c>
      <c r="E53" s="18" t="s">
        <v>359</v>
      </c>
    </row>
    <row r="54" spans="1:5" x14ac:dyDescent="0.2">
      <c r="A54" s="4" t="s">
        <v>283</v>
      </c>
      <c r="B54" s="19" t="s">
        <v>358</v>
      </c>
      <c r="C54" s="23">
        <v>0</v>
      </c>
      <c r="D54" s="19" t="s">
        <v>331</v>
      </c>
      <c r="E54" s="18" t="s">
        <v>360</v>
      </c>
    </row>
    <row r="55" spans="1:5" x14ac:dyDescent="0.2">
      <c r="A55" s="4" t="s">
        <v>361</v>
      </c>
      <c r="B55" s="19" t="s">
        <v>362</v>
      </c>
      <c r="C55" s="23">
        <v>0</v>
      </c>
      <c r="D55" s="19" t="s">
        <v>331</v>
      </c>
      <c r="E55" s="18" t="s">
        <v>363</v>
      </c>
    </row>
    <row r="57" spans="1:5" x14ac:dyDescent="0.2">
      <c r="A57" s="16" t="s">
        <v>364</v>
      </c>
    </row>
    <row r="58" spans="1:5" x14ac:dyDescent="0.2">
      <c r="A58" s="17" t="s">
        <v>365</v>
      </c>
      <c r="B58" s="17" t="s">
        <v>366</v>
      </c>
      <c r="C58" s="17" t="s">
        <v>217</v>
      </c>
      <c r="D58" s="17"/>
      <c r="E58" s="17" t="s">
        <v>367</v>
      </c>
    </row>
    <row r="59" spans="1:5" ht="26" x14ac:dyDescent="0.2">
      <c r="A59" s="4" t="s">
        <v>368</v>
      </c>
      <c r="B59" s="18" t="s">
        <v>369</v>
      </c>
      <c r="C59" s="25">
        <f>IF($C$46="market",$C$40,$C$41)</f>
        <v>2.59463782412186E-2</v>
      </c>
      <c r="E59" s="18" t="s">
        <v>370</v>
      </c>
    </row>
    <row r="60" spans="1:5" ht="39" x14ac:dyDescent="0.2">
      <c r="A60" s="4" t="s">
        <v>371</v>
      </c>
      <c r="B60" s="18" t="s">
        <v>372</v>
      </c>
      <c r="C60" s="25">
        <f>IF($C$48="in_per_out",$C$59/(1+$C$44),$C$59*(1-$C$44))</f>
        <v>2.5427450676394226E-2</v>
      </c>
      <c r="E60" s="18" t="s">
        <v>373</v>
      </c>
    </row>
    <row r="61" spans="1:5" ht="28" x14ac:dyDescent="0.2">
      <c r="A61" s="4" t="s">
        <v>374</v>
      </c>
      <c r="B61" s="18" t="s">
        <v>375</v>
      </c>
      <c r="C61" s="26">
        <f>$C$36*$C$60</f>
        <v>432266.66149870184</v>
      </c>
      <c r="E61" s="18" t="s">
        <v>376</v>
      </c>
    </row>
    <row r="62" spans="1:5" x14ac:dyDescent="0.2">
      <c r="A62" s="4" t="s">
        <v>377</v>
      </c>
      <c r="B62" s="18" t="s">
        <v>378</v>
      </c>
      <c r="C62" s="26">
        <f>$C$61*$C$45</f>
        <v>0</v>
      </c>
      <c r="E62" s="18" t="s">
        <v>376</v>
      </c>
    </row>
    <row r="63" spans="1:5" x14ac:dyDescent="0.2">
      <c r="A63" s="4" t="s">
        <v>379</v>
      </c>
      <c r="B63" s="18" t="s">
        <v>380</v>
      </c>
      <c r="C63" s="26">
        <f>$C$61-$C$62</f>
        <v>432266.66149870184</v>
      </c>
      <c r="E63" s="18" t="s">
        <v>381</v>
      </c>
    </row>
    <row r="64" spans="1:5" ht="39" x14ac:dyDescent="0.2">
      <c r="A64" s="4" t="s">
        <v>382</v>
      </c>
      <c r="B64" s="18" t="s">
        <v>383</v>
      </c>
      <c r="C64" s="26" t="e">
        <f>IF($C$47="own_desk",$C$36*$C$40,IF($C$47="market_plus_pct",$C$36*$C$40*(1-$C$42),$C$36*$C$41))</f>
        <v>#VALUE!</v>
      </c>
      <c r="E64" s="18" t="s">
        <v>384</v>
      </c>
    </row>
    <row r="65" spans="1:5" x14ac:dyDescent="0.2">
      <c r="A65" s="4" t="s">
        <v>385</v>
      </c>
      <c r="B65" s="18" t="s">
        <v>386</v>
      </c>
      <c r="C65" s="26" t="e">
        <f>$C$36*$C$40-$C$64</f>
        <v>#VALUE!</v>
      </c>
      <c r="E65" s="18" t="s">
        <v>381</v>
      </c>
    </row>
    <row r="66" spans="1:5" x14ac:dyDescent="0.2">
      <c r="A66" s="4" t="s">
        <v>387</v>
      </c>
      <c r="B66" s="18" t="s">
        <v>388</v>
      </c>
      <c r="C66" s="26" t="e">
        <f>$C$64-$C$63</f>
        <v>#VALUE!</v>
      </c>
      <c r="E66" s="18" t="s">
        <v>389</v>
      </c>
    </row>
    <row r="67" spans="1:5" x14ac:dyDescent="0.2">
      <c r="A67" s="4" t="s">
        <v>390</v>
      </c>
      <c r="B67" s="18" t="s">
        <v>391</v>
      </c>
      <c r="C67" s="27" t="e">
        <f>IF($C$36*$C$40=0,0,$C$66/($C$36*$C$40))</f>
        <v>#VALUE!</v>
      </c>
      <c r="E67" s="18" t="s">
        <v>381</v>
      </c>
    </row>
    <row r="68" spans="1:5" ht="26" x14ac:dyDescent="0.2">
      <c r="A68" s="4" t="s">
        <v>392</v>
      </c>
      <c r="B68" s="18" t="s">
        <v>393</v>
      </c>
      <c r="C68" s="7" t="e">
        <f>IF($C$67&lt;$C$51,"YES — Finance approval","no")</f>
        <v>#VALUE!</v>
      </c>
      <c r="E68" s="18" t="s">
        <v>394</v>
      </c>
    </row>
    <row r="69" spans="1:5" ht="26" x14ac:dyDescent="0.2">
      <c r="A69" s="4" t="s">
        <v>395</v>
      </c>
      <c r="B69" s="18" t="s">
        <v>396</v>
      </c>
      <c r="C69" s="26">
        <f>IF($C$49="round_up_unit",CEILING($C$63,$C$50),IF($C$49="nearest_unit",MROUND($C$63,$C$50),IF($C$49="nearest_n",MROUND($C$63,$C$50),FLOOR($C$63,$C$50))))</f>
        <v>432266</v>
      </c>
      <c r="E69" s="18" t="s">
        <v>397</v>
      </c>
    </row>
    <row r="70" spans="1:5" ht="28" x14ac:dyDescent="0.2">
      <c r="A70" s="4" t="s">
        <v>398</v>
      </c>
      <c r="B70" s="18" t="s">
        <v>399</v>
      </c>
      <c r="C70" s="26">
        <f>$C$63-$C$69</f>
        <v>0.66149870184017345</v>
      </c>
      <c r="E70" s="18" t="s">
        <v>400</v>
      </c>
    </row>
    <row r="71" spans="1:5" ht="26" x14ac:dyDescent="0.2">
      <c r="A71" s="4" t="s">
        <v>401</v>
      </c>
      <c r="B71" s="18" t="s">
        <v>402</v>
      </c>
      <c r="C71" s="25">
        <f>IF($C$52="",$C$59,$C$60/(1-$C$52))</f>
        <v>2.59463782412186E-2</v>
      </c>
      <c r="E71" s="18" t="s">
        <v>356</v>
      </c>
    </row>
    <row r="72" spans="1:5" x14ac:dyDescent="0.2">
      <c r="A72" s="4" t="s">
        <v>403</v>
      </c>
      <c r="B72" s="18" t="s">
        <v>404</v>
      </c>
      <c r="C72" s="26">
        <f>IF($C$53="rebate",$C$65*$C$54,0)</f>
        <v>0</v>
      </c>
      <c r="E72" s="18" t="s">
        <v>405</v>
      </c>
    </row>
    <row r="73" spans="1:5" x14ac:dyDescent="0.2">
      <c r="A73" s="4" t="s">
        <v>406</v>
      </c>
      <c r="B73" s="18" t="s">
        <v>407</v>
      </c>
      <c r="C73" s="26">
        <f>$C$36*$C$40*$C$55</f>
        <v>0</v>
      </c>
      <c r="E73" s="18" t="s">
        <v>408</v>
      </c>
    </row>
    <row r="74" spans="1:5" ht="28" x14ac:dyDescent="0.2">
      <c r="A74" s="4" t="s">
        <v>409</v>
      </c>
      <c r="B74" s="18" t="s">
        <v>410</v>
      </c>
      <c r="C74" s="26" t="e">
        <f>ROUND($C$63+$C$65+$C$66-$C$36*$C$40,6)</f>
        <v>#VALUE!</v>
      </c>
      <c r="E74" s="18" t="s">
        <v>411</v>
      </c>
    </row>
    <row r="76" spans="1:5" x14ac:dyDescent="0.2">
      <c r="A76" s="16" t="s">
        <v>412</v>
      </c>
    </row>
    <row r="77" spans="1:5" x14ac:dyDescent="0.2">
      <c r="A77" s="17" t="s">
        <v>413</v>
      </c>
      <c r="B77" s="17" t="s">
        <v>414</v>
      </c>
      <c r="C77" s="17" t="s">
        <v>415</v>
      </c>
      <c r="D77" s="17" t="s">
        <v>416</v>
      </c>
      <c r="E77" s="17" t="s">
        <v>417</v>
      </c>
    </row>
    <row r="78" spans="1:5" x14ac:dyDescent="0.2">
      <c r="A78" s="7" t="str">
        <f>"CL."&amp;$C$39&amp;"."&amp;$C$37&amp;".COLLECTED"</f>
        <v>CL.ALI.THB.COLLECTED</v>
      </c>
      <c r="B78" s="7" t="s">
        <v>418</v>
      </c>
      <c r="C78" s="26">
        <f>$C$36</f>
        <v>17000000</v>
      </c>
      <c r="D78" s="19" t="s">
        <v>419</v>
      </c>
      <c r="E78" s="19" t="s">
        <v>420</v>
      </c>
    </row>
    <row r="79" spans="1:5" x14ac:dyDescent="0.2">
      <c r="A79" s="7" t="str">
        <f>"CL.PROJECT."&amp;$C$37&amp;".PAYABLE"</f>
        <v>CL.PROJECT.THB.PAYABLE</v>
      </c>
      <c r="B79" s="7" t="s">
        <v>421</v>
      </c>
      <c r="C79" s="26">
        <f>$C$36</f>
        <v>17000000</v>
      </c>
      <c r="D79" s="19" t="s">
        <v>419</v>
      </c>
      <c r="E79" s="19" t="s">
        <v>420</v>
      </c>
    </row>
    <row r="80" spans="1:5" x14ac:dyDescent="0.2">
      <c r="A80" s="7" t="str">
        <f>"CL.PROJECT."&amp;$C$37&amp;".PAYABLE"</f>
        <v>CL.PROJECT.THB.PAYABLE</v>
      </c>
      <c r="B80" s="7" t="s">
        <v>418</v>
      </c>
      <c r="C80" s="26">
        <f>$C$36</f>
        <v>17000000</v>
      </c>
      <c r="D80" s="19" t="s">
        <v>419</v>
      </c>
      <c r="E80" s="19" t="s">
        <v>422</v>
      </c>
    </row>
    <row r="81" spans="1:5" x14ac:dyDescent="0.2">
      <c r="A81" s="7" t="str">
        <f>"CL."&amp;$C$39&amp;"."&amp;$C$37&amp;".COLLECTED"</f>
        <v>CL.ALI.THB.COLLECTED</v>
      </c>
      <c r="B81" s="7" t="s">
        <v>421</v>
      </c>
      <c r="C81" s="26">
        <f>$C$36</f>
        <v>17000000</v>
      </c>
      <c r="D81" s="19" t="s">
        <v>419</v>
      </c>
      <c r="E81" s="19" t="s">
        <v>422</v>
      </c>
    </row>
    <row r="82" spans="1:5" x14ac:dyDescent="0.2">
      <c r="A82" s="7" t="str">
        <f>"CL."&amp;$C$39&amp;"."&amp;$C$38&amp;".DUE"</f>
        <v>CL.ALI.EUR.DUE</v>
      </c>
      <c r="B82" s="7" t="s">
        <v>418</v>
      </c>
      <c r="C82" s="26">
        <f>$C$63</f>
        <v>432266.66149870184</v>
      </c>
      <c r="D82" s="19" t="s">
        <v>423</v>
      </c>
      <c r="E82" s="19" t="s">
        <v>424</v>
      </c>
    </row>
    <row r="83" spans="1:5" x14ac:dyDescent="0.2">
      <c r="A83" s="7" t="str">
        <f>"CO."&amp;$C$39&amp;"."&amp;$C$38&amp;".POOL"</f>
        <v>CO.ALI.EUR.POOL</v>
      </c>
      <c r="B83" s="7" t="s">
        <v>418</v>
      </c>
      <c r="C83" s="26" t="e">
        <f>IF($C$53="rebate",0,$C$66)</f>
        <v>#VALUE!</v>
      </c>
      <c r="D83" s="19" t="s">
        <v>425</v>
      </c>
      <c r="E83" s="19" t="s">
        <v>426</v>
      </c>
    </row>
    <row r="84" spans="1:5" x14ac:dyDescent="0.2">
      <c r="A84" s="7" t="str">
        <f>"CO."&amp;$C$39&amp;"."&amp;$C$38&amp;".REBATE_RECEIVABLE"</f>
        <v>CO.ALI.EUR.REBATE_RECEIVABLE</v>
      </c>
      <c r="B84" s="7" t="s">
        <v>418</v>
      </c>
      <c r="C84" s="26">
        <f>$C$72</f>
        <v>0</v>
      </c>
      <c r="D84" s="19" t="s">
        <v>425</v>
      </c>
      <c r="E84" s="19" t="s">
        <v>427</v>
      </c>
    </row>
    <row r="85" spans="1:5" x14ac:dyDescent="0.2">
      <c r="A85" s="7" t="str">
        <f>"CL.PROJECT."&amp;$C$38&amp;".PAYABLE"</f>
        <v>CL.PROJECT.EUR.PAYABLE</v>
      </c>
      <c r="B85" s="7" t="s">
        <v>421</v>
      </c>
      <c r="C85" s="26">
        <f>$C$63</f>
        <v>432266.66149870184</v>
      </c>
      <c r="D85" s="19" t="s">
        <v>419</v>
      </c>
      <c r="E85" s="19" t="s">
        <v>424</v>
      </c>
    </row>
    <row r="86" spans="1:5" x14ac:dyDescent="0.2">
      <c r="A86" s="7" t="str">
        <f>"CO.NONE."&amp;$C$38&amp;".EARN_GROSS"</f>
        <v>CO.NONE.EUR.EARN_GROSS</v>
      </c>
      <c r="B86" s="7" t="s">
        <v>421</v>
      </c>
      <c r="C86" s="26" t="e">
        <f>$C$66+$C$72</f>
        <v>#VALUE!</v>
      </c>
      <c r="D86" s="19" t="s">
        <v>425</v>
      </c>
      <c r="E86" s="19" t="s">
        <v>428</v>
      </c>
    </row>
    <row r="87" spans="1:5" x14ac:dyDescent="0.2">
      <c r="A87" s="7" t="str">
        <f>"CL."&amp;$C$39&amp;"."&amp;$C$38&amp;".INTRANSIT"</f>
        <v>CL.ALI.EUR.INTRANSIT</v>
      </c>
      <c r="B87" s="7" t="s">
        <v>418</v>
      </c>
      <c r="C87" s="26">
        <f>$C$69</f>
        <v>432266</v>
      </c>
      <c r="D87" s="19" t="s">
        <v>419</v>
      </c>
      <c r="E87" s="19" t="s">
        <v>429</v>
      </c>
    </row>
    <row r="88" spans="1:5" x14ac:dyDescent="0.2">
      <c r="A88" s="7" t="str">
        <f>"CL."&amp;$C$39&amp;"."&amp;$C$38&amp;".DUE"</f>
        <v>CL.ALI.EUR.DUE</v>
      </c>
      <c r="B88" s="7" t="s">
        <v>421</v>
      </c>
      <c r="C88" s="26">
        <f>$C$69</f>
        <v>432266</v>
      </c>
      <c r="D88" s="19" t="s">
        <v>419</v>
      </c>
      <c r="E88" s="19" t="s">
        <v>430</v>
      </c>
    </row>
    <row r="89" spans="1:5" x14ac:dyDescent="0.2">
      <c r="A89" s="7" t="str">
        <f>"CL.PROJECT."&amp;$C$38&amp;".PAYABLE"</f>
        <v>CL.PROJECT.EUR.PAYABLE</v>
      </c>
      <c r="B89" s="7" t="s">
        <v>418</v>
      </c>
      <c r="C89" s="26">
        <f>$C$69</f>
        <v>432266</v>
      </c>
      <c r="D89" s="19" t="s">
        <v>419</v>
      </c>
      <c r="E89" s="19" t="s">
        <v>431</v>
      </c>
    </row>
    <row r="90" spans="1:5" x14ac:dyDescent="0.2">
      <c r="A90" s="7" t="str">
        <f>"CL."&amp;$C$39&amp;"."&amp;$C$38&amp;".INTRANSIT"</f>
        <v>CL.ALI.EUR.INTRANSIT</v>
      </c>
      <c r="B90" s="7" t="s">
        <v>421</v>
      </c>
      <c r="C90" s="26">
        <f>$C$69</f>
        <v>432266</v>
      </c>
      <c r="D90" s="19" t="s">
        <v>419</v>
      </c>
      <c r="E90" s="19" t="s">
        <v>431</v>
      </c>
    </row>
    <row r="91" spans="1:5" x14ac:dyDescent="0.2">
      <c r="A91" s="7" t="str">
        <f>"CO.NONE."&amp;$C$38&amp;".EARN_GROSS"</f>
        <v>CO.NONE.EUR.EARN_GROSS</v>
      </c>
      <c r="B91" s="7" t="s">
        <v>418</v>
      </c>
      <c r="C91" s="26">
        <f>$C$73</f>
        <v>0</v>
      </c>
      <c r="D91" s="19" t="s">
        <v>432</v>
      </c>
      <c r="E91" s="19" t="s">
        <v>433</v>
      </c>
    </row>
    <row r="92" spans="1:5" x14ac:dyDescent="0.2">
      <c r="A92" s="7" t="str">
        <f>"CO.INTRODUCER."&amp;$C$38&amp;".REFERRAL_PAYABLE"</f>
        <v>CO.INTRODUCER.EUR.REFERRAL_PAYABLE</v>
      </c>
      <c r="B92" s="7" t="s">
        <v>421</v>
      </c>
      <c r="C92" s="26">
        <f>$C$73</f>
        <v>0</v>
      </c>
      <c r="D92" s="19" t="s">
        <v>432</v>
      </c>
      <c r="E92" s="19" t="s">
        <v>434</v>
      </c>
    </row>
    <row r="93" spans="1:5" ht="30" customHeight="1" x14ac:dyDescent="0.2">
      <c r="A93" s="28" t="s">
        <v>435</v>
      </c>
      <c r="C93" s="29" t="e">
        <f>ROUND(SUMIF($B$82:$B$92,"Dr",$C$82:$C$92)-SUMIF($B$82:$B$92,"Cr",$C$82:$C$92),6)</f>
        <v>#VALUE!</v>
      </c>
      <c r="E93" s="18" t="s">
        <v>436</v>
      </c>
    </row>
    <row r="95" spans="1:5" x14ac:dyDescent="0.2">
      <c r="A95" s="16" t="s">
        <v>437</v>
      </c>
    </row>
    <row r="96" spans="1:5" x14ac:dyDescent="0.2">
      <c r="A96" s="17" t="s">
        <v>438</v>
      </c>
      <c r="B96" s="17" t="s">
        <v>439</v>
      </c>
      <c r="C96" s="17" t="s">
        <v>440</v>
      </c>
      <c r="D96" s="17" t="s">
        <v>441</v>
      </c>
      <c r="E96" s="17" t="s">
        <v>442</v>
      </c>
    </row>
    <row r="97" spans="1:5" ht="30" customHeight="1" x14ac:dyDescent="0.2">
      <c r="A97" s="4" t="s">
        <v>561</v>
      </c>
      <c r="B97" s="20">
        <v>432267</v>
      </c>
      <c r="C97" s="26">
        <f>$C$61</f>
        <v>432266.66149870184</v>
      </c>
      <c r="D97" s="29">
        <f>ROUND(C97-B97,2)</f>
        <v>-0.34</v>
      </c>
      <c r="E97" s="18" t="s">
        <v>562</v>
      </c>
    </row>
    <row r="99" spans="1:5" x14ac:dyDescent="0.2">
      <c r="A99" s="16" t="s">
        <v>563</v>
      </c>
    </row>
    <row r="100" spans="1:5" x14ac:dyDescent="0.2">
      <c r="A100" s="17" t="s">
        <v>365</v>
      </c>
      <c r="B100" s="17"/>
      <c r="C100" s="17" t="s">
        <v>217</v>
      </c>
      <c r="D100" s="17"/>
      <c r="E100" s="17" t="s">
        <v>218</v>
      </c>
    </row>
    <row r="101" spans="1:5" x14ac:dyDescent="0.2">
      <c r="A101" s="7" t="s">
        <v>564</v>
      </c>
      <c r="C101" s="21">
        <v>33.613</v>
      </c>
      <c r="E101" s="19" t="s">
        <v>565</v>
      </c>
    </row>
    <row r="102" spans="1:5" x14ac:dyDescent="0.2">
      <c r="A102" s="7" t="s">
        <v>566</v>
      </c>
      <c r="C102" s="21">
        <v>33.83</v>
      </c>
      <c r="E102" s="19" t="s">
        <v>567</v>
      </c>
    </row>
    <row r="103" spans="1:5" x14ac:dyDescent="0.2">
      <c r="A103" s="7" t="s">
        <v>568</v>
      </c>
      <c r="C103" s="26">
        <f>ROUND($C$36/$C$102,2)</f>
        <v>502512.56</v>
      </c>
      <c r="E103" s="19" t="s">
        <v>569</v>
      </c>
    </row>
    <row r="104" spans="1:5" x14ac:dyDescent="0.2">
      <c r="A104" s="7" t="s">
        <v>570</v>
      </c>
      <c r="C104" s="27">
        <f>1-$C$101/$C$102</f>
        <v>6.4144250665090219E-3</v>
      </c>
      <c r="E104" s="19" t="s">
        <v>571</v>
      </c>
    </row>
    <row r="105" spans="1:5" ht="30" customHeight="1" x14ac:dyDescent="0.2">
      <c r="A105" s="7" t="s">
        <v>572</v>
      </c>
      <c r="C105" s="46" t="s">
        <v>687</v>
      </c>
      <c r="E105" s="18" t="s">
        <v>573</v>
      </c>
    </row>
    <row r="106" spans="1:5" ht="26" x14ac:dyDescent="0.2">
      <c r="A106" s="5" t="s">
        <v>574</v>
      </c>
      <c r="C106" s="29" t="e">
        <f>IF($C$105="","",ROUND($C$105-$C$61,2))</f>
        <v>#VALUE!</v>
      </c>
      <c r="E106" s="18" t="s">
        <v>575</v>
      </c>
    </row>
    <row r="108" spans="1:5" x14ac:dyDescent="0.2">
      <c r="A108" s="16" t="s">
        <v>445</v>
      </c>
    </row>
    <row r="109" spans="1:5" ht="31.5" customHeight="1" x14ac:dyDescent="0.2">
      <c r="A109" s="14" t="s">
        <v>446</v>
      </c>
      <c r="B109" s="1" t="s">
        <v>576</v>
      </c>
      <c r="C109" s="1"/>
      <c r="D109" s="1"/>
      <c r="E109" s="1"/>
    </row>
    <row r="110" spans="1:5" ht="31.5" customHeight="1" x14ac:dyDescent="0.2">
      <c r="A110" s="14"/>
      <c r="B110" s="35" t="s">
        <v>689</v>
      </c>
      <c r="C110" s="35"/>
      <c r="D110" s="35"/>
      <c r="E110" s="35"/>
    </row>
    <row r="111" spans="1:5" ht="31.5" customHeight="1" x14ac:dyDescent="0.2">
      <c r="A111" s="14" t="s">
        <v>446</v>
      </c>
      <c r="B111" s="1" t="s">
        <v>577</v>
      </c>
      <c r="C111" s="1"/>
      <c r="D111" s="1"/>
      <c r="E111" s="1"/>
    </row>
    <row r="112" spans="1:5" ht="31.5" customHeight="1" x14ac:dyDescent="0.2">
      <c r="A112" s="14"/>
      <c r="B112" s="34" t="s">
        <v>686</v>
      </c>
      <c r="C112" s="15"/>
      <c r="D112" s="15"/>
      <c r="E112" s="15"/>
    </row>
    <row r="113" spans="1:5" ht="31.5" customHeight="1" x14ac:dyDescent="0.2">
      <c r="A113" s="14" t="s">
        <v>446</v>
      </c>
      <c r="B113" s="1" t="s">
        <v>578</v>
      </c>
      <c r="C113" s="1"/>
      <c r="D113" s="1"/>
      <c r="E113" s="1"/>
    </row>
    <row r="114" spans="1:5" x14ac:dyDescent="0.2">
      <c r="B114" t="s">
        <v>688</v>
      </c>
    </row>
  </sheetData>
  <mergeCells count="4">
    <mergeCell ref="B109:E109"/>
    <mergeCell ref="B111:E111"/>
    <mergeCell ref="B113:E113"/>
    <mergeCell ref="B110:E110"/>
  </mergeCells>
  <pageMargins left="0.75" right="0.75" top="1" bottom="1"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5"/>
  <sheetViews>
    <sheetView topLeftCell="A16" zoomScaleNormal="100" workbookViewId="0">
      <selection activeCell="B106" sqref="B106"/>
    </sheetView>
  </sheetViews>
  <sheetFormatPr baseColWidth="10" defaultColWidth="8.6640625" defaultRowHeight="15" x14ac:dyDescent="0.2"/>
  <cols>
    <col min="1" max="2" width="34" customWidth="1"/>
    <col min="3" max="3" width="22" customWidth="1"/>
    <col min="4" max="4" width="18" customWidth="1"/>
    <col min="5" max="5" width="48" customWidth="1"/>
  </cols>
  <sheetData>
    <row r="1" spans="1:5" ht="17" x14ac:dyDescent="0.2">
      <c r="A1" s="2" t="s">
        <v>579</v>
      </c>
    </row>
    <row r="2" spans="1:5" x14ac:dyDescent="0.2">
      <c r="A2" s="13" t="s">
        <v>210</v>
      </c>
      <c r="B2" s="14" t="s">
        <v>580</v>
      </c>
    </row>
    <row r="3" spans="1:5" ht="30" customHeight="1" x14ac:dyDescent="0.2">
      <c r="A3" s="13" t="s">
        <v>212</v>
      </c>
      <c r="B3" s="15" t="s">
        <v>581</v>
      </c>
    </row>
    <row r="5" spans="1:5" x14ac:dyDescent="0.2">
      <c r="A5" s="16" t="s">
        <v>214</v>
      </c>
    </row>
    <row r="6" spans="1:5" x14ac:dyDescent="0.2">
      <c r="A6" s="17" t="s">
        <v>215</v>
      </c>
      <c r="B6" s="17" t="s">
        <v>216</v>
      </c>
      <c r="C6" s="17" t="s">
        <v>217</v>
      </c>
      <c r="D6" s="17" t="s">
        <v>218</v>
      </c>
      <c r="E6" s="17" t="s">
        <v>219</v>
      </c>
    </row>
    <row r="7" spans="1:5" ht="30" customHeight="1" x14ac:dyDescent="0.2">
      <c r="A7" s="4" t="s">
        <v>220</v>
      </c>
      <c r="B7" s="4" t="s">
        <v>221</v>
      </c>
      <c r="C7" s="10" t="s">
        <v>582</v>
      </c>
      <c r="D7" s="4" t="s">
        <v>222</v>
      </c>
      <c r="E7" s="18" t="s">
        <v>223</v>
      </c>
    </row>
    <row r="8" spans="1:5" ht="30" customHeight="1" x14ac:dyDescent="0.2">
      <c r="A8" s="4" t="s">
        <v>224</v>
      </c>
      <c r="B8" s="4" t="s">
        <v>225</v>
      </c>
      <c r="C8" s="32" t="s">
        <v>618</v>
      </c>
      <c r="D8" s="4" t="s">
        <v>226</v>
      </c>
      <c r="E8" s="18" t="s">
        <v>227</v>
      </c>
    </row>
    <row r="9" spans="1:5" ht="30" customHeight="1" x14ac:dyDescent="0.2">
      <c r="A9" s="4" t="s">
        <v>228</v>
      </c>
      <c r="B9" s="4" t="s">
        <v>229</v>
      </c>
      <c r="C9" s="10" t="s">
        <v>690</v>
      </c>
      <c r="D9" s="4" t="s">
        <v>222</v>
      </c>
      <c r="E9" s="18" t="s">
        <v>230</v>
      </c>
    </row>
    <row r="10" spans="1:5" ht="30" customHeight="1" x14ac:dyDescent="0.2">
      <c r="A10" s="4" t="s">
        <v>231</v>
      </c>
      <c r="B10" s="4" t="s">
        <v>232</v>
      </c>
      <c r="C10" s="10" t="s">
        <v>583</v>
      </c>
      <c r="D10" s="4" t="s">
        <v>222</v>
      </c>
      <c r="E10" s="18" t="s">
        <v>233</v>
      </c>
    </row>
    <row r="11" spans="1:5" ht="15.75" customHeight="1" x14ac:dyDescent="0.2">
      <c r="A11" s="4" t="s">
        <v>234</v>
      </c>
      <c r="B11" s="4" t="s">
        <v>235</v>
      </c>
      <c r="C11" s="10" t="s">
        <v>479</v>
      </c>
      <c r="D11" s="4" t="s">
        <v>222</v>
      </c>
      <c r="E11" s="18" t="s">
        <v>237</v>
      </c>
    </row>
    <row r="12" spans="1:5" ht="30" customHeight="1" x14ac:dyDescent="0.2">
      <c r="A12" s="4" t="s">
        <v>238</v>
      </c>
      <c r="B12" s="4" t="s">
        <v>239</v>
      </c>
      <c r="C12" s="10" t="s">
        <v>584</v>
      </c>
      <c r="D12" s="4" t="s">
        <v>222</v>
      </c>
      <c r="E12" s="18" t="s">
        <v>240</v>
      </c>
    </row>
    <row r="13" spans="1:5" ht="15.75" customHeight="1" x14ac:dyDescent="0.2">
      <c r="A13" s="4" t="s">
        <v>241</v>
      </c>
      <c r="B13" s="4" t="s">
        <v>242</v>
      </c>
      <c r="C13" s="10" t="s">
        <v>83</v>
      </c>
      <c r="D13" s="4" t="s">
        <v>222</v>
      </c>
      <c r="E13" s="18"/>
    </row>
    <row r="14" spans="1:5" ht="30" customHeight="1" x14ac:dyDescent="0.2">
      <c r="A14" s="4" t="s">
        <v>243</v>
      </c>
      <c r="B14" s="4" t="s">
        <v>244</v>
      </c>
      <c r="C14" s="10" t="s">
        <v>84</v>
      </c>
      <c r="D14" s="4" t="s">
        <v>222</v>
      </c>
      <c r="E14" s="18" t="s">
        <v>245</v>
      </c>
    </row>
    <row r="15" spans="1:5" ht="15.75" customHeight="1" x14ac:dyDescent="0.2">
      <c r="A15" s="4" t="s">
        <v>246</v>
      </c>
      <c r="B15" s="4" t="s">
        <v>247</v>
      </c>
      <c r="C15" s="10" t="s">
        <v>585</v>
      </c>
      <c r="D15" s="4" t="s">
        <v>222</v>
      </c>
      <c r="E15" s="18" t="s">
        <v>248</v>
      </c>
    </row>
    <row r="16" spans="1:5" ht="30" customHeight="1" x14ac:dyDescent="0.2">
      <c r="A16" s="4" t="s">
        <v>249</v>
      </c>
      <c r="B16" s="4" t="s">
        <v>250</v>
      </c>
      <c r="C16" s="10" t="s">
        <v>251</v>
      </c>
      <c r="D16" s="4" t="s">
        <v>222</v>
      </c>
      <c r="E16" s="18" t="s">
        <v>252</v>
      </c>
    </row>
    <row r="17" spans="1:5" ht="30" customHeight="1" x14ac:dyDescent="0.2">
      <c r="A17" s="4" t="s">
        <v>253</v>
      </c>
      <c r="B17" s="4" t="s">
        <v>254</v>
      </c>
      <c r="C17" s="10" t="s">
        <v>255</v>
      </c>
      <c r="D17" s="4" t="s">
        <v>222</v>
      </c>
      <c r="E17" s="18" t="s">
        <v>256</v>
      </c>
    </row>
    <row r="18" spans="1:5" ht="15.75" customHeight="1" x14ac:dyDescent="0.2">
      <c r="A18" s="4" t="s">
        <v>257</v>
      </c>
      <c r="B18" s="4" t="s">
        <v>258</v>
      </c>
      <c r="C18" s="10" t="s">
        <v>86</v>
      </c>
      <c r="D18" s="4" t="s">
        <v>222</v>
      </c>
      <c r="E18" s="18" t="s">
        <v>259</v>
      </c>
    </row>
    <row r="19" spans="1:5" ht="15.75" customHeight="1" x14ac:dyDescent="0.2">
      <c r="A19" s="4" t="s">
        <v>260</v>
      </c>
      <c r="B19" s="4" t="s">
        <v>261</v>
      </c>
      <c r="C19" s="12">
        <v>0.01</v>
      </c>
      <c r="D19" s="4" t="s">
        <v>222</v>
      </c>
      <c r="E19" s="18" t="s">
        <v>262</v>
      </c>
    </row>
    <row r="20" spans="1:5" ht="15.75" customHeight="1" x14ac:dyDescent="0.2">
      <c r="A20" s="4" t="s">
        <v>263</v>
      </c>
      <c r="B20" s="4" t="s">
        <v>264</v>
      </c>
      <c r="C20" s="12">
        <v>0.01</v>
      </c>
      <c r="D20" s="4" t="s">
        <v>222</v>
      </c>
      <c r="E20" s="18"/>
    </row>
    <row r="21" spans="1:5" ht="30" customHeight="1" x14ac:dyDescent="0.2">
      <c r="A21" s="4" t="s">
        <v>265</v>
      </c>
      <c r="B21" s="4" t="s">
        <v>266</v>
      </c>
      <c r="C21" s="12">
        <v>0</v>
      </c>
      <c r="D21" s="4" t="s">
        <v>222</v>
      </c>
      <c r="E21" s="18" t="s">
        <v>267</v>
      </c>
    </row>
    <row r="22" spans="1:5" ht="15.75" customHeight="1" x14ac:dyDescent="0.2">
      <c r="A22" s="4" t="s">
        <v>268</v>
      </c>
      <c r="B22" s="4" t="s">
        <v>269</v>
      </c>
      <c r="C22" s="11"/>
      <c r="D22" s="4" t="s">
        <v>226</v>
      </c>
      <c r="E22" s="18" t="s">
        <v>270</v>
      </c>
    </row>
    <row r="23" spans="1:5" ht="15.75" customHeight="1" x14ac:dyDescent="0.2">
      <c r="A23" s="4" t="s">
        <v>271</v>
      </c>
      <c r="B23" s="4" t="s">
        <v>272</v>
      </c>
      <c r="C23" s="11"/>
      <c r="D23" s="4" t="s">
        <v>226</v>
      </c>
      <c r="E23" s="18" t="s">
        <v>270</v>
      </c>
    </row>
    <row r="24" spans="1:5" ht="15.75" customHeight="1" x14ac:dyDescent="0.2">
      <c r="A24" s="4" t="s">
        <v>273</v>
      </c>
      <c r="B24" s="4" t="s">
        <v>274</v>
      </c>
      <c r="C24" s="11"/>
      <c r="D24" s="4" t="s">
        <v>226</v>
      </c>
      <c r="E24" s="18" t="s">
        <v>275</v>
      </c>
    </row>
    <row r="25" spans="1:5" ht="30" customHeight="1" x14ac:dyDescent="0.2">
      <c r="A25" s="4" t="s">
        <v>276</v>
      </c>
      <c r="B25" s="4" t="s">
        <v>277</v>
      </c>
      <c r="C25" s="32" t="s">
        <v>621</v>
      </c>
      <c r="D25" s="4" t="s">
        <v>278</v>
      </c>
      <c r="E25" s="18" t="s">
        <v>279</v>
      </c>
    </row>
    <row r="26" spans="1:5" ht="15.75" customHeight="1" x14ac:dyDescent="0.2">
      <c r="A26" s="4" t="s">
        <v>280</v>
      </c>
      <c r="B26" s="4" t="s">
        <v>281</v>
      </c>
      <c r="C26" s="10" t="s">
        <v>691</v>
      </c>
      <c r="D26" s="4" t="s">
        <v>80</v>
      </c>
      <c r="E26" s="18" t="s">
        <v>282</v>
      </c>
    </row>
    <row r="27" spans="1:5" ht="15.75" customHeight="1" x14ac:dyDescent="0.2">
      <c r="A27" s="4" t="s">
        <v>283</v>
      </c>
      <c r="B27" s="4" t="s">
        <v>284</v>
      </c>
      <c r="C27" s="12">
        <v>0.4</v>
      </c>
      <c r="D27" s="4" t="s">
        <v>285</v>
      </c>
      <c r="E27" s="18" t="s">
        <v>286</v>
      </c>
    </row>
    <row r="28" spans="1:5" ht="15.75" customHeight="1" x14ac:dyDescent="0.2">
      <c r="A28" s="4" t="s">
        <v>287</v>
      </c>
      <c r="B28" s="4" t="s">
        <v>288</v>
      </c>
      <c r="C28" s="10"/>
      <c r="D28" s="4" t="s">
        <v>278</v>
      </c>
      <c r="E28" s="18" t="s">
        <v>289</v>
      </c>
    </row>
    <row r="29" spans="1:5" ht="30" customHeight="1" x14ac:dyDescent="0.2">
      <c r="A29" s="4" t="s">
        <v>290</v>
      </c>
      <c r="B29" s="4" t="s">
        <v>291</v>
      </c>
      <c r="C29" s="10" t="s">
        <v>292</v>
      </c>
      <c r="D29" s="4" t="s">
        <v>222</v>
      </c>
      <c r="E29" s="18" t="s">
        <v>293</v>
      </c>
    </row>
    <row r="30" spans="1:5" ht="15.75" customHeight="1" x14ac:dyDescent="0.2">
      <c r="A30" s="4" t="s">
        <v>294</v>
      </c>
      <c r="B30" s="4" t="s">
        <v>295</v>
      </c>
      <c r="C30" s="32" t="s">
        <v>313</v>
      </c>
      <c r="D30" s="4" t="s">
        <v>226</v>
      </c>
      <c r="E30" s="18"/>
    </row>
    <row r="31" spans="1:5" ht="15.75" customHeight="1" x14ac:dyDescent="0.2">
      <c r="A31" s="4" t="s">
        <v>296</v>
      </c>
      <c r="B31" s="4" t="s">
        <v>297</v>
      </c>
      <c r="C31" s="32" t="s">
        <v>313</v>
      </c>
      <c r="D31" s="4" t="s">
        <v>226</v>
      </c>
      <c r="E31" s="18" t="s">
        <v>298</v>
      </c>
    </row>
    <row r="32" spans="1:5" ht="30" customHeight="1" x14ac:dyDescent="0.2">
      <c r="A32" s="4" t="s">
        <v>299</v>
      </c>
      <c r="B32" s="4" t="s">
        <v>300</v>
      </c>
      <c r="C32" s="32" t="s">
        <v>654</v>
      </c>
      <c r="D32" s="4" t="s">
        <v>226</v>
      </c>
      <c r="E32" s="18" t="s">
        <v>301</v>
      </c>
    </row>
    <row r="34" spans="1:5" x14ac:dyDescent="0.2">
      <c r="A34" s="16" t="s">
        <v>302</v>
      </c>
    </row>
    <row r="35" spans="1:5" x14ac:dyDescent="0.2">
      <c r="A35" s="17" t="s">
        <v>303</v>
      </c>
      <c r="B35" s="17" t="s">
        <v>304</v>
      </c>
      <c r="C35" s="17" t="s">
        <v>217</v>
      </c>
      <c r="D35" s="17" t="s">
        <v>305</v>
      </c>
      <c r="E35" s="17" t="s">
        <v>306</v>
      </c>
    </row>
    <row r="36" spans="1:5" x14ac:dyDescent="0.2">
      <c r="A36" s="4" t="s">
        <v>307</v>
      </c>
      <c r="B36" s="19" t="s">
        <v>308</v>
      </c>
      <c r="C36" s="20">
        <v>51000</v>
      </c>
      <c r="D36" s="19" t="s">
        <v>309</v>
      </c>
      <c r="E36" s="18" t="s">
        <v>310</v>
      </c>
    </row>
    <row r="37" spans="1:5" x14ac:dyDescent="0.2">
      <c r="A37" s="4" t="s">
        <v>311</v>
      </c>
      <c r="B37" s="19" t="s">
        <v>312</v>
      </c>
      <c r="C37" s="8" t="s">
        <v>586</v>
      </c>
      <c r="D37" s="19" t="s">
        <v>314</v>
      </c>
      <c r="E37" s="18"/>
    </row>
    <row r="38" spans="1:5" x14ac:dyDescent="0.2">
      <c r="A38" s="4" t="s">
        <v>315</v>
      </c>
      <c r="B38" s="19" t="s">
        <v>316</v>
      </c>
      <c r="C38" s="8" t="s">
        <v>313</v>
      </c>
      <c r="D38" s="19" t="s">
        <v>314</v>
      </c>
      <c r="E38" s="18"/>
    </row>
    <row r="39" spans="1:5" x14ac:dyDescent="0.2">
      <c r="A39" s="4" t="s">
        <v>318</v>
      </c>
      <c r="B39" s="19" t="s">
        <v>319</v>
      </c>
      <c r="C39" s="8" t="s">
        <v>320</v>
      </c>
      <c r="D39" s="19" t="s">
        <v>314</v>
      </c>
      <c r="E39" s="18" t="s">
        <v>321</v>
      </c>
    </row>
    <row r="40" spans="1:5" x14ac:dyDescent="0.2">
      <c r="A40" s="4" t="s">
        <v>322</v>
      </c>
      <c r="B40" s="19" t="s">
        <v>323</v>
      </c>
      <c r="C40" s="21">
        <v>1.37476780859097</v>
      </c>
      <c r="D40" s="19" t="s">
        <v>324</v>
      </c>
      <c r="E40" s="18" t="s">
        <v>325</v>
      </c>
    </row>
    <row r="41" spans="1:5" ht="26" x14ac:dyDescent="0.2">
      <c r="A41" s="4" t="s">
        <v>326</v>
      </c>
      <c r="B41" s="19" t="s">
        <v>327</v>
      </c>
      <c r="C41" s="22">
        <v>1.3610202</v>
      </c>
      <c r="D41" s="19" t="s">
        <v>324</v>
      </c>
      <c r="E41" s="18" t="s">
        <v>328</v>
      </c>
    </row>
    <row r="42" spans="1:5" ht="26" x14ac:dyDescent="0.2">
      <c r="A42" s="4" t="s">
        <v>329</v>
      </c>
      <c r="B42" s="19" t="s">
        <v>330</v>
      </c>
      <c r="C42" s="23">
        <v>0.01</v>
      </c>
      <c r="D42" s="19" t="s">
        <v>331</v>
      </c>
      <c r="E42" s="18" t="s">
        <v>332</v>
      </c>
    </row>
    <row r="43" spans="1:5" x14ac:dyDescent="0.2">
      <c r="A43" s="4" t="s">
        <v>333</v>
      </c>
      <c r="B43" s="19" t="s">
        <v>334</v>
      </c>
      <c r="C43" s="23">
        <v>0.01</v>
      </c>
      <c r="D43" s="19" t="s">
        <v>331</v>
      </c>
      <c r="E43" s="18" t="s">
        <v>261</v>
      </c>
    </row>
    <row r="44" spans="1:5" x14ac:dyDescent="0.2">
      <c r="A44" s="4" t="s">
        <v>335</v>
      </c>
      <c r="B44" s="19" t="s">
        <v>336</v>
      </c>
      <c r="C44" s="23">
        <v>0.01</v>
      </c>
      <c r="D44" s="19" t="s">
        <v>331</v>
      </c>
      <c r="E44" s="18" t="s">
        <v>264</v>
      </c>
    </row>
    <row r="45" spans="1:5" x14ac:dyDescent="0.2">
      <c r="A45" s="4" t="s">
        <v>337</v>
      </c>
      <c r="B45" s="19" t="s">
        <v>338</v>
      </c>
      <c r="C45" s="23">
        <v>0</v>
      </c>
      <c r="D45" s="19" t="s">
        <v>331</v>
      </c>
      <c r="E45" s="18" t="s">
        <v>266</v>
      </c>
    </row>
    <row r="46" spans="1:5" x14ac:dyDescent="0.2">
      <c r="A46" s="4" t="s">
        <v>253</v>
      </c>
      <c r="B46" s="19" t="s">
        <v>339</v>
      </c>
      <c r="C46" s="8" t="s">
        <v>255</v>
      </c>
      <c r="D46" s="19" t="s">
        <v>314</v>
      </c>
      <c r="E46" s="18" t="s">
        <v>340</v>
      </c>
    </row>
    <row r="47" spans="1:5" x14ac:dyDescent="0.2">
      <c r="A47" s="4" t="s">
        <v>243</v>
      </c>
      <c r="B47" s="19" t="s">
        <v>341</v>
      </c>
      <c r="C47" s="8" t="s">
        <v>84</v>
      </c>
      <c r="D47" s="19" t="s">
        <v>314</v>
      </c>
      <c r="E47" s="18" t="s">
        <v>342</v>
      </c>
    </row>
    <row r="48" spans="1:5" x14ac:dyDescent="0.2">
      <c r="A48" s="4" t="s">
        <v>249</v>
      </c>
      <c r="B48" s="19" t="s">
        <v>343</v>
      </c>
      <c r="C48" s="8" t="s">
        <v>251</v>
      </c>
      <c r="D48" s="19" t="s">
        <v>314</v>
      </c>
      <c r="E48" s="18" t="s">
        <v>344</v>
      </c>
    </row>
    <row r="49" spans="1:5" x14ac:dyDescent="0.2">
      <c r="A49" s="4" t="s">
        <v>345</v>
      </c>
      <c r="B49" s="19" t="s">
        <v>346</v>
      </c>
      <c r="C49" s="8" t="s">
        <v>347</v>
      </c>
      <c r="D49" s="19" t="s">
        <v>314</v>
      </c>
      <c r="E49" s="18" t="s">
        <v>348</v>
      </c>
    </row>
    <row r="50" spans="1:5" x14ac:dyDescent="0.2">
      <c r="A50" s="4" t="s">
        <v>349</v>
      </c>
      <c r="B50" s="19" t="s">
        <v>350</v>
      </c>
      <c r="C50" s="20">
        <v>1</v>
      </c>
      <c r="D50" s="19" t="s">
        <v>309</v>
      </c>
      <c r="E50" s="18" t="s">
        <v>351</v>
      </c>
    </row>
    <row r="51" spans="1:5" x14ac:dyDescent="0.2">
      <c r="A51" s="4" t="s">
        <v>352</v>
      </c>
      <c r="B51" s="19" t="s">
        <v>353</v>
      </c>
      <c r="C51" s="23">
        <v>3.0000000000000001E-3</v>
      </c>
      <c r="D51" s="19" t="s">
        <v>331</v>
      </c>
      <c r="E51" s="18" t="s">
        <v>274</v>
      </c>
    </row>
    <row r="52" spans="1:5" x14ac:dyDescent="0.2">
      <c r="A52" s="4" t="s">
        <v>354</v>
      </c>
      <c r="B52" s="19" t="s">
        <v>355</v>
      </c>
      <c r="C52" s="24"/>
      <c r="D52" s="19" t="s">
        <v>331</v>
      </c>
      <c r="E52" s="18" t="s">
        <v>356</v>
      </c>
    </row>
    <row r="53" spans="1:5" x14ac:dyDescent="0.2">
      <c r="A53" s="4" t="s">
        <v>280</v>
      </c>
      <c r="B53" s="19" t="s">
        <v>357</v>
      </c>
      <c r="C53" s="8" t="s">
        <v>358</v>
      </c>
      <c r="D53" s="19" t="s">
        <v>314</v>
      </c>
      <c r="E53" s="18" t="s">
        <v>359</v>
      </c>
    </row>
    <row r="54" spans="1:5" x14ac:dyDescent="0.2">
      <c r="A54" s="4" t="s">
        <v>283</v>
      </c>
      <c r="B54" s="19" t="s">
        <v>358</v>
      </c>
      <c r="C54" s="23">
        <v>0.4</v>
      </c>
      <c r="D54" s="19" t="s">
        <v>331</v>
      </c>
      <c r="E54" s="18" t="s">
        <v>360</v>
      </c>
    </row>
    <row r="55" spans="1:5" x14ac:dyDescent="0.2">
      <c r="A55" s="4" t="s">
        <v>361</v>
      </c>
      <c r="B55" s="19" t="s">
        <v>362</v>
      </c>
      <c r="C55" s="23">
        <v>0</v>
      </c>
      <c r="D55" s="19" t="s">
        <v>331</v>
      </c>
      <c r="E55" s="18" t="s">
        <v>363</v>
      </c>
    </row>
    <row r="57" spans="1:5" x14ac:dyDescent="0.2">
      <c r="A57" s="16" t="s">
        <v>364</v>
      </c>
    </row>
    <row r="58" spans="1:5" x14ac:dyDescent="0.2">
      <c r="A58" s="17" t="s">
        <v>365</v>
      </c>
      <c r="B58" s="17" t="s">
        <v>366</v>
      </c>
      <c r="C58" s="17" t="s">
        <v>217</v>
      </c>
      <c r="D58" s="17"/>
      <c r="E58" s="17" t="s">
        <v>367</v>
      </c>
    </row>
    <row r="59" spans="1:5" ht="26" x14ac:dyDescent="0.2">
      <c r="A59" s="4" t="s">
        <v>368</v>
      </c>
      <c r="B59" s="18" t="s">
        <v>369</v>
      </c>
      <c r="C59" s="25">
        <f>IF($C$46="market",$C$40,$C$41)</f>
        <v>1.37476780859097</v>
      </c>
      <c r="E59" s="18" t="s">
        <v>370</v>
      </c>
    </row>
    <row r="60" spans="1:5" ht="39" x14ac:dyDescent="0.2">
      <c r="A60" s="4" t="s">
        <v>371</v>
      </c>
      <c r="B60" s="18" t="s">
        <v>372</v>
      </c>
      <c r="C60" s="25">
        <f>IF($C$48="in_per_out",$C$59/(1+$C$44),$C$59*(1-$C$44))</f>
        <v>1.3610201305050602</v>
      </c>
      <c r="E60" s="18" t="s">
        <v>373</v>
      </c>
    </row>
    <row r="61" spans="1:5" ht="28" x14ac:dyDescent="0.2">
      <c r="A61" s="4" t="s">
        <v>374</v>
      </c>
      <c r="B61" s="18" t="s">
        <v>375</v>
      </c>
      <c r="C61" s="26">
        <f>$C$36*$C$60</f>
        <v>69412.026655758076</v>
      </c>
      <c r="E61" s="18" t="s">
        <v>376</v>
      </c>
    </row>
    <row r="62" spans="1:5" x14ac:dyDescent="0.2">
      <c r="A62" s="4" t="s">
        <v>377</v>
      </c>
      <c r="B62" s="18" t="s">
        <v>378</v>
      </c>
      <c r="C62" s="26">
        <f>$C$61*$C$45</f>
        <v>0</v>
      </c>
      <c r="E62" s="18" t="s">
        <v>376</v>
      </c>
    </row>
    <row r="63" spans="1:5" x14ac:dyDescent="0.2">
      <c r="A63" s="4" t="s">
        <v>379</v>
      </c>
      <c r="B63" s="18" t="s">
        <v>380</v>
      </c>
      <c r="C63" s="26">
        <f>$C$61-$C$62</f>
        <v>69412.026655758076</v>
      </c>
      <c r="E63" s="18" t="s">
        <v>381</v>
      </c>
    </row>
    <row r="64" spans="1:5" ht="39" x14ac:dyDescent="0.2">
      <c r="A64" s="4" t="s">
        <v>382</v>
      </c>
      <c r="B64" s="18" t="s">
        <v>383</v>
      </c>
      <c r="C64" s="26">
        <f>IF($C$47="own_desk",$C$36*$C$40,IF($C$47="market_plus_pct",$C$36*$C$40*(1-$C$42),$C$36*$C$41))</f>
        <v>69412.026655758076</v>
      </c>
      <c r="E64" s="18" t="s">
        <v>384</v>
      </c>
    </row>
    <row r="65" spans="1:5" x14ac:dyDescent="0.2">
      <c r="A65" s="4" t="s">
        <v>385</v>
      </c>
      <c r="B65" s="18" t="s">
        <v>386</v>
      </c>
      <c r="C65" s="26">
        <f>$C$36*$C$40-$C$64</f>
        <v>701.13158238139295</v>
      </c>
      <c r="E65" s="18" t="s">
        <v>381</v>
      </c>
    </row>
    <row r="66" spans="1:5" x14ac:dyDescent="0.2">
      <c r="A66" s="4" t="s">
        <v>387</v>
      </c>
      <c r="B66" s="18" t="s">
        <v>388</v>
      </c>
      <c r="C66" s="26">
        <f>$C$64-$C$63</f>
        <v>0</v>
      </c>
      <c r="E66" s="18" t="s">
        <v>389</v>
      </c>
    </row>
    <row r="67" spans="1:5" x14ac:dyDescent="0.2">
      <c r="A67" s="4" t="s">
        <v>390</v>
      </c>
      <c r="B67" s="18" t="s">
        <v>391</v>
      </c>
      <c r="C67" s="27">
        <f>IF($C$36*$C$40=0,0,$C$66/($C$36*$C$40))</f>
        <v>0</v>
      </c>
      <c r="E67" s="18" t="s">
        <v>381</v>
      </c>
    </row>
    <row r="68" spans="1:5" ht="26" x14ac:dyDescent="0.2">
      <c r="A68" s="4" t="s">
        <v>392</v>
      </c>
      <c r="B68" s="18" t="s">
        <v>393</v>
      </c>
      <c r="C68" s="7" t="str">
        <f>IF($C$67&lt;$C$51,"YES — Finance approval","no")</f>
        <v>YES — Finance approval</v>
      </c>
      <c r="E68" s="18" t="s">
        <v>394</v>
      </c>
    </row>
    <row r="69" spans="1:5" ht="26" x14ac:dyDescent="0.2">
      <c r="A69" s="4" t="s">
        <v>395</v>
      </c>
      <c r="B69" s="18" t="s">
        <v>396</v>
      </c>
      <c r="C69" s="26">
        <f>IF($C$49="round_up_unit",CEILING($C$63,$C$50),IF($C$49="nearest_unit",MROUND($C$63,$C$50),IF($C$49="nearest_n",MROUND($C$63,$C$50),FLOOR($C$63,$C$50))))</f>
        <v>69412</v>
      </c>
      <c r="E69" s="18" t="s">
        <v>397</v>
      </c>
    </row>
    <row r="70" spans="1:5" ht="28" x14ac:dyDescent="0.2">
      <c r="A70" s="4" t="s">
        <v>398</v>
      </c>
      <c r="B70" s="18" t="s">
        <v>399</v>
      </c>
      <c r="C70" s="26">
        <f>$C$63-$C$69</f>
        <v>2.6655758076230995E-2</v>
      </c>
      <c r="E70" s="18" t="s">
        <v>400</v>
      </c>
    </row>
    <row r="71" spans="1:5" ht="26" x14ac:dyDescent="0.2">
      <c r="A71" s="4" t="s">
        <v>401</v>
      </c>
      <c r="B71" s="18" t="s">
        <v>402</v>
      </c>
      <c r="C71" s="25">
        <f>IF($C$52="",$C$59,$C$60/(1-$C$52))</f>
        <v>1.37476780859097</v>
      </c>
      <c r="E71" s="18" t="s">
        <v>356</v>
      </c>
    </row>
    <row r="72" spans="1:5" x14ac:dyDescent="0.2">
      <c r="A72" s="4" t="s">
        <v>403</v>
      </c>
      <c r="B72" s="18" t="s">
        <v>404</v>
      </c>
      <c r="C72" s="26">
        <f>IF($C$53="rebate",$C$65*$C$54,0)</f>
        <v>280.45263295255717</v>
      </c>
      <c r="E72" s="18" t="s">
        <v>405</v>
      </c>
    </row>
    <row r="73" spans="1:5" x14ac:dyDescent="0.2">
      <c r="A73" s="4" t="s">
        <v>406</v>
      </c>
      <c r="B73" s="18" t="s">
        <v>407</v>
      </c>
      <c r="C73" s="26">
        <f>$C$36*$C$40*$C$55</f>
        <v>0</v>
      </c>
      <c r="E73" s="18" t="s">
        <v>408</v>
      </c>
    </row>
    <row r="74" spans="1:5" ht="28" x14ac:dyDescent="0.2">
      <c r="A74" s="4" t="s">
        <v>409</v>
      </c>
      <c r="B74" s="18" t="s">
        <v>410</v>
      </c>
      <c r="C74" s="26">
        <f>ROUND($C$63+$C$65+$C$66-$C$36*$C$40,6)</f>
        <v>0</v>
      </c>
      <c r="E74" s="18" t="s">
        <v>411</v>
      </c>
    </row>
    <row r="76" spans="1:5" x14ac:dyDescent="0.2">
      <c r="A76" s="16" t="s">
        <v>412</v>
      </c>
    </row>
    <row r="77" spans="1:5" x14ac:dyDescent="0.2">
      <c r="A77" s="17" t="s">
        <v>413</v>
      </c>
      <c r="B77" s="17" t="s">
        <v>414</v>
      </c>
      <c r="C77" s="17" t="s">
        <v>415</v>
      </c>
      <c r="D77" s="17" t="s">
        <v>416</v>
      </c>
      <c r="E77" s="17" t="s">
        <v>417</v>
      </c>
    </row>
    <row r="78" spans="1:5" x14ac:dyDescent="0.2">
      <c r="A78" s="7" t="str">
        <f>"CL."&amp;$C$39&amp;"."&amp;$C$37&amp;".COLLECTED"</f>
        <v>CL.JETON.GBP.COLLECTED</v>
      </c>
      <c r="B78" s="7" t="s">
        <v>418</v>
      </c>
      <c r="C78" s="26">
        <f>$C$36</f>
        <v>51000</v>
      </c>
      <c r="D78" s="19" t="s">
        <v>419</v>
      </c>
      <c r="E78" s="19" t="s">
        <v>420</v>
      </c>
    </row>
    <row r="79" spans="1:5" x14ac:dyDescent="0.2">
      <c r="A79" s="7" t="str">
        <f>"CL.PROJECT."&amp;$C$37&amp;".PAYABLE"</f>
        <v>CL.PROJECT.GBP.PAYABLE</v>
      </c>
      <c r="B79" s="7" t="s">
        <v>421</v>
      </c>
      <c r="C79" s="26">
        <f>$C$36</f>
        <v>51000</v>
      </c>
      <c r="D79" s="19" t="s">
        <v>419</v>
      </c>
      <c r="E79" s="19" t="s">
        <v>420</v>
      </c>
    </row>
    <row r="80" spans="1:5" x14ac:dyDescent="0.2">
      <c r="A80" s="7" t="str">
        <f>"CL.PROJECT."&amp;$C$37&amp;".PAYABLE"</f>
        <v>CL.PROJECT.GBP.PAYABLE</v>
      </c>
      <c r="B80" s="7" t="s">
        <v>418</v>
      </c>
      <c r="C80" s="26">
        <f>$C$36</f>
        <v>51000</v>
      </c>
      <c r="D80" s="19" t="s">
        <v>419</v>
      </c>
      <c r="E80" s="19" t="s">
        <v>422</v>
      </c>
    </row>
    <row r="81" spans="1:5" x14ac:dyDescent="0.2">
      <c r="A81" s="7" t="str">
        <f>"CL."&amp;$C$39&amp;"."&amp;$C$37&amp;".COLLECTED"</f>
        <v>CL.JETON.GBP.COLLECTED</v>
      </c>
      <c r="B81" s="7" t="s">
        <v>421</v>
      </c>
      <c r="C81" s="26">
        <f>$C$36</f>
        <v>51000</v>
      </c>
      <c r="D81" s="19" t="s">
        <v>419</v>
      </c>
      <c r="E81" s="19" t="s">
        <v>422</v>
      </c>
    </row>
    <row r="82" spans="1:5" x14ac:dyDescent="0.2">
      <c r="A82" s="7" t="str">
        <f>"CL."&amp;$C$39&amp;"."&amp;$C$38&amp;".DUE"</f>
        <v>CL.JETON.USDT.DUE</v>
      </c>
      <c r="B82" s="7" t="s">
        <v>418</v>
      </c>
      <c r="C82" s="26">
        <f>$C$63</f>
        <v>69412.026655758076</v>
      </c>
      <c r="D82" s="19" t="s">
        <v>423</v>
      </c>
      <c r="E82" s="19" t="s">
        <v>424</v>
      </c>
    </row>
    <row r="83" spans="1:5" x14ac:dyDescent="0.2">
      <c r="A83" s="7" t="str">
        <f>"CO."&amp;$C$39&amp;"."&amp;$C$38&amp;".POOL"</f>
        <v>CO.JETON.USDT.POOL</v>
      </c>
      <c r="B83" s="7" t="s">
        <v>418</v>
      </c>
      <c r="C83" s="26">
        <f>IF($C$53="rebate",0,$C$66)</f>
        <v>0</v>
      </c>
      <c r="D83" s="19" t="s">
        <v>425</v>
      </c>
      <c r="E83" s="19" t="s">
        <v>426</v>
      </c>
    </row>
    <row r="84" spans="1:5" x14ac:dyDescent="0.2">
      <c r="A84" s="7" t="str">
        <f>"CO."&amp;$C$39&amp;"."&amp;$C$38&amp;".REBATE_RECEIVABLE"</f>
        <v>CO.JETON.USDT.REBATE_RECEIVABLE</v>
      </c>
      <c r="B84" s="7" t="s">
        <v>418</v>
      </c>
      <c r="C84" s="26">
        <f>$C$72</f>
        <v>280.45263295255717</v>
      </c>
      <c r="D84" s="19" t="s">
        <v>425</v>
      </c>
      <c r="E84" s="19" t="s">
        <v>427</v>
      </c>
    </row>
    <row r="85" spans="1:5" x14ac:dyDescent="0.2">
      <c r="A85" s="7" t="str">
        <f>"CL.PROJECT."&amp;$C$38&amp;".PAYABLE"</f>
        <v>CL.PROJECT.USDT.PAYABLE</v>
      </c>
      <c r="B85" s="7" t="s">
        <v>421</v>
      </c>
      <c r="C85" s="26">
        <f>$C$63</f>
        <v>69412.026655758076</v>
      </c>
      <c r="D85" s="19" t="s">
        <v>419</v>
      </c>
      <c r="E85" s="19" t="s">
        <v>424</v>
      </c>
    </row>
    <row r="86" spans="1:5" x14ac:dyDescent="0.2">
      <c r="A86" s="7" t="str">
        <f>"CO.NONE."&amp;$C$38&amp;".EARN_GROSS"</f>
        <v>CO.NONE.USDT.EARN_GROSS</v>
      </c>
      <c r="B86" s="7" t="s">
        <v>421</v>
      </c>
      <c r="C86" s="26">
        <f>$C$66+$C$72</f>
        <v>280.45263295255717</v>
      </c>
      <c r="D86" s="19" t="s">
        <v>425</v>
      </c>
      <c r="E86" s="19" t="s">
        <v>428</v>
      </c>
    </row>
    <row r="87" spans="1:5" x14ac:dyDescent="0.2">
      <c r="A87" s="7" t="str">
        <f>"CL."&amp;$C$39&amp;"."&amp;$C$38&amp;".INTRANSIT"</f>
        <v>CL.JETON.USDT.INTRANSIT</v>
      </c>
      <c r="B87" s="7" t="s">
        <v>418</v>
      </c>
      <c r="C87" s="26">
        <f>$C$69</f>
        <v>69412</v>
      </c>
      <c r="D87" s="19" t="s">
        <v>419</v>
      </c>
      <c r="E87" s="19" t="s">
        <v>429</v>
      </c>
    </row>
    <row r="88" spans="1:5" x14ac:dyDescent="0.2">
      <c r="A88" s="7" t="str">
        <f>"CL."&amp;$C$39&amp;"."&amp;$C$38&amp;".DUE"</f>
        <v>CL.JETON.USDT.DUE</v>
      </c>
      <c r="B88" s="7" t="s">
        <v>421</v>
      </c>
      <c r="C88" s="26">
        <f>$C$69</f>
        <v>69412</v>
      </c>
      <c r="D88" s="19" t="s">
        <v>419</v>
      </c>
      <c r="E88" s="19" t="s">
        <v>430</v>
      </c>
    </row>
    <row r="89" spans="1:5" x14ac:dyDescent="0.2">
      <c r="A89" s="7" t="str">
        <f>"CL.PROJECT."&amp;$C$38&amp;".PAYABLE"</f>
        <v>CL.PROJECT.USDT.PAYABLE</v>
      </c>
      <c r="B89" s="7" t="s">
        <v>418</v>
      </c>
      <c r="C89" s="26">
        <f>$C$69</f>
        <v>69412</v>
      </c>
      <c r="D89" s="19" t="s">
        <v>419</v>
      </c>
      <c r="E89" s="19" t="s">
        <v>431</v>
      </c>
    </row>
    <row r="90" spans="1:5" x14ac:dyDescent="0.2">
      <c r="A90" s="7" t="str">
        <f>"CL."&amp;$C$39&amp;"."&amp;$C$38&amp;".INTRANSIT"</f>
        <v>CL.JETON.USDT.INTRANSIT</v>
      </c>
      <c r="B90" s="7" t="s">
        <v>421</v>
      </c>
      <c r="C90" s="26">
        <f>$C$69</f>
        <v>69412</v>
      </c>
      <c r="D90" s="19" t="s">
        <v>419</v>
      </c>
      <c r="E90" s="19" t="s">
        <v>431</v>
      </c>
    </row>
    <row r="91" spans="1:5" x14ac:dyDescent="0.2">
      <c r="A91" s="7" t="str">
        <f>"CO.NONE."&amp;$C$38&amp;".EARN_GROSS"</f>
        <v>CO.NONE.USDT.EARN_GROSS</v>
      </c>
      <c r="B91" s="7" t="s">
        <v>418</v>
      </c>
      <c r="C91" s="26">
        <f>$C$73</f>
        <v>0</v>
      </c>
      <c r="D91" s="19" t="s">
        <v>432</v>
      </c>
      <c r="E91" s="19" t="s">
        <v>433</v>
      </c>
    </row>
    <row r="92" spans="1:5" x14ac:dyDescent="0.2">
      <c r="A92" s="7" t="str">
        <f>"CO.INTRODUCER."&amp;$C$38&amp;".REFERRAL_PAYABLE"</f>
        <v>CO.INTRODUCER.USDT.REFERRAL_PAYABLE</v>
      </c>
      <c r="B92" s="7" t="s">
        <v>421</v>
      </c>
      <c r="C92" s="26">
        <f>$C$73</f>
        <v>0</v>
      </c>
      <c r="D92" s="19" t="s">
        <v>432</v>
      </c>
      <c r="E92" s="19" t="s">
        <v>434</v>
      </c>
    </row>
    <row r="93" spans="1:5" ht="30" customHeight="1" x14ac:dyDescent="0.2">
      <c r="A93" s="28" t="s">
        <v>435</v>
      </c>
      <c r="C93" s="29">
        <f>ROUND(SUMIF($B$82:$B$92,"Dr",$C$82:$C$92)-SUMIF($B$82:$B$92,"Cr",$C$82:$C$92),6)</f>
        <v>0</v>
      </c>
      <c r="E93" s="18" t="s">
        <v>436</v>
      </c>
    </row>
    <row r="95" spans="1:5" x14ac:dyDescent="0.2">
      <c r="A95" s="16" t="s">
        <v>437</v>
      </c>
    </row>
    <row r="96" spans="1:5" x14ac:dyDescent="0.2">
      <c r="A96" s="17" t="s">
        <v>438</v>
      </c>
      <c r="B96" s="17" t="s">
        <v>439</v>
      </c>
      <c r="C96" s="17" t="s">
        <v>440</v>
      </c>
      <c r="D96" s="17" t="s">
        <v>441</v>
      </c>
      <c r="E96" s="17" t="s">
        <v>442</v>
      </c>
    </row>
    <row r="97" spans="1:5" ht="15.75" customHeight="1" x14ac:dyDescent="0.2">
      <c r="A97" s="4" t="s">
        <v>587</v>
      </c>
      <c r="B97" s="20">
        <v>69412</v>
      </c>
      <c r="C97" s="26">
        <f>$C$61</f>
        <v>69412.026655758076</v>
      </c>
      <c r="D97" s="29">
        <f>ROUND(C97-B97,2)</f>
        <v>0.03</v>
      </c>
      <c r="E97" s="18" t="s">
        <v>588</v>
      </c>
    </row>
    <row r="99" spans="1:5" x14ac:dyDescent="0.2">
      <c r="A99" s="16" t="s">
        <v>445</v>
      </c>
    </row>
    <row r="100" spans="1:5" ht="31.5" customHeight="1" x14ac:dyDescent="0.2">
      <c r="A100" s="14" t="s">
        <v>446</v>
      </c>
      <c r="B100" s="1" t="s">
        <v>589</v>
      </c>
      <c r="C100" s="1"/>
      <c r="D100" s="1"/>
      <c r="E100" s="1"/>
    </row>
    <row r="101" spans="1:5" ht="31.5" customHeight="1" x14ac:dyDescent="0.2">
      <c r="A101" s="14"/>
      <c r="B101" s="35" t="s">
        <v>692</v>
      </c>
      <c r="C101" s="35"/>
      <c r="D101" s="35"/>
      <c r="E101" s="35"/>
    </row>
    <row r="102" spans="1:5" ht="31.5" customHeight="1" x14ac:dyDescent="0.2">
      <c r="A102" s="14" t="s">
        <v>446</v>
      </c>
      <c r="B102" s="1" t="s">
        <v>590</v>
      </c>
      <c r="C102" s="1"/>
      <c r="D102" s="1"/>
      <c r="E102" s="1"/>
    </row>
    <row r="103" spans="1:5" ht="31.5" customHeight="1" x14ac:dyDescent="0.2">
      <c r="A103" s="14"/>
      <c r="B103" s="34" t="s">
        <v>693</v>
      </c>
      <c r="C103" s="15"/>
      <c r="D103" s="15"/>
      <c r="E103" s="15"/>
    </row>
    <row r="104" spans="1:5" ht="31.5" customHeight="1" x14ac:dyDescent="0.2">
      <c r="A104" s="14" t="s">
        <v>446</v>
      </c>
      <c r="B104" s="1" t="s">
        <v>591</v>
      </c>
      <c r="C104" s="1"/>
      <c r="D104" s="1"/>
      <c r="E104" s="1"/>
    </row>
    <row r="105" spans="1:5" x14ac:dyDescent="0.2">
      <c r="B105" t="s">
        <v>694</v>
      </c>
    </row>
  </sheetData>
  <mergeCells count="4">
    <mergeCell ref="B100:E100"/>
    <mergeCell ref="B102:E102"/>
    <mergeCell ref="B104:E104"/>
    <mergeCell ref="B101:E101"/>
  </mergeCells>
  <pageMargins left="0.75" right="0.75" top="1" bottom="1"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1"/>
  <sheetViews>
    <sheetView topLeftCell="A21" zoomScaleNormal="100" workbookViewId="0">
      <selection activeCell="C40" sqref="C40"/>
    </sheetView>
  </sheetViews>
  <sheetFormatPr baseColWidth="10" defaultColWidth="8.6640625" defaultRowHeight="15" x14ac:dyDescent="0.2"/>
  <cols>
    <col min="1" max="2" width="34" customWidth="1"/>
    <col min="3" max="3" width="22" customWidth="1"/>
    <col min="4" max="4" width="18" customWidth="1"/>
    <col min="5" max="5" width="48" customWidth="1"/>
  </cols>
  <sheetData>
    <row r="1" spans="1:5" ht="17" x14ac:dyDescent="0.2">
      <c r="A1" s="2" t="s">
        <v>592</v>
      </c>
    </row>
    <row r="2" spans="1:5" x14ac:dyDescent="0.2">
      <c r="A2" s="13" t="s">
        <v>210</v>
      </c>
      <c r="B2" s="14" t="s">
        <v>593</v>
      </c>
    </row>
    <row r="3" spans="1:5" ht="30" customHeight="1" x14ac:dyDescent="0.2">
      <c r="A3" s="13" t="s">
        <v>212</v>
      </c>
      <c r="B3" s="15" t="s">
        <v>594</v>
      </c>
    </row>
    <row r="5" spans="1:5" x14ac:dyDescent="0.2">
      <c r="A5" s="16" t="s">
        <v>214</v>
      </c>
    </row>
    <row r="6" spans="1:5" x14ac:dyDescent="0.2">
      <c r="A6" s="17" t="s">
        <v>215</v>
      </c>
      <c r="B6" s="17" t="s">
        <v>216</v>
      </c>
      <c r="C6" s="17" t="s">
        <v>217</v>
      </c>
      <c r="D6" s="17" t="s">
        <v>218</v>
      </c>
      <c r="E6" s="17" t="s">
        <v>219</v>
      </c>
    </row>
    <row r="7" spans="1:5" ht="30" customHeight="1" x14ac:dyDescent="0.2">
      <c r="A7" s="4" t="s">
        <v>220</v>
      </c>
      <c r="B7" s="4" t="s">
        <v>221</v>
      </c>
      <c r="C7" s="10" t="s">
        <v>200</v>
      </c>
      <c r="D7" s="4" t="s">
        <v>222</v>
      </c>
      <c r="E7" s="18" t="s">
        <v>223</v>
      </c>
    </row>
    <row r="8" spans="1:5" ht="30" customHeight="1" x14ac:dyDescent="0.2">
      <c r="A8" s="4" t="s">
        <v>224</v>
      </c>
      <c r="B8" s="4" t="s">
        <v>225</v>
      </c>
      <c r="C8" s="32" t="s">
        <v>695</v>
      </c>
      <c r="D8" s="4" t="s">
        <v>226</v>
      </c>
      <c r="E8" s="18" t="s">
        <v>227</v>
      </c>
    </row>
    <row r="9" spans="1:5" ht="30" customHeight="1" x14ac:dyDescent="0.2">
      <c r="A9" s="4" t="s">
        <v>228</v>
      </c>
      <c r="B9" s="4" t="s">
        <v>229</v>
      </c>
      <c r="C9" s="32" t="s">
        <v>313</v>
      </c>
      <c r="D9" s="4" t="s">
        <v>226</v>
      </c>
      <c r="E9" s="18" t="s">
        <v>230</v>
      </c>
    </row>
    <row r="10" spans="1:5" ht="30" customHeight="1" x14ac:dyDescent="0.2">
      <c r="A10" s="4" t="s">
        <v>231</v>
      </c>
      <c r="B10" s="4" t="s">
        <v>232</v>
      </c>
      <c r="C10" s="32" t="s">
        <v>313</v>
      </c>
      <c r="D10" s="4" t="s">
        <v>226</v>
      </c>
      <c r="E10" s="18" t="s">
        <v>233</v>
      </c>
    </row>
    <row r="11" spans="1:5" ht="15.75" customHeight="1" x14ac:dyDescent="0.2">
      <c r="A11" s="4" t="s">
        <v>234</v>
      </c>
      <c r="B11" s="4" t="s">
        <v>235</v>
      </c>
      <c r="C11" s="10" t="s">
        <v>556</v>
      </c>
      <c r="D11" s="4" t="s">
        <v>222</v>
      </c>
      <c r="E11" s="18" t="s">
        <v>237</v>
      </c>
    </row>
    <row r="12" spans="1:5" ht="30" customHeight="1" x14ac:dyDescent="0.2">
      <c r="A12" s="4" t="s">
        <v>238</v>
      </c>
      <c r="B12" s="4" t="s">
        <v>239</v>
      </c>
      <c r="C12" s="10" t="s">
        <v>557</v>
      </c>
      <c r="D12" s="4" t="s">
        <v>222</v>
      </c>
      <c r="E12" s="18" t="s">
        <v>240</v>
      </c>
    </row>
    <row r="13" spans="1:5" ht="15.75" customHeight="1" x14ac:dyDescent="0.2">
      <c r="A13" s="4" t="s">
        <v>241</v>
      </c>
      <c r="B13" s="4" t="s">
        <v>242</v>
      </c>
      <c r="C13" s="10" t="s">
        <v>93</v>
      </c>
      <c r="D13" s="4" t="s">
        <v>222</v>
      </c>
      <c r="E13" s="18"/>
    </row>
    <row r="14" spans="1:5" ht="30" customHeight="1" x14ac:dyDescent="0.2">
      <c r="A14" s="4" t="s">
        <v>243</v>
      </c>
      <c r="B14" s="4" t="s">
        <v>244</v>
      </c>
      <c r="C14" s="10" t="s">
        <v>94</v>
      </c>
      <c r="D14" s="4" t="s">
        <v>222</v>
      </c>
      <c r="E14" s="18" t="s">
        <v>245</v>
      </c>
    </row>
    <row r="15" spans="1:5" ht="15.75" customHeight="1" x14ac:dyDescent="0.2">
      <c r="A15" s="4" t="s">
        <v>246</v>
      </c>
      <c r="B15" s="4" t="s">
        <v>247</v>
      </c>
      <c r="C15" s="10" t="s">
        <v>595</v>
      </c>
      <c r="D15" s="4" t="s">
        <v>222</v>
      </c>
      <c r="E15" s="18" t="s">
        <v>248</v>
      </c>
    </row>
    <row r="16" spans="1:5" ht="30" customHeight="1" x14ac:dyDescent="0.2">
      <c r="A16" s="4" t="s">
        <v>249</v>
      </c>
      <c r="B16" s="4" t="s">
        <v>250</v>
      </c>
      <c r="C16" s="10" t="s">
        <v>481</v>
      </c>
      <c r="D16" s="4" t="s">
        <v>222</v>
      </c>
      <c r="E16" s="18" t="s">
        <v>252</v>
      </c>
    </row>
    <row r="17" spans="1:5" ht="30" customHeight="1" x14ac:dyDescent="0.2">
      <c r="A17" s="4" t="s">
        <v>253</v>
      </c>
      <c r="B17" s="4" t="s">
        <v>254</v>
      </c>
      <c r="C17" s="10" t="s">
        <v>454</v>
      </c>
      <c r="D17" s="4" t="s">
        <v>222</v>
      </c>
      <c r="E17" s="18" t="s">
        <v>256</v>
      </c>
    </row>
    <row r="18" spans="1:5" ht="15.75" customHeight="1" x14ac:dyDescent="0.2">
      <c r="A18" s="4" t="s">
        <v>257</v>
      </c>
      <c r="B18" s="4" t="s">
        <v>258</v>
      </c>
      <c r="C18" s="10" t="s">
        <v>86</v>
      </c>
      <c r="D18" s="4" t="s">
        <v>222</v>
      </c>
      <c r="E18" s="18" t="s">
        <v>259</v>
      </c>
    </row>
    <row r="19" spans="1:5" ht="15.75" customHeight="1" x14ac:dyDescent="0.2">
      <c r="A19" s="4" t="s">
        <v>260</v>
      </c>
      <c r="B19" s="4" t="s">
        <v>261</v>
      </c>
      <c r="C19" s="12">
        <v>5.0000000000000001E-3</v>
      </c>
      <c r="D19" s="4" t="s">
        <v>222</v>
      </c>
      <c r="E19" s="18" t="s">
        <v>262</v>
      </c>
    </row>
    <row r="20" spans="1:5" ht="15.75" customHeight="1" x14ac:dyDescent="0.2">
      <c r="A20" s="4" t="s">
        <v>263</v>
      </c>
      <c r="B20" s="4" t="s">
        <v>264</v>
      </c>
      <c r="C20" s="12">
        <v>5.0000000000000001E-3</v>
      </c>
      <c r="D20" s="4" t="s">
        <v>222</v>
      </c>
      <c r="E20" s="18"/>
    </row>
    <row r="21" spans="1:5" ht="30" customHeight="1" x14ac:dyDescent="0.2">
      <c r="A21" s="4" t="s">
        <v>265</v>
      </c>
      <c r="B21" s="4" t="s">
        <v>266</v>
      </c>
      <c r="C21" s="12">
        <v>0</v>
      </c>
      <c r="D21" s="4" t="s">
        <v>222</v>
      </c>
      <c r="E21" s="18" t="s">
        <v>267</v>
      </c>
    </row>
    <row r="22" spans="1:5" ht="15.75" customHeight="1" x14ac:dyDescent="0.2">
      <c r="A22" s="4" t="s">
        <v>268</v>
      </c>
      <c r="B22" s="4" t="s">
        <v>269</v>
      </c>
      <c r="C22" s="11"/>
      <c r="D22" s="4" t="s">
        <v>226</v>
      </c>
      <c r="E22" s="18" t="s">
        <v>270</v>
      </c>
    </row>
    <row r="23" spans="1:5" ht="15.75" customHeight="1" x14ac:dyDescent="0.2">
      <c r="A23" s="4" t="s">
        <v>271</v>
      </c>
      <c r="B23" s="4" t="s">
        <v>272</v>
      </c>
      <c r="C23" s="11"/>
      <c r="D23" s="4" t="s">
        <v>226</v>
      </c>
      <c r="E23" s="18" t="s">
        <v>270</v>
      </c>
    </row>
    <row r="24" spans="1:5" ht="15.75" customHeight="1" x14ac:dyDescent="0.2">
      <c r="A24" s="4" t="s">
        <v>273</v>
      </c>
      <c r="B24" s="4" t="s">
        <v>274</v>
      </c>
      <c r="C24" s="11"/>
      <c r="D24" s="4" t="s">
        <v>226</v>
      </c>
      <c r="E24" s="18" t="s">
        <v>275</v>
      </c>
    </row>
    <row r="25" spans="1:5" ht="30" customHeight="1" x14ac:dyDescent="0.2">
      <c r="A25" s="4" t="s">
        <v>276</v>
      </c>
      <c r="B25" s="4" t="s">
        <v>277</v>
      </c>
      <c r="C25" s="32" t="s">
        <v>621</v>
      </c>
      <c r="D25" s="4" t="s">
        <v>278</v>
      </c>
      <c r="E25" s="18" t="s">
        <v>279</v>
      </c>
    </row>
    <row r="26" spans="1:5" ht="15.75" customHeight="1" x14ac:dyDescent="0.2">
      <c r="A26" s="4" t="s">
        <v>280</v>
      </c>
      <c r="B26" s="4" t="s">
        <v>281</v>
      </c>
      <c r="C26" s="10" t="s">
        <v>95</v>
      </c>
      <c r="D26" s="4" t="s">
        <v>222</v>
      </c>
      <c r="E26" s="18" t="s">
        <v>282</v>
      </c>
    </row>
    <row r="27" spans="1:5" ht="15.75" customHeight="1" x14ac:dyDescent="0.2">
      <c r="A27" s="4" t="s">
        <v>283</v>
      </c>
      <c r="B27" s="4" t="s">
        <v>284</v>
      </c>
      <c r="C27" s="32" t="s">
        <v>621</v>
      </c>
      <c r="D27" s="4" t="s">
        <v>278</v>
      </c>
      <c r="E27" s="18" t="s">
        <v>286</v>
      </c>
    </row>
    <row r="28" spans="1:5" ht="15.75" customHeight="1" x14ac:dyDescent="0.2">
      <c r="A28" s="4" t="s">
        <v>287</v>
      </c>
      <c r="B28" s="4" t="s">
        <v>288</v>
      </c>
      <c r="C28" s="10"/>
      <c r="D28" s="4" t="s">
        <v>278</v>
      </c>
      <c r="E28" s="18" t="s">
        <v>289</v>
      </c>
    </row>
    <row r="29" spans="1:5" ht="30" customHeight="1" x14ac:dyDescent="0.2">
      <c r="A29" s="4" t="s">
        <v>290</v>
      </c>
      <c r="B29" s="4" t="s">
        <v>291</v>
      </c>
      <c r="C29" s="10" t="s">
        <v>596</v>
      </c>
      <c r="D29" s="4" t="s">
        <v>222</v>
      </c>
      <c r="E29" s="18" t="s">
        <v>293</v>
      </c>
    </row>
    <row r="30" spans="1:5" ht="15.75" customHeight="1" x14ac:dyDescent="0.2">
      <c r="A30" s="4" t="s">
        <v>294</v>
      </c>
      <c r="B30" s="4" t="s">
        <v>295</v>
      </c>
      <c r="C30" s="32" t="s">
        <v>313</v>
      </c>
      <c r="D30" s="4" t="s">
        <v>226</v>
      </c>
      <c r="E30" s="18"/>
    </row>
    <row r="31" spans="1:5" ht="15.75" customHeight="1" x14ac:dyDescent="0.2">
      <c r="A31" s="4" t="s">
        <v>296</v>
      </c>
      <c r="B31" s="4" t="s">
        <v>297</v>
      </c>
      <c r="C31" s="32" t="s">
        <v>313</v>
      </c>
      <c r="D31" s="4" t="s">
        <v>226</v>
      </c>
      <c r="E31" s="18" t="s">
        <v>298</v>
      </c>
    </row>
    <row r="32" spans="1:5" ht="30" customHeight="1" x14ac:dyDescent="0.2">
      <c r="A32" s="4" t="s">
        <v>299</v>
      </c>
      <c r="B32" s="4" t="s">
        <v>300</v>
      </c>
      <c r="C32" s="32" t="s">
        <v>662</v>
      </c>
      <c r="D32" s="4" t="s">
        <v>226</v>
      </c>
      <c r="E32" s="18" t="s">
        <v>301</v>
      </c>
    </row>
    <row r="34" spans="1:5" x14ac:dyDescent="0.2">
      <c r="A34" s="16" t="s">
        <v>302</v>
      </c>
    </row>
    <row r="35" spans="1:5" x14ac:dyDescent="0.2">
      <c r="A35" s="17" t="s">
        <v>303</v>
      </c>
      <c r="B35" s="17" t="s">
        <v>304</v>
      </c>
      <c r="C35" s="17" t="s">
        <v>217</v>
      </c>
      <c r="D35" s="17" t="s">
        <v>305</v>
      </c>
      <c r="E35" s="17" t="s">
        <v>306</v>
      </c>
    </row>
    <row r="36" spans="1:5" x14ac:dyDescent="0.2">
      <c r="A36" s="4" t="s">
        <v>307</v>
      </c>
      <c r="B36" s="19" t="s">
        <v>308</v>
      </c>
      <c r="C36" s="20">
        <v>8500000</v>
      </c>
      <c r="D36" s="19" t="s">
        <v>309</v>
      </c>
      <c r="E36" s="18" t="s">
        <v>310</v>
      </c>
    </row>
    <row r="37" spans="1:5" x14ac:dyDescent="0.2">
      <c r="A37" s="4" t="s">
        <v>311</v>
      </c>
      <c r="B37" s="19" t="s">
        <v>312</v>
      </c>
      <c r="C37" s="8" t="s">
        <v>483</v>
      </c>
      <c r="D37" s="19" t="s">
        <v>314</v>
      </c>
      <c r="E37" s="18"/>
    </row>
    <row r="38" spans="1:5" x14ac:dyDescent="0.2">
      <c r="A38" s="4" t="s">
        <v>315</v>
      </c>
      <c r="B38" s="19" t="s">
        <v>316</v>
      </c>
      <c r="C38" s="8" t="s">
        <v>484</v>
      </c>
      <c r="D38" s="19" t="s">
        <v>314</v>
      </c>
      <c r="E38" s="18"/>
    </row>
    <row r="39" spans="1:5" x14ac:dyDescent="0.2">
      <c r="A39" s="4" t="s">
        <v>318</v>
      </c>
      <c r="B39" s="19" t="s">
        <v>319</v>
      </c>
      <c r="C39" s="8" t="s">
        <v>455</v>
      </c>
      <c r="D39" s="19" t="s">
        <v>314</v>
      </c>
      <c r="E39" s="18" t="s">
        <v>321</v>
      </c>
    </row>
    <row r="40" spans="1:5" x14ac:dyDescent="0.2">
      <c r="A40" s="4" t="s">
        <v>322</v>
      </c>
      <c r="B40" s="19" t="s">
        <v>323</v>
      </c>
      <c r="C40" s="22"/>
      <c r="D40" s="19" t="s">
        <v>324</v>
      </c>
      <c r="E40" s="18" t="s">
        <v>325</v>
      </c>
    </row>
    <row r="41" spans="1:5" ht="26" x14ac:dyDescent="0.2">
      <c r="A41" s="4" t="s">
        <v>326</v>
      </c>
      <c r="B41" s="19" t="s">
        <v>327</v>
      </c>
      <c r="C41" s="21">
        <v>1.25740000002698E-2</v>
      </c>
      <c r="D41" s="19" t="s">
        <v>324</v>
      </c>
      <c r="E41" s="18" t="s">
        <v>328</v>
      </c>
    </row>
    <row r="42" spans="1:5" ht="26" x14ac:dyDescent="0.2">
      <c r="A42" s="4" t="s">
        <v>329</v>
      </c>
      <c r="B42" s="19" t="s">
        <v>330</v>
      </c>
      <c r="C42" s="23">
        <v>0</v>
      </c>
      <c r="D42" s="19" t="s">
        <v>331</v>
      </c>
      <c r="E42" s="18" t="s">
        <v>332</v>
      </c>
    </row>
    <row r="43" spans="1:5" x14ac:dyDescent="0.2">
      <c r="A43" s="4" t="s">
        <v>333</v>
      </c>
      <c r="B43" s="19" t="s">
        <v>334</v>
      </c>
      <c r="C43" s="37">
        <v>7.0000000000000007E-2</v>
      </c>
      <c r="D43" s="19" t="s">
        <v>331</v>
      </c>
      <c r="E43" s="18" t="s">
        <v>261</v>
      </c>
    </row>
    <row r="44" spans="1:5" x14ac:dyDescent="0.2">
      <c r="A44" s="4" t="s">
        <v>335</v>
      </c>
      <c r="B44" s="19" t="s">
        <v>336</v>
      </c>
      <c r="C44" s="37">
        <v>7.0000000000000007E-2</v>
      </c>
      <c r="D44" s="19" t="s">
        <v>331</v>
      </c>
      <c r="E44" s="18" t="s">
        <v>264</v>
      </c>
    </row>
    <row r="45" spans="1:5" x14ac:dyDescent="0.2">
      <c r="A45" s="4" t="s">
        <v>337</v>
      </c>
      <c r="B45" s="19" t="s">
        <v>338</v>
      </c>
      <c r="C45" s="23">
        <v>0</v>
      </c>
      <c r="D45" s="19" t="s">
        <v>331</v>
      </c>
      <c r="E45" s="18" t="s">
        <v>266</v>
      </c>
    </row>
    <row r="46" spans="1:5" x14ac:dyDescent="0.2">
      <c r="A46" s="4" t="s">
        <v>253</v>
      </c>
      <c r="B46" s="19" t="s">
        <v>339</v>
      </c>
      <c r="C46" s="8" t="s">
        <v>454</v>
      </c>
      <c r="D46" s="19" t="s">
        <v>314</v>
      </c>
      <c r="E46" s="18" t="s">
        <v>340</v>
      </c>
    </row>
    <row r="47" spans="1:5" x14ac:dyDescent="0.2">
      <c r="A47" s="4" t="s">
        <v>243</v>
      </c>
      <c r="B47" s="19" t="s">
        <v>341</v>
      </c>
      <c r="C47" s="8" t="s">
        <v>94</v>
      </c>
      <c r="D47" s="19" t="s">
        <v>314</v>
      </c>
      <c r="E47" s="18" t="s">
        <v>342</v>
      </c>
    </row>
    <row r="48" spans="1:5" x14ac:dyDescent="0.2">
      <c r="A48" s="4" t="s">
        <v>249</v>
      </c>
      <c r="B48" s="19" t="s">
        <v>343</v>
      </c>
      <c r="C48" s="8" t="s">
        <v>481</v>
      </c>
      <c r="D48" s="19" t="s">
        <v>314</v>
      </c>
      <c r="E48" s="18" t="s">
        <v>344</v>
      </c>
    </row>
    <row r="49" spans="1:5" x14ac:dyDescent="0.2">
      <c r="A49" s="4" t="s">
        <v>345</v>
      </c>
      <c r="B49" s="19" t="s">
        <v>346</v>
      </c>
      <c r="C49" s="8" t="s">
        <v>347</v>
      </c>
      <c r="D49" s="19" t="s">
        <v>314</v>
      </c>
      <c r="E49" s="18" t="s">
        <v>348</v>
      </c>
    </row>
    <row r="50" spans="1:5" x14ac:dyDescent="0.2">
      <c r="A50" s="4" t="s">
        <v>349</v>
      </c>
      <c r="B50" s="19" t="s">
        <v>350</v>
      </c>
      <c r="C50" s="20">
        <v>1</v>
      </c>
      <c r="D50" s="19" t="s">
        <v>309</v>
      </c>
      <c r="E50" s="18" t="s">
        <v>351</v>
      </c>
    </row>
    <row r="51" spans="1:5" x14ac:dyDescent="0.2">
      <c r="A51" s="4" t="s">
        <v>352</v>
      </c>
      <c r="B51" s="19" t="s">
        <v>353</v>
      </c>
      <c r="C51" s="23">
        <v>0</v>
      </c>
      <c r="D51" s="19" t="s">
        <v>331</v>
      </c>
      <c r="E51" s="18" t="s">
        <v>274</v>
      </c>
    </row>
    <row r="52" spans="1:5" x14ac:dyDescent="0.2">
      <c r="A52" s="4" t="s">
        <v>354</v>
      </c>
      <c r="B52" s="19" t="s">
        <v>355</v>
      </c>
      <c r="C52" s="24"/>
      <c r="D52" s="19" t="s">
        <v>331</v>
      </c>
      <c r="E52" s="18" t="s">
        <v>356</v>
      </c>
    </row>
    <row r="53" spans="1:5" x14ac:dyDescent="0.2">
      <c r="A53" s="4" t="s">
        <v>280</v>
      </c>
      <c r="B53" s="19" t="s">
        <v>357</v>
      </c>
      <c r="C53" s="8" t="s">
        <v>456</v>
      </c>
      <c r="D53" s="19" t="s">
        <v>314</v>
      </c>
      <c r="E53" s="18" t="s">
        <v>359</v>
      </c>
    </row>
    <row r="54" spans="1:5" x14ac:dyDescent="0.2">
      <c r="A54" s="4" t="s">
        <v>283</v>
      </c>
      <c r="B54" s="19" t="s">
        <v>358</v>
      </c>
      <c r="C54" s="23">
        <v>0</v>
      </c>
      <c r="D54" s="19" t="s">
        <v>331</v>
      </c>
      <c r="E54" s="18" t="s">
        <v>360</v>
      </c>
    </row>
    <row r="55" spans="1:5" x14ac:dyDescent="0.2">
      <c r="A55" s="4" t="s">
        <v>361</v>
      </c>
      <c r="B55" s="19" t="s">
        <v>362</v>
      </c>
      <c r="C55" s="23">
        <v>0</v>
      </c>
      <c r="D55" s="19" t="s">
        <v>331</v>
      </c>
      <c r="E55" s="18" t="s">
        <v>363</v>
      </c>
    </row>
    <row r="57" spans="1:5" x14ac:dyDescent="0.2">
      <c r="A57" s="16" t="s">
        <v>364</v>
      </c>
    </row>
    <row r="58" spans="1:5" x14ac:dyDescent="0.2">
      <c r="A58" s="17" t="s">
        <v>365</v>
      </c>
      <c r="B58" s="17" t="s">
        <v>366</v>
      </c>
      <c r="C58" s="17" t="s">
        <v>217</v>
      </c>
      <c r="D58" s="17"/>
      <c r="E58" s="17" t="s">
        <v>367</v>
      </c>
    </row>
    <row r="59" spans="1:5" ht="26" x14ac:dyDescent="0.2">
      <c r="A59" s="4" t="s">
        <v>368</v>
      </c>
      <c r="B59" s="18" t="s">
        <v>369</v>
      </c>
      <c r="C59" s="25">
        <f>IF($C$46="market",$C$40,$C$41)</f>
        <v>1.25740000002698E-2</v>
      </c>
      <c r="E59" s="18" t="s">
        <v>370</v>
      </c>
    </row>
    <row r="60" spans="1:5" ht="39" x14ac:dyDescent="0.2">
      <c r="A60" s="4" t="s">
        <v>371</v>
      </c>
      <c r="B60" s="18" t="s">
        <v>372</v>
      </c>
      <c r="C60" s="25">
        <f>IF($C$48="in_per_out",$C$59/(1+$C$44),$C$59*(1-$C$44))</f>
        <v>1.1751401869411027E-2</v>
      </c>
      <c r="E60" s="18" t="s">
        <v>373</v>
      </c>
    </row>
    <row r="61" spans="1:5" ht="28" x14ac:dyDescent="0.2">
      <c r="A61" s="4" t="s">
        <v>374</v>
      </c>
      <c r="B61" s="18" t="s">
        <v>375</v>
      </c>
      <c r="C61" s="26">
        <f>$C$36*$C$60</f>
        <v>99886.915889993732</v>
      </c>
      <c r="E61" s="18" t="s">
        <v>376</v>
      </c>
    </row>
    <row r="62" spans="1:5" x14ac:dyDescent="0.2">
      <c r="A62" s="4" t="s">
        <v>377</v>
      </c>
      <c r="B62" s="18" t="s">
        <v>378</v>
      </c>
      <c r="C62" s="26">
        <f>$C$61*$C$45</f>
        <v>0</v>
      </c>
      <c r="E62" s="18" t="s">
        <v>376</v>
      </c>
    </row>
    <row r="63" spans="1:5" x14ac:dyDescent="0.2">
      <c r="A63" s="4" t="s">
        <v>379</v>
      </c>
      <c r="B63" s="18" t="s">
        <v>380</v>
      </c>
      <c r="C63" s="26">
        <f>$C$61-$C$62</f>
        <v>99886.915889993732</v>
      </c>
      <c r="E63" s="18" t="s">
        <v>381</v>
      </c>
    </row>
    <row r="64" spans="1:5" ht="39" x14ac:dyDescent="0.2">
      <c r="A64" s="4" t="s">
        <v>382</v>
      </c>
      <c r="B64" s="18" t="s">
        <v>383</v>
      </c>
      <c r="C64" s="26">
        <f>IF($C$47="own_desk",$C$36*$C$40,IF($C$47="market_plus_pct",$C$36*$C$40*(1-$C$42),$C$36*$C$41))</f>
        <v>106879.00000229329</v>
      </c>
      <c r="E64" s="18" t="s">
        <v>384</v>
      </c>
    </row>
    <row r="65" spans="1:5" x14ac:dyDescent="0.2">
      <c r="A65" s="4" t="s">
        <v>385</v>
      </c>
      <c r="B65" s="18" t="s">
        <v>386</v>
      </c>
      <c r="C65" s="26">
        <f>$C$36*$C$40-$C$64</f>
        <v>-106879.00000229329</v>
      </c>
      <c r="E65" s="18" t="s">
        <v>381</v>
      </c>
    </row>
    <row r="66" spans="1:5" x14ac:dyDescent="0.2">
      <c r="A66" s="4" t="s">
        <v>387</v>
      </c>
      <c r="B66" s="18" t="s">
        <v>388</v>
      </c>
      <c r="C66" s="26">
        <f>$C$64-$C$63</f>
        <v>6992.0841122995625</v>
      </c>
      <c r="E66" s="18" t="s">
        <v>389</v>
      </c>
    </row>
    <row r="67" spans="1:5" x14ac:dyDescent="0.2">
      <c r="A67" s="4" t="s">
        <v>390</v>
      </c>
      <c r="B67" s="18" t="s">
        <v>391</v>
      </c>
      <c r="C67" s="27">
        <f>IF($C$36*$C$40=0,0,$C$66/($C$36*$C$40))</f>
        <v>0</v>
      </c>
      <c r="E67" s="18" t="s">
        <v>381</v>
      </c>
    </row>
    <row r="68" spans="1:5" ht="26" x14ac:dyDescent="0.2">
      <c r="A68" s="4" t="s">
        <v>392</v>
      </c>
      <c r="B68" s="18" t="s">
        <v>393</v>
      </c>
      <c r="C68" s="7" t="str">
        <f>IF($C$67&lt;$C$51,"YES — Finance approval","no")</f>
        <v>no</v>
      </c>
      <c r="E68" s="18" t="s">
        <v>394</v>
      </c>
    </row>
    <row r="69" spans="1:5" ht="26" x14ac:dyDescent="0.2">
      <c r="A69" s="4" t="s">
        <v>395</v>
      </c>
      <c r="B69" s="18" t="s">
        <v>396</v>
      </c>
      <c r="C69" s="26">
        <f>IF($C$49="round_up_unit",CEILING($C$63,$C$50),IF($C$49="nearest_unit",MROUND($C$63,$C$50),IF($C$49="nearest_n",MROUND($C$63,$C$50),FLOOR($C$63,$C$50))))</f>
        <v>99886</v>
      </c>
      <c r="E69" s="18" t="s">
        <v>397</v>
      </c>
    </row>
    <row r="70" spans="1:5" ht="28" x14ac:dyDescent="0.2">
      <c r="A70" s="4" t="s">
        <v>398</v>
      </c>
      <c r="B70" s="18" t="s">
        <v>399</v>
      </c>
      <c r="C70" s="26">
        <f>$C$63-$C$69</f>
        <v>0.91588999373198021</v>
      </c>
      <c r="E70" s="18" t="s">
        <v>400</v>
      </c>
    </row>
    <row r="71" spans="1:5" ht="26" x14ac:dyDescent="0.2">
      <c r="A71" s="4" t="s">
        <v>401</v>
      </c>
      <c r="B71" s="18" t="s">
        <v>402</v>
      </c>
      <c r="C71" s="25">
        <f>IF($C$52="",$C$59,$C$60/(1-$C$52))</f>
        <v>1.25740000002698E-2</v>
      </c>
      <c r="E71" s="18" t="s">
        <v>356</v>
      </c>
    </row>
    <row r="72" spans="1:5" x14ac:dyDescent="0.2">
      <c r="A72" s="4" t="s">
        <v>403</v>
      </c>
      <c r="B72" s="18" t="s">
        <v>404</v>
      </c>
      <c r="C72" s="26">
        <f>IF($C$53="rebate",$C$65*$C$54,0)</f>
        <v>0</v>
      </c>
      <c r="E72" s="18" t="s">
        <v>405</v>
      </c>
    </row>
    <row r="73" spans="1:5" x14ac:dyDescent="0.2">
      <c r="A73" s="4" t="s">
        <v>406</v>
      </c>
      <c r="B73" s="18" t="s">
        <v>407</v>
      </c>
      <c r="C73" s="26">
        <f>$C$36*$C$40*$C$55</f>
        <v>0</v>
      </c>
      <c r="E73" s="18" t="s">
        <v>408</v>
      </c>
    </row>
    <row r="74" spans="1:5" ht="28" x14ac:dyDescent="0.2">
      <c r="A74" s="4" t="s">
        <v>409</v>
      </c>
      <c r="B74" s="18" t="s">
        <v>410</v>
      </c>
      <c r="C74" s="26">
        <f>ROUND($C$63+$C$65+$C$66-$C$36*$C$40,6)</f>
        <v>0</v>
      </c>
      <c r="E74" s="18" t="s">
        <v>411</v>
      </c>
    </row>
    <row r="76" spans="1:5" x14ac:dyDescent="0.2">
      <c r="A76" s="16" t="s">
        <v>412</v>
      </c>
    </row>
    <row r="77" spans="1:5" x14ac:dyDescent="0.2">
      <c r="A77" s="17" t="s">
        <v>413</v>
      </c>
      <c r="B77" s="17" t="s">
        <v>414</v>
      </c>
      <c r="C77" s="17" t="s">
        <v>415</v>
      </c>
      <c r="D77" s="17" t="s">
        <v>416</v>
      </c>
      <c r="E77" s="17" t="s">
        <v>417</v>
      </c>
    </row>
    <row r="78" spans="1:5" x14ac:dyDescent="0.2">
      <c r="A78" s="7" t="str">
        <f>"CL."&amp;$C$39&amp;"."&amp;$C$37&amp;".COLLECTED"</f>
        <v>CL.ALI.INR.COLLECTED</v>
      </c>
      <c r="B78" s="7" t="s">
        <v>418</v>
      </c>
      <c r="C78" s="26">
        <f>$C$36</f>
        <v>8500000</v>
      </c>
      <c r="D78" s="19" t="s">
        <v>419</v>
      </c>
      <c r="E78" s="19" t="s">
        <v>420</v>
      </c>
    </row>
    <row r="79" spans="1:5" x14ac:dyDescent="0.2">
      <c r="A79" s="7" t="str">
        <f>"CL.PROJECT."&amp;$C$37&amp;".PAYABLE"</f>
        <v>CL.PROJECT.INR.PAYABLE</v>
      </c>
      <c r="B79" s="7" t="s">
        <v>421</v>
      </c>
      <c r="C79" s="26">
        <f>$C$36</f>
        <v>8500000</v>
      </c>
      <c r="D79" s="19" t="s">
        <v>419</v>
      </c>
      <c r="E79" s="19" t="s">
        <v>420</v>
      </c>
    </row>
    <row r="80" spans="1:5" x14ac:dyDescent="0.2">
      <c r="A80" s="7" t="str">
        <f>"CL.PROJECT."&amp;$C$37&amp;".PAYABLE"</f>
        <v>CL.PROJECT.INR.PAYABLE</v>
      </c>
      <c r="B80" s="7" t="s">
        <v>418</v>
      </c>
      <c r="C80" s="26">
        <f>$C$36</f>
        <v>8500000</v>
      </c>
      <c r="D80" s="19" t="s">
        <v>419</v>
      </c>
      <c r="E80" s="19" t="s">
        <v>422</v>
      </c>
    </row>
    <row r="81" spans="1:5" x14ac:dyDescent="0.2">
      <c r="A81" s="7" t="str">
        <f>"CL."&amp;$C$39&amp;"."&amp;$C$37&amp;".COLLECTED"</f>
        <v>CL.ALI.INR.COLLECTED</v>
      </c>
      <c r="B81" s="7" t="s">
        <v>421</v>
      </c>
      <c r="C81" s="26">
        <f>$C$36</f>
        <v>8500000</v>
      </c>
      <c r="D81" s="19" t="s">
        <v>419</v>
      </c>
      <c r="E81" s="19" t="s">
        <v>422</v>
      </c>
    </row>
    <row r="82" spans="1:5" x14ac:dyDescent="0.2">
      <c r="A82" s="7" t="str">
        <f>"CL."&amp;$C$39&amp;"."&amp;$C$38&amp;".DUE"</f>
        <v>CL.ALI.USD.DUE</v>
      </c>
      <c r="B82" s="7" t="s">
        <v>418</v>
      </c>
      <c r="C82" s="26">
        <f>$C$63</f>
        <v>99886.915889993732</v>
      </c>
      <c r="D82" s="19" t="s">
        <v>423</v>
      </c>
      <c r="E82" s="19" t="s">
        <v>424</v>
      </c>
    </row>
    <row r="83" spans="1:5" x14ac:dyDescent="0.2">
      <c r="A83" s="7" t="str">
        <f>"CO."&amp;$C$39&amp;"."&amp;$C$38&amp;".POOL"</f>
        <v>CO.ALI.USD.POOL</v>
      </c>
      <c r="B83" s="7" t="s">
        <v>418</v>
      </c>
      <c r="C83" s="26">
        <f>IF($C$53="rebate",0,$C$66)</f>
        <v>6992.0841122995625</v>
      </c>
      <c r="D83" s="19" t="s">
        <v>425</v>
      </c>
      <c r="E83" s="19" t="s">
        <v>426</v>
      </c>
    </row>
    <row r="84" spans="1:5" x14ac:dyDescent="0.2">
      <c r="A84" s="7" t="str">
        <f>"CO."&amp;$C$39&amp;"."&amp;$C$38&amp;".REBATE_RECEIVABLE"</f>
        <v>CO.ALI.USD.REBATE_RECEIVABLE</v>
      </c>
      <c r="B84" s="7" t="s">
        <v>418</v>
      </c>
      <c r="C84" s="26">
        <f>$C$72</f>
        <v>0</v>
      </c>
      <c r="D84" s="19" t="s">
        <v>425</v>
      </c>
      <c r="E84" s="19" t="s">
        <v>427</v>
      </c>
    </row>
    <row r="85" spans="1:5" x14ac:dyDescent="0.2">
      <c r="A85" s="7" t="str">
        <f>"CL.PROJECT."&amp;$C$38&amp;".PAYABLE"</f>
        <v>CL.PROJECT.USD.PAYABLE</v>
      </c>
      <c r="B85" s="7" t="s">
        <v>421</v>
      </c>
      <c r="C85" s="26">
        <f>$C$63</f>
        <v>99886.915889993732</v>
      </c>
      <c r="D85" s="19" t="s">
        <v>419</v>
      </c>
      <c r="E85" s="19" t="s">
        <v>424</v>
      </c>
    </row>
    <row r="86" spans="1:5" x14ac:dyDescent="0.2">
      <c r="A86" s="7" t="str">
        <f>"CO.NONE."&amp;$C$38&amp;".EARN_GROSS"</f>
        <v>CO.NONE.USD.EARN_GROSS</v>
      </c>
      <c r="B86" s="7" t="s">
        <v>421</v>
      </c>
      <c r="C86" s="26">
        <f>$C$66+$C$72</f>
        <v>6992.0841122995625</v>
      </c>
      <c r="D86" s="19" t="s">
        <v>425</v>
      </c>
      <c r="E86" s="19" t="s">
        <v>428</v>
      </c>
    </row>
    <row r="87" spans="1:5" x14ac:dyDescent="0.2">
      <c r="A87" s="7" t="str">
        <f>"CL."&amp;$C$39&amp;"."&amp;$C$38&amp;".INTRANSIT"</f>
        <v>CL.ALI.USD.INTRANSIT</v>
      </c>
      <c r="B87" s="7" t="s">
        <v>418</v>
      </c>
      <c r="C87" s="26">
        <f>$C$69</f>
        <v>99886</v>
      </c>
      <c r="D87" s="19" t="s">
        <v>419</v>
      </c>
      <c r="E87" s="19" t="s">
        <v>429</v>
      </c>
    </row>
    <row r="88" spans="1:5" x14ac:dyDescent="0.2">
      <c r="A88" s="7" t="str">
        <f>"CL."&amp;$C$39&amp;"."&amp;$C$38&amp;".DUE"</f>
        <v>CL.ALI.USD.DUE</v>
      </c>
      <c r="B88" s="7" t="s">
        <v>421</v>
      </c>
      <c r="C88" s="26">
        <f>$C$69</f>
        <v>99886</v>
      </c>
      <c r="D88" s="19" t="s">
        <v>419</v>
      </c>
      <c r="E88" s="19" t="s">
        <v>430</v>
      </c>
    </row>
    <row r="89" spans="1:5" x14ac:dyDescent="0.2">
      <c r="A89" s="7" t="str">
        <f>"CL.PROJECT."&amp;$C$38&amp;".PAYABLE"</f>
        <v>CL.PROJECT.USD.PAYABLE</v>
      </c>
      <c r="B89" s="7" t="s">
        <v>418</v>
      </c>
      <c r="C89" s="26">
        <f>$C$69</f>
        <v>99886</v>
      </c>
      <c r="D89" s="19" t="s">
        <v>419</v>
      </c>
      <c r="E89" s="19" t="s">
        <v>431</v>
      </c>
    </row>
    <row r="90" spans="1:5" x14ac:dyDescent="0.2">
      <c r="A90" s="7" t="str">
        <f>"CL."&amp;$C$39&amp;"."&amp;$C$38&amp;".INTRANSIT"</f>
        <v>CL.ALI.USD.INTRANSIT</v>
      </c>
      <c r="B90" s="7" t="s">
        <v>421</v>
      </c>
      <c r="C90" s="26">
        <f>$C$69</f>
        <v>99886</v>
      </c>
      <c r="D90" s="19" t="s">
        <v>419</v>
      </c>
      <c r="E90" s="19" t="s">
        <v>431</v>
      </c>
    </row>
    <row r="91" spans="1:5" x14ac:dyDescent="0.2">
      <c r="A91" s="7" t="str">
        <f>"CO.NONE."&amp;$C$38&amp;".EARN_GROSS"</f>
        <v>CO.NONE.USD.EARN_GROSS</v>
      </c>
      <c r="B91" s="7" t="s">
        <v>418</v>
      </c>
      <c r="C91" s="26">
        <f>$C$73</f>
        <v>0</v>
      </c>
      <c r="D91" s="19" t="s">
        <v>432</v>
      </c>
      <c r="E91" s="19" t="s">
        <v>433</v>
      </c>
    </row>
    <row r="92" spans="1:5" x14ac:dyDescent="0.2">
      <c r="A92" s="7" t="str">
        <f>"CO.INTRODUCER."&amp;$C$38&amp;".REFERRAL_PAYABLE"</f>
        <v>CO.INTRODUCER.USD.REFERRAL_PAYABLE</v>
      </c>
      <c r="B92" s="7" t="s">
        <v>421</v>
      </c>
      <c r="C92" s="26">
        <f>$C$73</f>
        <v>0</v>
      </c>
      <c r="D92" s="19" t="s">
        <v>432</v>
      </c>
      <c r="E92" s="19" t="s">
        <v>434</v>
      </c>
    </row>
    <row r="93" spans="1:5" ht="30" customHeight="1" x14ac:dyDescent="0.2">
      <c r="A93" s="28" t="s">
        <v>435</v>
      </c>
      <c r="C93" s="29">
        <f>ROUND(SUMIF($B$82:$B$92,"Dr",$C$82:$C$92)-SUMIF($B$82:$B$92,"Cr",$C$82:$C$92),6)</f>
        <v>0</v>
      </c>
      <c r="E93" s="18" t="s">
        <v>436</v>
      </c>
    </row>
    <row r="95" spans="1:5" x14ac:dyDescent="0.2">
      <c r="A95" s="16" t="s">
        <v>437</v>
      </c>
    </row>
    <row r="96" spans="1:5" x14ac:dyDescent="0.2">
      <c r="A96" s="17" t="s">
        <v>438</v>
      </c>
      <c r="B96" s="17" t="s">
        <v>439</v>
      </c>
      <c r="C96" s="17" t="s">
        <v>440</v>
      </c>
      <c r="D96" s="17" t="s">
        <v>441</v>
      </c>
      <c r="E96" s="17" t="s">
        <v>442</v>
      </c>
    </row>
    <row r="97" spans="1:5" ht="30" customHeight="1" x14ac:dyDescent="0.2">
      <c r="A97" s="4" t="s">
        <v>495</v>
      </c>
      <c r="B97" s="20">
        <v>106879.36</v>
      </c>
      <c r="C97" s="26">
        <f>$C$61</f>
        <v>99886.915889993732</v>
      </c>
      <c r="D97" s="29">
        <f>ROUND(C97-B97,2)</f>
        <v>-6992.44</v>
      </c>
      <c r="E97" s="18" t="s">
        <v>597</v>
      </c>
    </row>
    <row r="99" spans="1:5" x14ac:dyDescent="0.2">
      <c r="A99" s="16" t="s">
        <v>445</v>
      </c>
    </row>
    <row r="100" spans="1:5" ht="31.5" customHeight="1" x14ac:dyDescent="0.2">
      <c r="A100" s="14" t="s">
        <v>446</v>
      </c>
      <c r="B100" s="1" t="s">
        <v>598</v>
      </c>
      <c r="C100" s="1"/>
      <c r="D100" s="1"/>
      <c r="E100" s="1"/>
    </row>
    <row r="101" spans="1:5" ht="31.5" customHeight="1" x14ac:dyDescent="0.2">
      <c r="A101" s="14" t="s">
        <v>446</v>
      </c>
      <c r="B101" s="1" t="s">
        <v>599</v>
      </c>
      <c r="C101" s="1"/>
      <c r="D101" s="1"/>
      <c r="E101" s="1"/>
    </row>
  </sheetData>
  <mergeCells count="2">
    <mergeCell ref="B100:E100"/>
    <mergeCell ref="B101:E101"/>
  </mergeCells>
  <pageMargins left="0.75" right="0.75" top="1" bottom="1"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1"/>
  <sheetViews>
    <sheetView topLeftCell="A2" zoomScaleNormal="100" workbookViewId="0">
      <selection activeCell="C9" sqref="C9"/>
    </sheetView>
  </sheetViews>
  <sheetFormatPr baseColWidth="10" defaultColWidth="8.6640625" defaultRowHeight="15" x14ac:dyDescent="0.2"/>
  <cols>
    <col min="1" max="2" width="34" customWidth="1"/>
    <col min="3" max="3" width="22" customWidth="1"/>
    <col min="4" max="4" width="18" customWidth="1"/>
    <col min="5" max="5" width="48" customWidth="1"/>
  </cols>
  <sheetData>
    <row r="1" spans="1:5" ht="17" x14ac:dyDescent="0.2">
      <c r="A1" s="2" t="s">
        <v>600</v>
      </c>
    </row>
    <row r="2" spans="1:5" x14ac:dyDescent="0.2">
      <c r="A2" s="13" t="s">
        <v>210</v>
      </c>
      <c r="B2" s="14" t="s">
        <v>601</v>
      </c>
    </row>
    <row r="3" spans="1:5" ht="30" customHeight="1" x14ac:dyDescent="0.2">
      <c r="A3" s="13" t="s">
        <v>212</v>
      </c>
      <c r="B3" s="15" t="s">
        <v>602</v>
      </c>
    </row>
    <row r="5" spans="1:5" x14ac:dyDescent="0.2">
      <c r="A5" s="16" t="s">
        <v>214</v>
      </c>
    </row>
    <row r="6" spans="1:5" x14ac:dyDescent="0.2">
      <c r="A6" s="17" t="s">
        <v>215</v>
      </c>
      <c r="B6" s="17" t="s">
        <v>216</v>
      </c>
      <c r="C6" s="17" t="s">
        <v>217</v>
      </c>
      <c r="D6" s="17" t="s">
        <v>218</v>
      </c>
      <c r="E6" s="17" t="s">
        <v>219</v>
      </c>
    </row>
    <row r="7" spans="1:5" ht="30" customHeight="1" x14ac:dyDescent="0.2">
      <c r="A7" s="4" t="s">
        <v>220</v>
      </c>
      <c r="B7" s="4" t="s">
        <v>221</v>
      </c>
      <c r="C7" s="10" t="s">
        <v>206</v>
      </c>
      <c r="D7" s="4" t="s">
        <v>222</v>
      </c>
      <c r="E7" s="18" t="s">
        <v>223</v>
      </c>
    </row>
    <row r="8" spans="1:5" ht="30" customHeight="1" x14ac:dyDescent="0.2">
      <c r="A8" s="4" t="s">
        <v>224</v>
      </c>
      <c r="B8" s="4" t="s">
        <v>225</v>
      </c>
      <c r="C8" s="10" t="s">
        <v>603</v>
      </c>
      <c r="D8" s="4" t="s">
        <v>222</v>
      </c>
      <c r="E8" s="18" t="s">
        <v>227</v>
      </c>
    </row>
    <row r="9" spans="1:5" ht="30" customHeight="1" x14ac:dyDescent="0.2">
      <c r="A9" s="4" t="s">
        <v>228</v>
      </c>
      <c r="B9" s="4" t="s">
        <v>229</v>
      </c>
      <c r="C9" s="11"/>
      <c r="D9" s="4" t="s">
        <v>226</v>
      </c>
      <c r="E9" s="18" t="s">
        <v>230</v>
      </c>
    </row>
    <row r="10" spans="1:5" ht="30" customHeight="1" x14ac:dyDescent="0.2">
      <c r="A10" s="4" t="s">
        <v>231</v>
      </c>
      <c r="B10" s="4" t="s">
        <v>232</v>
      </c>
      <c r="C10" s="11"/>
      <c r="D10" s="4" t="s">
        <v>226</v>
      </c>
      <c r="E10" s="18" t="s">
        <v>233</v>
      </c>
    </row>
    <row r="11" spans="1:5" ht="15.75" customHeight="1" x14ac:dyDescent="0.2">
      <c r="A11" s="4" t="s">
        <v>234</v>
      </c>
      <c r="B11" s="4" t="s">
        <v>235</v>
      </c>
      <c r="C11" s="10" t="s">
        <v>236</v>
      </c>
      <c r="D11" s="4" t="s">
        <v>222</v>
      </c>
      <c r="E11" s="18" t="s">
        <v>237</v>
      </c>
    </row>
    <row r="12" spans="1:5" ht="30" customHeight="1" x14ac:dyDescent="0.2">
      <c r="A12" s="4" t="s">
        <v>238</v>
      </c>
      <c r="B12" s="4" t="s">
        <v>239</v>
      </c>
      <c r="C12" s="10" t="s">
        <v>494</v>
      </c>
      <c r="D12" s="4" t="s">
        <v>222</v>
      </c>
      <c r="E12" s="18" t="s">
        <v>240</v>
      </c>
    </row>
    <row r="13" spans="1:5" ht="15.75" customHeight="1" x14ac:dyDescent="0.2">
      <c r="A13" s="4" t="s">
        <v>241</v>
      </c>
      <c r="B13" s="4" t="s">
        <v>242</v>
      </c>
      <c r="C13" s="10" t="s">
        <v>93</v>
      </c>
      <c r="D13" s="4" t="s">
        <v>222</v>
      </c>
      <c r="E13" s="18"/>
    </row>
    <row r="14" spans="1:5" ht="30" customHeight="1" x14ac:dyDescent="0.2">
      <c r="A14" s="4" t="s">
        <v>243</v>
      </c>
      <c r="B14" s="4" t="s">
        <v>244</v>
      </c>
      <c r="C14" s="10" t="s">
        <v>94</v>
      </c>
      <c r="D14" s="4" t="s">
        <v>222</v>
      </c>
      <c r="E14" s="18" t="s">
        <v>245</v>
      </c>
    </row>
    <row r="15" spans="1:5" ht="15.75" customHeight="1" x14ac:dyDescent="0.2">
      <c r="A15" s="4" t="s">
        <v>246</v>
      </c>
      <c r="B15" s="4" t="s">
        <v>247</v>
      </c>
      <c r="C15" s="10" t="s">
        <v>604</v>
      </c>
      <c r="D15" s="4" t="s">
        <v>222</v>
      </c>
      <c r="E15" s="18" t="s">
        <v>248</v>
      </c>
    </row>
    <row r="16" spans="1:5" ht="30" customHeight="1" x14ac:dyDescent="0.2">
      <c r="A16" s="4" t="s">
        <v>249</v>
      </c>
      <c r="B16" s="4" t="s">
        <v>250</v>
      </c>
      <c r="C16" s="10" t="s">
        <v>251</v>
      </c>
      <c r="D16" s="4" t="s">
        <v>222</v>
      </c>
      <c r="E16" s="18" t="s">
        <v>252</v>
      </c>
    </row>
    <row r="17" spans="1:5" ht="30" customHeight="1" x14ac:dyDescent="0.2">
      <c r="A17" s="4" t="s">
        <v>253</v>
      </c>
      <c r="B17" s="4" t="s">
        <v>254</v>
      </c>
      <c r="C17" s="10" t="s">
        <v>454</v>
      </c>
      <c r="D17" s="4" t="s">
        <v>222</v>
      </c>
      <c r="E17" s="18" t="s">
        <v>256</v>
      </c>
    </row>
    <row r="18" spans="1:5" ht="15.75" customHeight="1" x14ac:dyDescent="0.2">
      <c r="A18" s="4" t="s">
        <v>257</v>
      </c>
      <c r="B18" s="4" t="s">
        <v>258</v>
      </c>
      <c r="C18" s="10" t="s">
        <v>86</v>
      </c>
      <c r="D18" s="4" t="s">
        <v>222</v>
      </c>
      <c r="E18" s="18" t="s">
        <v>259</v>
      </c>
    </row>
    <row r="19" spans="1:5" ht="15.75" customHeight="1" x14ac:dyDescent="0.2">
      <c r="A19" s="4" t="s">
        <v>260</v>
      </c>
      <c r="B19" s="4" t="s">
        <v>261</v>
      </c>
      <c r="C19" s="12">
        <v>0</v>
      </c>
      <c r="D19" s="4" t="s">
        <v>222</v>
      </c>
      <c r="E19" s="18" t="s">
        <v>262</v>
      </c>
    </row>
    <row r="20" spans="1:5" ht="15.75" customHeight="1" x14ac:dyDescent="0.2">
      <c r="A20" s="4" t="s">
        <v>263</v>
      </c>
      <c r="B20" s="4" t="s">
        <v>264</v>
      </c>
      <c r="C20" s="12">
        <v>0</v>
      </c>
      <c r="D20" s="4" t="s">
        <v>222</v>
      </c>
      <c r="E20" s="18"/>
    </row>
    <row r="21" spans="1:5" ht="30" customHeight="1" x14ac:dyDescent="0.2">
      <c r="A21" s="4" t="s">
        <v>265</v>
      </c>
      <c r="B21" s="4" t="s">
        <v>266</v>
      </c>
      <c r="C21" s="12">
        <v>0</v>
      </c>
      <c r="D21" s="4" t="s">
        <v>222</v>
      </c>
      <c r="E21" s="18" t="s">
        <v>267</v>
      </c>
    </row>
    <row r="22" spans="1:5" ht="15.75" customHeight="1" x14ac:dyDescent="0.2">
      <c r="A22" s="4" t="s">
        <v>268</v>
      </c>
      <c r="B22" s="4" t="s">
        <v>269</v>
      </c>
      <c r="C22" s="11"/>
      <c r="D22" s="4" t="s">
        <v>226</v>
      </c>
      <c r="E22" s="18" t="s">
        <v>270</v>
      </c>
    </row>
    <row r="23" spans="1:5" ht="15.75" customHeight="1" x14ac:dyDescent="0.2">
      <c r="A23" s="4" t="s">
        <v>271</v>
      </c>
      <c r="B23" s="4" t="s">
        <v>272</v>
      </c>
      <c r="C23" s="11"/>
      <c r="D23" s="4" t="s">
        <v>226</v>
      </c>
      <c r="E23" s="18" t="s">
        <v>270</v>
      </c>
    </row>
    <row r="24" spans="1:5" ht="15.75" customHeight="1" x14ac:dyDescent="0.2">
      <c r="A24" s="4" t="s">
        <v>273</v>
      </c>
      <c r="B24" s="4" t="s">
        <v>274</v>
      </c>
      <c r="C24" s="12">
        <v>0</v>
      </c>
      <c r="D24" s="4" t="s">
        <v>222</v>
      </c>
      <c r="E24" s="18" t="s">
        <v>275</v>
      </c>
    </row>
    <row r="25" spans="1:5" ht="30" customHeight="1" x14ac:dyDescent="0.2">
      <c r="A25" s="4" t="s">
        <v>276</v>
      </c>
      <c r="B25" s="4" t="s">
        <v>277</v>
      </c>
      <c r="C25" s="11"/>
      <c r="D25" s="4" t="s">
        <v>278</v>
      </c>
      <c r="E25" s="18" t="s">
        <v>279</v>
      </c>
    </row>
    <row r="26" spans="1:5" ht="15.75" customHeight="1" x14ac:dyDescent="0.2">
      <c r="A26" s="4" t="s">
        <v>280</v>
      </c>
      <c r="B26" s="4" t="s">
        <v>281</v>
      </c>
      <c r="C26" s="10" t="s">
        <v>95</v>
      </c>
      <c r="D26" s="4" t="s">
        <v>222</v>
      </c>
      <c r="E26" s="18" t="s">
        <v>282</v>
      </c>
    </row>
    <row r="27" spans="1:5" ht="15.75" customHeight="1" x14ac:dyDescent="0.2">
      <c r="A27" s="4" t="s">
        <v>283</v>
      </c>
      <c r="B27" s="4" t="s">
        <v>284</v>
      </c>
      <c r="C27" s="11"/>
      <c r="D27" s="4" t="s">
        <v>278</v>
      </c>
      <c r="E27" s="18" t="s">
        <v>286</v>
      </c>
    </row>
    <row r="28" spans="1:5" ht="15.75" customHeight="1" x14ac:dyDescent="0.2">
      <c r="A28" s="4" t="s">
        <v>287</v>
      </c>
      <c r="B28" s="4" t="s">
        <v>288</v>
      </c>
      <c r="C28" s="10"/>
      <c r="D28" s="4" t="s">
        <v>278</v>
      </c>
      <c r="E28" s="18" t="s">
        <v>289</v>
      </c>
    </row>
    <row r="29" spans="1:5" ht="30" customHeight="1" x14ac:dyDescent="0.2">
      <c r="A29" s="4" t="s">
        <v>290</v>
      </c>
      <c r="B29" s="4" t="s">
        <v>291</v>
      </c>
      <c r="C29" s="10" t="s">
        <v>292</v>
      </c>
      <c r="D29" s="4" t="s">
        <v>222</v>
      </c>
      <c r="E29" s="18" t="s">
        <v>293</v>
      </c>
    </row>
    <row r="30" spans="1:5" ht="15.75" customHeight="1" x14ac:dyDescent="0.2">
      <c r="A30" s="4" t="s">
        <v>294</v>
      </c>
      <c r="B30" s="4" t="s">
        <v>295</v>
      </c>
      <c r="C30" s="11"/>
      <c r="D30" s="4" t="s">
        <v>226</v>
      </c>
      <c r="E30" s="18"/>
    </row>
    <row r="31" spans="1:5" ht="15.75" customHeight="1" x14ac:dyDescent="0.2">
      <c r="A31" s="4" t="s">
        <v>296</v>
      </c>
      <c r="B31" s="4" t="s">
        <v>297</v>
      </c>
      <c r="C31" s="11"/>
      <c r="D31" s="4" t="s">
        <v>226</v>
      </c>
      <c r="E31" s="18" t="s">
        <v>298</v>
      </c>
    </row>
    <row r="32" spans="1:5" ht="30" customHeight="1" x14ac:dyDescent="0.2">
      <c r="A32" s="4" t="s">
        <v>299</v>
      </c>
      <c r="B32" s="4" t="s">
        <v>300</v>
      </c>
      <c r="C32" s="11"/>
      <c r="D32" s="4" t="s">
        <v>226</v>
      </c>
      <c r="E32" s="18" t="s">
        <v>301</v>
      </c>
    </row>
    <row r="34" spans="1:5" x14ac:dyDescent="0.2">
      <c r="A34" s="16" t="s">
        <v>302</v>
      </c>
    </row>
    <row r="35" spans="1:5" x14ac:dyDescent="0.2">
      <c r="A35" s="17" t="s">
        <v>303</v>
      </c>
      <c r="B35" s="17" t="s">
        <v>304</v>
      </c>
      <c r="C35" s="17" t="s">
        <v>217</v>
      </c>
      <c r="D35" s="17" t="s">
        <v>305</v>
      </c>
      <c r="E35" s="17" t="s">
        <v>306</v>
      </c>
    </row>
    <row r="36" spans="1:5" x14ac:dyDescent="0.2">
      <c r="A36" s="4" t="s">
        <v>307</v>
      </c>
      <c r="B36" s="19" t="s">
        <v>308</v>
      </c>
      <c r="C36" s="20">
        <v>10000</v>
      </c>
      <c r="D36" s="19" t="s">
        <v>309</v>
      </c>
      <c r="E36" s="18" t="s">
        <v>310</v>
      </c>
    </row>
    <row r="37" spans="1:5" x14ac:dyDescent="0.2">
      <c r="A37" s="4" t="s">
        <v>311</v>
      </c>
      <c r="B37" s="19" t="s">
        <v>312</v>
      </c>
      <c r="C37" s="8" t="s">
        <v>313</v>
      </c>
      <c r="D37" s="19" t="s">
        <v>314</v>
      </c>
      <c r="E37" s="18"/>
    </row>
    <row r="38" spans="1:5" x14ac:dyDescent="0.2">
      <c r="A38" s="4" t="s">
        <v>315</v>
      </c>
      <c r="B38" s="19" t="s">
        <v>316</v>
      </c>
      <c r="C38" s="8" t="s">
        <v>484</v>
      </c>
      <c r="D38" s="19" t="s">
        <v>314</v>
      </c>
      <c r="E38" s="18"/>
    </row>
    <row r="39" spans="1:5" x14ac:dyDescent="0.2">
      <c r="A39" s="4" t="s">
        <v>318</v>
      </c>
      <c r="B39" s="19" t="s">
        <v>319</v>
      </c>
      <c r="C39" s="8" t="s">
        <v>455</v>
      </c>
      <c r="D39" s="19" t="s">
        <v>314</v>
      </c>
      <c r="E39" s="18" t="s">
        <v>321</v>
      </c>
    </row>
    <row r="40" spans="1:5" x14ac:dyDescent="0.2">
      <c r="A40" s="4" t="s">
        <v>322</v>
      </c>
      <c r="B40" s="19" t="s">
        <v>323</v>
      </c>
      <c r="C40" s="21">
        <v>1</v>
      </c>
      <c r="D40" s="19" t="s">
        <v>324</v>
      </c>
      <c r="E40" s="18" t="s">
        <v>325</v>
      </c>
    </row>
    <row r="41" spans="1:5" ht="26" x14ac:dyDescent="0.2">
      <c r="A41" s="4" t="s">
        <v>326</v>
      </c>
      <c r="B41" s="19" t="s">
        <v>327</v>
      </c>
      <c r="C41" s="21">
        <v>0.996</v>
      </c>
      <c r="D41" s="19" t="s">
        <v>324</v>
      </c>
      <c r="E41" s="18" t="s">
        <v>328</v>
      </c>
    </row>
    <row r="42" spans="1:5" ht="26" x14ac:dyDescent="0.2">
      <c r="A42" s="4" t="s">
        <v>329</v>
      </c>
      <c r="B42" s="19" t="s">
        <v>330</v>
      </c>
      <c r="C42" s="23">
        <v>0</v>
      </c>
      <c r="D42" s="19" t="s">
        <v>331</v>
      </c>
      <c r="E42" s="18" t="s">
        <v>332</v>
      </c>
    </row>
    <row r="43" spans="1:5" x14ac:dyDescent="0.2">
      <c r="A43" s="4" t="s">
        <v>333</v>
      </c>
      <c r="B43" s="19" t="s">
        <v>334</v>
      </c>
      <c r="C43" s="23">
        <v>0</v>
      </c>
      <c r="D43" s="19" t="s">
        <v>331</v>
      </c>
      <c r="E43" s="18" t="s">
        <v>261</v>
      </c>
    </row>
    <row r="44" spans="1:5" x14ac:dyDescent="0.2">
      <c r="A44" s="4" t="s">
        <v>335</v>
      </c>
      <c r="B44" s="19" t="s">
        <v>336</v>
      </c>
      <c r="C44" s="23">
        <v>0</v>
      </c>
      <c r="D44" s="19" t="s">
        <v>331</v>
      </c>
      <c r="E44" s="18" t="s">
        <v>264</v>
      </c>
    </row>
    <row r="45" spans="1:5" x14ac:dyDescent="0.2">
      <c r="A45" s="4" t="s">
        <v>337</v>
      </c>
      <c r="B45" s="19" t="s">
        <v>338</v>
      </c>
      <c r="C45" s="23">
        <v>0</v>
      </c>
      <c r="D45" s="19" t="s">
        <v>331</v>
      </c>
      <c r="E45" s="18" t="s">
        <v>266</v>
      </c>
    </row>
    <row r="46" spans="1:5" x14ac:dyDescent="0.2">
      <c r="A46" s="4" t="s">
        <v>253</v>
      </c>
      <c r="B46" s="19" t="s">
        <v>339</v>
      </c>
      <c r="C46" s="8" t="s">
        <v>454</v>
      </c>
      <c r="D46" s="19" t="s">
        <v>314</v>
      </c>
      <c r="E46" s="18" t="s">
        <v>340</v>
      </c>
    </row>
    <row r="47" spans="1:5" x14ac:dyDescent="0.2">
      <c r="A47" s="4" t="s">
        <v>243</v>
      </c>
      <c r="B47" s="19" t="s">
        <v>341</v>
      </c>
      <c r="C47" s="8" t="s">
        <v>94</v>
      </c>
      <c r="D47" s="19" t="s">
        <v>314</v>
      </c>
      <c r="E47" s="18" t="s">
        <v>342</v>
      </c>
    </row>
    <row r="48" spans="1:5" x14ac:dyDescent="0.2">
      <c r="A48" s="4" t="s">
        <v>249</v>
      </c>
      <c r="B48" s="19" t="s">
        <v>343</v>
      </c>
      <c r="C48" s="8" t="s">
        <v>251</v>
      </c>
      <c r="D48" s="19" t="s">
        <v>314</v>
      </c>
      <c r="E48" s="18" t="s">
        <v>344</v>
      </c>
    </row>
    <row r="49" spans="1:5" x14ac:dyDescent="0.2">
      <c r="A49" s="4" t="s">
        <v>345</v>
      </c>
      <c r="B49" s="19" t="s">
        <v>346</v>
      </c>
      <c r="C49" s="8" t="s">
        <v>347</v>
      </c>
      <c r="D49" s="19" t="s">
        <v>314</v>
      </c>
      <c r="E49" s="18" t="s">
        <v>348</v>
      </c>
    </row>
    <row r="50" spans="1:5" x14ac:dyDescent="0.2">
      <c r="A50" s="4" t="s">
        <v>349</v>
      </c>
      <c r="B50" s="19" t="s">
        <v>350</v>
      </c>
      <c r="C50" s="20">
        <v>1</v>
      </c>
      <c r="D50" s="19" t="s">
        <v>309</v>
      </c>
      <c r="E50" s="18" t="s">
        <v>351</v>
      </c>
    </row>
    <row r="51" spans="1:5" x14ac:dyDescent="0.2">
      <c r="A51" s="4" t="s">
        <v>352</v>
      </c>
      <c r="B51" s="19" t="s">
        <v>353</v>
      </c>
      <c r="C51" s="23">
        <v>0</v>
      </c>
      <c r="D51" s="19" t="s">
        <v>331</v>
      </c>
      <c r="E51" s="18" t="s">
        <v>274</v>
      </c>
    </row>
    <row r="52" spans="1:5" x14ac:dyDescent="0.2">
      <c r="A52" s="4" t="s">
        <v>354</v>
      </c>
      <c r="B52" s="19" t="s">
        <v>355</v>
      </c>
      <c r="C52" s="24"/>
      <c r="D52" s="19" t="s">
        <v>331</v>
      </c>
      <c r="E52" s="18" t="s">
        <v>356</v>
      </c>
    </row>
    <row r="53" spans="1:5" x14ac:dyDescent="0.2">
      <c r="A53" s="4" t="s">
        <v>280</v>
      </c>
      <c r="B53" s="19" t="s">
        <v>357</v>
      </c>
      <c r="C53" s="8" t="s">
        <v>456</v>
      </c>
      <c r="D53" s="19" t="s">
        <v>314</v>
      </c>
      <c r="E53" s="18" t="s">
        <v>359</v>
      </c>
    </row>
    <row r="54" spans="1:5" x14ac:dyDescent="0.2">
      <c r="A54" s="4" t="s">
        <v>283</v>
      </c>
      <c r="B54" s="19" t="s">
        <v>358</v>
      </c>
      <c r="C54" s="23">
        <v>0</v>
      </c>
      <c r="D54" s="19" t="s">
        <v>331</v>
      </c>
      <c r="E54" s="18" t="s">
        <v>360</v>
      </c>
    </row>
    <row r="55" spans="1:5" x14ac:dyDescent="0.2">
      <c r="A55" s="4" t="s">
        <v>361</v>
      </c>
      <c r="B55" s="19" t="s">
        <v>362</v>
      </c>
      <c r="C55" s="23">
        <v>0</v>
      </c>
      <c r="D55" s="19" t="s">
        <v>331</v>
      </c>
      <c r="E55" s="18" t="s">
        <v>363</v>
      </c>
    </row>
    <row r="57" spans="1:5" x14ac:dyDescent="0.2">
      <c r="A57" s="16" t="s">
        <v>364</v>
      </c>
    </row>
    <row r="58" spans="1:5" x14ac:dyDescent="0.2">
      <c r="A58" s="17" t="s">
        <v>365</v>
      </c>
      <c r="B58" s="17" t="s">
        <v>366</v>
      </c>
      <c r="C58" s="17" t="s">
        <v>217</v>
      </c>
      <c r="D58" s="17"/>
      <c r="E58" s="17" t="s">
        <v>367</v>
      </c>
    </row>
    <row r="59" spans="1:5" ht="26" x14ac:dyDescent="0.2">
      <c r="A59" s="4" t="s">
        <v>368</v>
      </c>
      <c r="B59" s="18" t="s">
        <v>369</v>
      </c>
      <c r="C59" s="25">
        <f>IF($C$46="market",$C$40,$C$41)</f>
        <v>0.996</v>
      </c>
      <c r="E59" s="18" t="s">
        <v>370</v>
      </c>
    </row>
    <row r="60" spans="1:5" ht="39" x14ac:dyDescent="0.2">
      <c r="A60" s="4" t="s">
        <v>371</v>
      </c>
      <c r="B60" s="18" t="s">
        <v>372</v>
      </c>
      <c r="C60" s="25">
        <f>IF($C$48="in_per_out",$C$59/(1+$C$44),$C$59*(1-$C$44))</f>
        <v>0.996</v>
      </c>
      <c r="E60" s="18" t="s">
        <v>373</v>
      </c>
    </row>
    <row r="61" spans="1:5" ht="28" x14ac:dyDescent="0.2">
      <c r="A61" s="4" t="s">
        <v>374</v>
      </c>
      <c r="B61" s="18" t="s">
        <v>375</v>
      </c>
      <c r="C61" s="26">
        <f>$C$36*$C$60</f>
        <v>9960</v>
      </c>
      <c r="E61" s="18" t="s">
        <v>376</v>
      </c>
    </row>
    <row r="62" spans="1:5" x14ac:dyDescent="0.2">
      <c r="A62" s="4" t="s">
        <v>377</v>
      </c>
      <c r="B62" s="18" t="s">
        <v>378</v>
      </c>
      <c r="C62" s="26">
        <f>$C$61*$C$45</f>
        <v>0</v>
      </c>
      <c r="E62" s="18" t="s">
        <v>376</v>
      </c>
    </row>
    <row r="63" spans="1:5" x14ac:dyDescent="0.2">
      <c r="A63" s="4" t="s">
        <v>379</v>
      </c>
      <c r="B63" s="18" t="s">
        <v>380</v>
      </c>
      <c r="C63" s="26">
        <f>$C$61-$C$62</f>
        <v>9960</v>
      </c>
      <c r="E63" s="18" t="s">
        <v>381</v>
      </c>
    </row>
    <row r="64" spans="1:5" ht="39" x14ac:dyDescent="0.2">
      <c r="A64" s="4" t="s">
        <v>382</v>
      </c>
      <c r="B64" s="18" t="s">
        <v>383</v>
      </c>
      <c r="C64" s="26">
        <f>IF($C$47="own_desk",$C$36*$C$40,IF($C$47="market_plus_pct",$C$36*$C$40*(1-$C$42),$C$36*$C$41))</f>
        <v>9960</v>
      </c>
      <c r="E64" s="18" t="s">
        <v>384</v>
      </c>
    </row>
    <row r="65" spans="1:5" x14ac:dyDescent="0.2">
      <c r="A65" s="4" t="s">
        <v>385</v>
      </c>
      <c r="B65" s="18" t="s">
        <v>386</v>
      </c>
      <c r="C65" s="26">
        <f>$C$36*$C$40-$C$64</f>
        <v>40</v>
      </c>
      <c r="E65" s="18" t="s">
        <v>381</v>
      </c>
    </row>
    <row r="66" spans="1:5" x14ac:dyDescent="0.2">
      <c r="A66" s="4" t="s">
        <v>387</v>
      </c>
      <c r="B66" s="18" t="s">
        <v>388</v>
      </c>
      <c r="C66" s="26">
        <f>$C$64-$C$63</f>
        <v>0</v>
      </c>
      <c r="E66" s="18" t="s">
        <v>389</v>
      </c>
    </row>
    <row r="67" spans="1:5" x14ac:dyDescent="0.2">
      <c r="A67" s="4" t="s">
        <v>390</v>
      </c>
      <c r="B67" s="18" t="s">
        <v>391</v>
      </c>
      <c r="C67" s="27">
        <f>IF($C$36*$C$40=0,0,$C$66/($C$36*$C$40))</f>
        <v>0</v>
      </c>
      <c r="E67" s="18" t="s">
        <v>381</v>
      </c>
    </row>
    <row r="68" spans="1:5" ht="26" x14ac:dyDescent="0.2">
      <c r="A68" s="4" t="s">
        <v>392</v>
      </c>
      <c r="B68" s="18" t="s">
        <v>393</v>
      </c>
      <c r="C68" s="7" t="str">
        <f>IF($C$67&lt;$C$51,"YES — Finance approval","no")</f>
        <v>no</v>
      </c>
      <c r="E68" s="18" t="s">
        <v>394</v>
      </c>
    </row>
    <row r="69" spans="1:5" ht="26" x14ac:dyDescent="0.2">
      <c r="A69" s="4" t="s">
        <v>395</v>
      </c>
      <c r="B69" s="18" t="s">
        <v>396</v>
      </c>
      <c r="C69" s="26">
        <f>IF($C$49="round_up_unit",CEILING($C$63,$C$50),IF($C$49="nearest_unit",MROUND($C$63,$C$50),IF($C$49="nearest_n",MROUND($C$63,$C$50),FLOOR($C$63,$C$50))))</f>
        <v>9960</v>
      </c>
      <c r="E69" s="18" t="s">
        <v>397</v>
      </c>
    </row>
    <row r="70" spans="1:5" ht="28" x14ac:dyDescent="0.2">
      <c r="A70" s="4" t="s">
        <v>398</v>
      </c>
      <c r="B70" s="18" t="s">
        <v>399</v>
      </c>
      <c r="C70" s="26">
        <f>$C$63-$C$69</f>
        <v>0</v>
      </c>
      <c r="E70" s="18" t="s">
        <v>400</v>
      </c>
    </row>
    <row r="71" spans="1:5" ht="26" x14ac:dyDescent="0.2">
      <c r="A71" s="4" t="s">
        <v>401</v>
      </c>
      <c r="B71" s="18" t="s">
        <v>402</v>
      </c>
      <c r="C71" s="25">
        <f>IF($C$52="",$C$59,$C$60/(1-$C$52))</f>
        <v>0.996</v>
      </c>
      <c r="E71" s="18" t="s">
        <v>356</v>
      </c>
    </row>
    <row r="72" spans="1:5" x14ac:dyDescent="0.2">
      <c r="A72" s="4" t="s">
        <v>403</v>
      </c>
      <c r="B72" s="18" t="s">
        <v>404</v>
      </c>
      <c r="C72" s="26">
        <f>IF($C$53="rebate",$C$65*$C$54,0)</f>
        <v>0</v>
      </c>
      <c r="E72" s="18" t="s">
        <v>405</v>
      </c>
    </row>
    <row r="73" spans="1:5" x14ac:dyDescent="0.2">
      <c r="A73" s="4" t="s">
        <v>406</v>
      </c>
      <c r="B73" s="18" t="s">
        <v>407</v>
      </c>
      <c r="C73" s="26">
        <f>$C$36*$C$40*$C$55</f>
        <v>0</v>
      </c>
      <c r="E73" s="18" t="s">
        <v>408</v>
      </c>
    </row>
    <row r="74" spans="1:5" ht="28" x14ac:dyDescent="0.2">
      <c r="A74" s="4" t="s">
        <v>409</v>
      </c>
      <c r="B74" s="18" t="s">
        <v>410</v>
      </c>
      <c r="C74" s="26">
        <f>ROUND($C$63+$C$65+$C$66-$C$36*$C$40,6)</f>
        <v>0</v>
      </c>
      <c r="E74" s="18" t="s">
        <v>411</v>
      </c>
    </row>
    <row r="76" spans="1:5" x14ac:dyDescent="0.2">
      <c r="A76" s="16" t="s">
        <v>412</v>
      </c>
    </row>
    <row r="77" spans="1:5" x14ac:dyDescent="0.2">
      <c r="A77" s="17" t="s">
        <v>413</v>
      </c>
      <c r="B77" s="17" t="s">
        <v>414</v>
      </c>
      <c r="C77" s="17" t="s">
        <v>415</v>
      </c>
      <c r="D77" s="17" t="s">
        <v>416</v>
      </c>
      <c r="E77" s="17" t="s">
        <v>417</v>
      </c>
    </row>
    <row r="78" spans="1:5" x14ac:dyDescent="0.2">
      <c r="A78" s="7" t="str">
        <f>"CL."&amp;$C$39&amp;"."&amp;$C$37&amp;".COLLECTED"</f>
        <v>CL.ALI.USDT.COLLECTED</v>
      </c>
      <c r="B78" s="7" t="s">
        <v>418</v>
      </c>
      <c r="C78" s="26">
        <f>$C$36</f>
        <v>10000</v>
      </c>
      <c r="D78" s="19" t="s">
        <v>419</v>
      </c>
      <c r="E78" s="19" t="s">
        <v>420</v>
      </c>
    </row>
    <row r="79" spans="1:5" x14ac:dyDescent="0.2">
      <c r="A79" s="7" t="str">
        <f>"CL.PROJECT."&amp;$C$37&amp;".PAYABLE"</f>
        <v>CL.PROJECT.USDT.PAYABLE</v>
      </c>
      <c r="B79" s="7" t="s">
        <v>421</v>
      </c>
      <c r="C79" s="26">
        <f>$C$36</f>
        <v>10000</v>
      </c>
      <c r="D79" s="19" t="s">
        <v>419</v>
      </c>
      <c r="E79" s="19" t="s">
        <v>420</v>
      </c>
    </row>
    <row r="80" spans="1:5" x14ac:dyDescent="0.2">
      <c r="A80" s="7" t="str">
        <f>"CL.PROJECT."&amp;$C$37&amp;".PAYABLE"</f>
        <v>CL.PROJECT.USDT.PAYABLE</v>
      </c>
      <c r="B80" s="7" t="s">
        <v>418</v>
      </c>
      <c r="C80" s="26">
        <f>$C$36</f>
        <v>10000</v>
      </c>
      <c r="D80" s="19" t="s">
        <v>419</v>
      </c>
      <c r="E80" s="19" t="s">
        <v>422</v>
      </c>
    </row>
    <row r="81" spans="1:5" x14ac:dyDescent="0.2">
      <c r="A81" s="7" t="str">
        <f>"CL."&amp;$C$39&amp;"."&amp;$C$37&amp;".COLLECTED"</f>
        <v>CL.ALI.USDT.COLLECTED</v>
      </c>
      <c r="B81" s="7" t="s">
        <v>421</v>
      </c>
      <c r="C81" s="26">
        <f>$C$36</f>
        <v>10000</v>
      </c>
      <c r="D81" s="19" t="s">
        <v>419</v>
      </c>
      <c r="E81" s="19" t="s">
        <v>422</v>
      </c>
    </row>
    <row r="82" spans="1:5" x14ac:dyDescent="0.2">
      <c r="A82" s="7" t="str">
        <f>"CL."&amp;$C$39&amp;"."&amp;$C$38&amp;".DUE"</f>
        <v>CL.ALI.USD.DUE</v>
      </c>
      <c r="B82" s="7" t="s">
        <v>418</v>
      </c>
      <c r="C82" s="26">
        <f>$C$63</f>
        <v>9960</v>
      </c>
      <c r="D82" s="19" t="s">
        <v>423</v>
      </c>
      <c r="E82" s="19" t="s">
        <v>424</v>
      </c>
    </row>
    <row r="83" spans="1:5" x14ac:dyDescent="0.2">
      <c r="A83" s="7" t="str">
        <f>"CO."&amp;$C$39&amp;"."&amp;$C$38&amp;".POOL"</f>
        <v>CO.ALI.USD.POOL</v>
      </c>
      <c r="B83" s="7" t="s">
        <v>418</v>
      </c>
      <c r="C83" s="26">
        <f>IF($C$53="rebate",0,$C$66)</f>
        <v>0</v>
      </c>
      <c r="D83" s="19" t="s">
        <v>425</v>
      </c>
      <c r="E83" s="19" t="s">
        <v>426</v>
      </c>
    </row>
    <row r="84" spans="1:5" x14ac:dyDescent="0.2">
      <c r="A84" s="7" t="str">
        <f>"CO."&amp;$C$39&amp;"."&amp;$C$38&amp;".REBATE_RECEIVABLE"</f>
        <v>CO.ALI.USD.REBATE_RECEIVABLE</v>
      </c>
      <c r="B84" s="7" t="s">
        <v>418</v>
      </c>
      <c r="C84" s="26">
        <f>$C$72</f>
        <v>0</v>
      </c>
      <c r="D84" s="19" t="s">
        <v>425</v>
      </c>
      <c r="E84" s="19" t="s">
        <v>427</v>
      </c>
    </row>
    <row r="85" spans="1:5" x14ac:dyDescent="0.2">
      <c r="A85" s="7" t="str">
        <f>"CL.PROJECT."&amp;$C$38&amp;".PAYABLE"</f>
        <v>CL.PROJECT.USD.PAYABLE</v>
      </c>
      <c r="B85" s="7" t="s">
        <v>421</v>
      </c>
      <c r="C85" s="26">
        <f>$C$63</f>
        <v>9960</v>
      </c>
      <c r="D85" s="19" t="s">
        <v>419</v>
      </c>
      <c r="E85" s="19" t="s">
        <v>424</v>
      </c>
    </row>
    <row r="86" spans="1:5" x14ac:dyDescent="0.2">
      <c r="A86" s="7" t="str">
        <f>"CO.NONE."&amp;$C$38&amp;".EARN_GROSS"</f>
        <v>CO.NONE.USD.EARN_GROSS</v>
      </c>
      <c r="B86" s="7" t="s">
        <v>421</v>
      </c>
      <c r="C86" s="26">
        <f>$C$66+$C$72</f>
        <v>0</v>
      </c>
      <c r="D86" s="19" t="s">
        <v>425</v>
      </c>
      <c r="E86" s="19" t="s">
        <v>428</v>
      </c>
    </row>
    <row r="87" spans="1:5" x14ac:dyDescent="0.2">
      <c r="A87" s="7" t="str">
        <f>"CL."&amp;$C$39&amp;"."&amp;$C$38&amp;".INTRANSIT"</f>
        <v>CL.ALI.USD.INTRANSIT</v>
      </c>
      <c r="B87" s="7" t="s">
        <v>418</v>
      </c>
      <c r="C87" s="26">
        <f>$C$69</f>
        <v>9960</v>
      </c>
      <c r="D87" s="19" t="s">
        <v>419</v>
      </c>
      <c r="E87" s="19" t="s">
        <v>429</v>
      </c>
    </row>
    <row r="88" spans="1:5" x14ac:dyDescent="0.2">
      <c r="A88" s="7" t="str">
        <f>"CL."&amp;$C$39&amp;"."&amp;$C$38&amp;".DUE"</f>
        <v>CL.ALI.USD.DUE</v>
      </c>
      <c r="B88" s="7" t="s">
        <v>421</v>
      </c>
      <c r="C88" s="26">
        <f>$C$69</f>
        <v>9960</v>
      </c>
      <c r="D88" s="19" t="s">
        <v>419</v>
      </c>
      <c r="E88" s="19" t="s">
        <v>430</v>
      </c>
    </row>
    <row r="89" spans="1:5" x14ac:dyDescent="0.2">
      <c r="A89" s="7" t="str">
        <f>"CL.PROJECT."&amp;$C$38&amp;".PAYABLE"</f>
        <v>CL.PROJECT.USD.PAYABLE</v>
      </c>
      <c r="B89" s="7" t="s">
        <v>418</v>
      </c>
      <c r="C89" s="26">
        <f>$C$69</f>
        <v>9960</v>
      </c>
      <c r="D89" s="19" t="s">
        <v>419</v>
      </c>
      <c r="E89" s="19" t="s">
        <v>431</v>
      </c>
    </row>
    <row r="90" spans="1:5" x14ac:dyDescent="0.2">
      <c r="A90" s="7" t="str">
        <f>"CL."&amp;$C$39&amp;"."&amp;$C$38&amp;".INTRANSIT"</f>
        <v>CL.ALI.USD.INTRANSIT</v>
      </c>
      <c r="B90" s="7" t="s">
        <v>421</v>
      </c>
      <c r="C90" s="26">
        <f>$C$69</f>
        <v>9960</v>
      </c>
      <c r="D90" s="19" t="s">
        <v>419</v>
      </c>
      <c r="E90" s="19" t="s">
        <v>431</v>
      </c>
    </row>
    <row r="91" spans="1:5" x14ac:dyDescent="0.2">
      <c r="A91" s="7" t="str">
        <f>"CO.NONE."&amp;$C$38&amp;".EARN_GROSS"</f>
        <v>CO.NONE.USD.EARN_GROSS</v>
      </c>
      <c r="B91" s="7" t="s">
        <v>418</v>
      </c>
      <c r="C91" s="26">
        <f>$C$73</f>
        <v>0</v>
      </c>
      <c r="D91" s="19" t="s">
        <v>432</v>
      </c>
      <c r="E91" s="19" t="s">
        <v>433</v>
      </c>
    </row>
    <row r="92" spans="1:5" x14ac:dyDescent="0.2">
      <c r="A92" s="7" t="str">
        <f>"CO.INTRODUCER."&amp;$C$38&amp;".REFERRAL_PAYABLE"</f>
        <v>CO.INTRODUCER.USD.REFERRAL_PAYABLE</v>
      </c>
      <c r="B92" s="7" t="s">
        <v>421</v>
      </c>
      <c r="C92" s="26">
        <f>$C$73</f>
        <v>0</v>
      </c>
      <c r="D92" s="19" t="s">
        <v>432</v>
      </c>
      <c r="E92" s="19" t="s">
        <v>434</v>
      </c>
    </row>
    <row r="93" spans="1:5" ht="30" customHeight="1" x14ac:dyDescent="0.2">
      <c r="A93" s="28" t="s">
        <v>435</v>
      </c>
      <c r="C93" s="29">
        <f>ROUND(SUMIF($B$82:$B$92,"Dr",$C$82:$C$92)-SUMIF($B$82:$B$92,"Cr",$C$82:$C$92),6)</f>
        <v>0</v>
      </c>
      <c r="E93" s="18" t="s">
        <v>436</v>
      </c>
    </row>
    <row r="95" spans="1:5" x14ac:dyDescent="0.2">
      <c r="A95" s="16" t="s">
        <v>437</v>
      </c>
    </row>
    <row r="96" spans="1:5" x14ac:dyDescent="0.2">
      <c r="A96" s="17" t="s">
        <v>438</v>
      </c>
      <c r="B96" s="17" t="s">
        <v>439</v>
      </c>
      <c r="C96" s="17" t="s">
        <v>440</v>
      </c>
      <c r="D96" s="17" t="s">
        <v>441</v>
      </c>
      <c r="E96" s="17" t="s">
        <v>442</v>
      </c>
    </row>
    <row r="97" spans="1:5" ht="15.75" customHeight="1" x14ac:dyDescent="0.2">
      <c r="A97" s="4" t="s">
        <v>495</v>
      </c>
      <c r="B97" s="20">
        <v>9960</v>
      </c>
      <c r="C97" s="26">
        <f>$C$61</f>
        <v>9960</v>
      </c>
      <c r="D97" s="29">
        <f>ROUND(C97-B97,2)</f>
        <v>0</v>
      </c>
      <c r="E97" s="18" t="s">
        <v>605</v>
      </c>
    </row>
    <row r="99" spans="1:5" x14ac:dyDescent="0.2">
      <c r="A99" s="16" t="s">
        <v>445</v>
      </c>
    </row>
    <row r="100" spans="1:5" ht="31.5" customHeight="1" x14ac:dyDescent="0.2">
      <c r="A100" s="14" t="s">
        <v>446</v>
      </c>
      <c r="B100" s="1" t="s">
        <v>606</v>
      </c>
      <c r="C100" s="1"/>
      <c r="D100" s="1"/>
      <c r="E100" s="1"/>
    </row>
    <row r="101" spans="1:5" ht="31.5" customHeight="1" x14ac:dyDescent="0.2">
      <c r="A101" s="14" t="s">
        <v>446</v>
      </c>
      <c r="B101" s="1" t="s">
        <v>607</v>
      </c>
      <c r="C101" s="1"/>
      <c r="D101" s="1"/>
      <c r="E101" s="1"/>
    </row>
  </sheetData>
  <mergeCells count="2">
    <mergeCell ref="B100:E100"/>
    <mergeCell ref="B101:E101"/>
  </mergeCells>
  <pageMargins left="0.75" right="0.75" top="1" bottom="1"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1"/>
  <sheetViews>
    <sheetView zoomScaleNormal="100" workbookViewId="0">
      <selection activeCell="C8" sqref="C8"/>
    </sheetView>
  </sheetViews>
  <sheetFormatPr baseColWidth="10" defaultColWidth="8.6640625" defaultRowHeight="15" x14ac:dyDescent="0.2"/>
  <cols>
    <col min="1" max="2" width="34" customWidth="1"/>
    <col min="3" max="3" width="22" customWidth="1"/>
    <col min="4" max="4" width="18" customWidth="1"/>
    <col min="5" max="5" width="48" customWidth="1"/>
  </cols>
  <sheetData>
    <row r="1" spans="1:5" ht="17" x14ac:dyDescent="0.2">
      <c r="A1" s="2" t="s">
        <v>608</v>
      </c>
    </row>
    <row r="2" spans="1:5" x14ac:dyDescent="0.2">
      <c r="A2" s="13" t="s">
        <v>210</v>
      </c>
      <c r="B2" s="14" t="s">
        <v>609</v>
      </c>
    </row>
    <row r="3" spans="1:5" ht="30" customHeight="1" x14ac:dyDescent="0.2">
      <c r="A3" s="13" t="s">
        <v>212</v>
      </c>
      <c r="B3" s="15" t="s">
        <v>610</v>
      </c>
    </row>
    <row r="5" spans="1:5" x14ac:dyDescent="0.2">
      <c r="A5" s="16" t="s">
        <v>214</v>
      </c>
    </row>
    <row r="6" spans="1:5" x14ac:dyDescent="0.2">
      <c r="A6" s="17" t="s">
        <v>215</v>
      </c>
      <c r="B6" s="17" t="s">
        <v>216</v>
      </c>
      <c r="C6" s="17" t="s">
        <v>217</v>
      </c>
      <c r="D6" s="17" t="s">
        <v>218</v>
      </c>
      <c r="E6" s="17" t="s">
        <v>219</v>
      </c>
    </row>
    <row r="7" spans="1:5" ht="30" customHeight="1" x14ac:dyDescent="0.2">
      <c r="A7" s="4" t="s">
        <v>220</v>
      </c>
      <c r="B7" s="4" t="s">
        <v>221</v>
      </c>
      <c r="C7" s="10" t="s">
        <v>141</v>
      </c>
      <c r="D7" s="4" t="s">
        <v>222</v>
      </c>
      <c r="E7" s="18" t="s">
        <v>223</v>
      </c>
    </row>
    <row r="8" spans="1:5" ht="30" customHeight="1" x14ac:dyDescent="0.2">
      <c r="A8" s="4" t="s">
        <v>224</v>
      </c>
      <c r="B8" s="4" t="s">
        <v>225</v>
      </c>
      <c r="C8" s="11"/>
      <c r="D8" s="4" t="s">
        <v>226</v>
      </c>
      <c r="E8" s="18" t="s">
        <v>227</v>
      </c>
    </row>
    <row r="9" spans="1:5" ht="30" customHeight="1" x14ac:dyDescent="0.2">
      <c r="A9" s="4" t="s">
        <v>228</v>
      </c>
      <c r="B9" s="4" t="s">
        <v>229</v>
      </c>
      <c r="C9" s="10" t="s">
        <v>611</v>
      </c>
      <c r="D9" s="4" t="s">
        <v>222</v>
      </c>
      <c r="E9" s="18" t="s">
        <v>230</v>
      </c>
    </row>
    <row r="10" spans="1:5" ht="30" customHeight="1" x14ac:dyDescent="0.2">
      <c r="A10" s="4" t="s">
        <v>231</v>
      </c>
      <c r="B10" s="4" t="s">
        <v>232</v>
      </c>
      <c r="C10" s="11"/>
      <c r="D10" s="4" t="s">
        <v>226</v>
      </c>
      <c r="E10" s="18" t="s">
        <v>233</v>
      </c>
    </row>
    <row r="11" spans="1:5" ht="15.75" customHeight="1" x14ac:dyDescent="0.2">
      <c r="A11" s="4" t="s">
        <v>234</v>
      </c>
      <c r="B11" s="4" t="s">
        <v>235</v>
      </c>
      <c r="C11" s="10" t="s">
        <v>479</v>
      </c>
      <c r="D11" s="4" t="s">
        <v>222</v>
      </c>
      <c r="E11" s="18" t="s">
        <v>237</v>
      </c>
    </row>
    <row r="12" spans="1:5" ht="30" customHeight="1" x14ac:dyDescent="0.2">
      <c r="A12" s="4" t="s">
        <v>238</v>
      </c>
      <c r="B12" s="4" t="s">
        <v>239</v>
      </c>
      <c r="C12" s="10" t="s">
        <v>480</v>
      </c>
      <c r="D12" s="4" t="s">
        <v>222</v>
      </c>
      <c r="E12" s="18" t="s">
        <v>240</v>
      </c>
    </row>
    <row r="13" spans="1:5" ht="15.75" customHeight="1" x14ac:dyDescent="0.2">
      <c r="A13" s="4" t="s">
        <v>241</v>
      </c>
      <c r="B13" s="4" t="s">
        <v>242</v>
      </c>
      <c r="C13" s="10" t="s">
        <v>93</v>
      </c>
      <c r="D13" s="4" t="s">
        <v>222</v>
      </c>
      <c r="E13" s="18"/>
    </row>
    <row r="14" spans="1:5" ht="30" customHeight="1" x14ac:dyDescent="0.2">
      <c r="A14" s="4" t="s">
        <v>243</v>
      </c>
      <c r="B14" s="4" t="s">
        <v>244</v>
      </c>
      <c r="C14" s="10" t="s">
        <v>94</v>
      </c>
      <c r="D14" s="4" t="s">
        <v>222</v>
      </c>
      <c r="E14" s="18" t="s">
        <v>245</v>
      </c>
    </row>
    <row r="15" spans="1:5" ht="15.75" customHeight="1" x14ac:dyDescent="0.2">
      <c r="A15" s="4" t="s">
        <v>246</v>
      </c>
      <c r="B15" s="4" t="s">
        <v>247</v>
      </c>
      <c r="C15" s="10" t="s">
        <v>612</v>
      </c>
      <c r="D15" s="4" t="s">
        <v>222</v>
      </c>
      <c r="E15" s="18" t="s">
        <v>248</v>
      </c>
    </row>
    <row r="16" spans="1:5" ht="30" customHeight="1" x14ac:dyDescent="0.2">
      <c r="A16" s="4" t="s">
        <v>249</v>
      </c>
      <c r="B16" s="4" t="s">
        <v>250</v>
      </c>
      <c r="C16" s="10" t="s">
        <v>251</v>
      </c>
      <c r="D16" s="4" t="s">
        <v>222</v>
      </c>
      <c r="E16" s="18" t="s">
        <v>252</v>
      </c>
    </row>
    <row r="17" spans="1:5" ht="30" customHeight="1" x14ac:dyDescent="0.2">
      <c r="A17" s="4" t="s">
        <v>253</v>
      </c>
      <c r="B17" s="4" t="s">
        <v>254</v>
      </c>
      <c r="C17" s="10" t="s">
        <v>255</v>
      </c>
      <c r="D17" s="4" t="s">
        <v>222</v>
      </c>
      <c r="E17" s="18" t="s">
        <v>256</v>
      </c>
    </row>
    <row r="18" spans="1:5" ht="15.75" customHeight="1" x14ac:dyDescent="0.2">
      <c r="A18" s="4" t="s">
        <v>257</v>
      </c>
      <c r="B18" s="4" t="s">
        <v>258</v>
      </c>
      <c r="C18" s="10" t="s">
        <v>86</v>
      </c>
      <c r="D18" s="4" t="s">
        <v>222</v>
      </c>
      <c r="E18" s="18" t="s">
        <v>259</v>
      </c>
    </row>
    <row r="19" spans="1:5" ht="15.75" customHeight="1" x14ac:dyDescent="0.2">
      <c r="A19" s="4" t="s">
        <v>260</v>
      </c>
      <c r="B19" s="4" t="s">
        <v>261</v>
      </c>
      <c r="C19" s="12">
        <v>2.8000000000000001E-2</v>
      </c>
      <c r="D19" s="4" t="s">
        <v>222</v>
      </c>
      <c r="E19" s="18" t="s">
        <v>262</v>
      </c>
    </row>
    <row r="20" spans="1:5" ht="15.75" customHeight="1" x14ac:dyDescent="0.2">
      <c r="A20" s="4" t="s">
        <v>263</v>
      </c>
      <c r="B20" s="4" t="s">
        <v>264</v>
      </c>
      <c r="C20" s="12">
        <v>1.4E-2</v>
      </c>
      <c r="D20" s="4" t="s">
        <v>222</v>
      </c>
      <c r="E20" s="18"/>
    </row>
    <row r="21" spans="1:5" ht="30" customHeight="1" x14ac:dyDescent="0.2">
      <c r="A21" s="4" t="s">
        <v>265</v>
      </c>
      <c r="B21" s="4" t="s">
        <v>266</v>
      </c>
      <c r="C21" s="12">
        <v>1.4E-2</v>
      </c>
      <c r="D21" s="4" t="s">
        <v>222</v>
      </c>
      <c r="E21" s="18" t="s">
        <v>267</v>
      </c>
    </row>
    <row r="22" spans="1:5" ht="15.75" customHeight="1" x14ac:dyDescent="0.2">
      <c r="A22" s="4" t="s">
        <v>268</v>
      </c>
      <c r="B22" s="4" t="s">
        <v>269</v>
      </c>
      <c r="C22" s="11"/>
      <c r="D22" s="4" t="s">
        <v>226</v>
      </c>
      <c r="E22" s="18" t="s">
        <v>270</v>
      </c>
    </row>
    <row r="23" spans="1:5" ht="15.75" customHeight="1" x14ac:dyDescent="0.2">
      <c r="A23" s="4" t="s">
        <v>271</v>
      </c>
      <c r="B23" s="4" t="s">
        <v>272</v>
      </c>
      <c r="C23" s="11"/>
      <c r="D23" s="4" t="s">
        <v>226</v>
      </c>
      <c r="E23" s="18" t="s">
        <v>270</v>
      </c>
    </row>
    <row r="24" spans="1:5" ht="15.75" customHeight="1" x14ac:dyDescent="0.2">
      <c r="A24" s="4" t="s">
        <v>273</v>
      </c>
      <c r="B24" s="4" t="s">
        <v>274</v>
      </c>
      <c r="C24" s="11"/>
      <c r="D24" s="4" t="s">
        <v>226</v>
      </c>
      <c r="E24" s="18" t="s">
        <v>275</v>
      </c>
    </row>
    <row r="25" spans="1:5" ht="30" customHeight="1" x14ac:dyDescent="0.2">
      <c r="A25" s="4" t="s">
        <v>276</v>
      </c>
      <c r="B25" s="4" t="s">
        <v>277</v>
      </c>
      <c r="C25" s="11"/>
      <c r="D25" s="4" t="s">
        <v>278</v>
      </c>
      <c r="E25" s="18" t="s">
        <v>279</v>
      </c>
    </row>
    <row r="26" spans="1:5" ht="15.75" customHeight="1" x14ac:dyDescent="0.2">
      <c r="A26" s="4" t="s">
        <v>280</v>
      </c>
      <c r="B26" s="4" t="s">
        <v>281</v>
      </c>
      <c r="C26" s="10" t="s">
        <v>95</v>
      </c>
      <c r="D26" s="4" t="s">
        <v>222</v>
      </c>
      <c r="E26" s="18" t="s">
        <v>282</v>
      </c>
    </row>
    <row r="27" spans="1:5" ht="15.75" customHeight="1" x14ac:dyDescent="0.2">
      <c r="A27" s="4" t="s">
        <v>283</v>
      </c>
      <c r="B27" s="4" t="s">
        <v>284</v>
      </c>
      <c r="C27" s="11"/>
      <c r="D27" s="4" t="s">
        <v>278</v>
      </c>
      <c r="E27" s="18" t="s">
        <v>286</v>
      </c>
    </row>
    <row r="28" spans="1:5" ht="15.75" customHeight="1" x14ac:dyDescent="0.2">
      <c r="A28" s="4" t="s">
        <v>287</v>
      </c>
      <c r="B28" s="4" t="s">
        <v>288</v>
      </c>
      <c r="C28" s="10"/>
      <c r="D28" s="4" t="s">
        <v>278</v>
      </c>
      <c r="E28" s="18" t="s">
        <v>289</v>
      </c>
    </row>
    <row r="29" spans="1:5" ht="30" customHeight="1" x14ac:dyDescent="0.2">
      <c r="A29" s="4" t="s">
        <v>290</v>
      </c>
      <c r="B29" s="4" t="s">
        <v>291</v>
      </c>
      <c r="C29" s="10" t="s">
        <v>292</v>
      </c>
      <c r="D29" s="4" t="s">
        <v>222</v>
      </c>
      <c r="E29" s="18" t="s">
        <v>293</v>
      </c>
    </row>
    <row r="30" spans="1:5" ht="15.75" customHeight="1" x14ac:dyDescent="0.2">
      <c r="A30" s="4" t="s">
        <v>294</v>
      </c>
      <c r="B30" s="4" t="s">
        <v>295</v>
      </c>
      <c r="C30" s="11"/>
      <c r="D30" s="4" t="s">
        <v>226</v>
      </c>
      <c r="E30" s="18"/>
    </row>
    <row r="31" spans="1:5" ht="15.75" customHeight="1" x14ac:dyDescent="0.2">
      <c r="A31" s="4" t="s">
        <v>296</v>
      </c>
      <c r="B31" s="4" t="s">
        <v>297</v>
      </c>
      <c r="C31" s="11"/>
      <c r="D31" s="4" t="s">
        <v>226</v>
      </c>
      <c r="E31" s="18" t="s">
        <v>298</v>
      </c>
    </row>
    <row r="32" spans="1:5" ht="30" customHeight="1" x14ac:dyDescent="0.2">
      <c r="A32" s="4" t="s">
        <v>299</v>
      </c>
      <c r="B32" s="4" t="s">
        <v>300</v>
      </c>
      <c r="C32" s="11"/>
      <c r="D32" s="4" t="s">
        <v>226</v>
      </c>
      <c r="E32" s="18" t="s">
        <v>301</v>
      </c>
    </row>
    <row r="34" spans="1:5" x14ac:dyDescent="0.2">
      <c r="A34" s="16" t="s">
        <v>302</v>
      </c>
    </row>
    <row r="35" spans="1:5" x14ac:dyDescent="0.2">
      <c r="A35" s="17" t="s">
        <v>303</v>
      </c>
      <c r="B35" s="17" t="s">
        <v>304</v>
      </c>
      <c r="C35" s="17" t="s">
        <v>217</v>
      </c>
      <c r="D35" s="17" t="s">
        <v>305</v>
      </c>
      <c r="E35" s="17" t="s">
        <v>306</v>
      </c>
    </row>
    <row r="36" spans="1:5" x14ac:dyDescent="0.2">
      <c r="A36" s="4" t="s">
        <v>307</v>
      </c>
      <c r="B36" s="19" t="s">
        <v>308</v>
      </c>
      <c r="C36" s="20">
        <v>100000</v>
      </c>
      <c r="D36" s="19" t="s">
        <v>309</v>
      </c>
      <c r="E36" s="18" t="s">
        <v>310</v>
      </c>
    </row>
    <row r="37" spans="1:5" x14ac:dyDescent="0.2">
      <c r="A37" s="4" t="s">
        <v>311</v>
      </c>
      <c r="B37" s="19" t="s">
        <v>312</v>
      </c>
      <c r="C37" s="8" t="s">
        <v>317</v>
      </c>
      <c r="D37" s="19" t="s">
        <v>314</v>
      </c>
      <c r="E37" s="18"/>
    </row>
    <row r="38" spans="1:5" x14ac:dyDescent="0.2">
      <c r="A38" s="4" t="s">
        <v>315</v>
      </c>
      <c r="B38" s="19" t="s">
        <v>316</v>
      </c>
      <c r="C38" s="8" t="s">
        <v>317</v>
      </c>
      <c r="D38" s="19" t="s">
        <v>314</v>
      </c>
      <c r="E38" s="18"/>
    </row>
    <row r="39" spans="1:5" x14ac:dyDescent="0.2">
      <c r="A39" s="4" t="s">
        <v>318</v>
      </c>
      <c r="B39" s="19" t="s">
        <v>319</v>
      </c>
      <c r="C39" s="8" t="s">
        <v>455</v>
      </c>
      <c r="D39" s="19" t="s">
        <v>314</v>
      </c>
      <c r="E39" s="18" t="s">
        <v>321</v>
      </c>
    </row>
    <row r="40" spans="1:5" x14ac:dyDescent="0.2">
      <c r="A40" s="4" t="s">
        <v>322</v>
      </c>
      <c r="B40" s="19" t="s">
        <v>323</v>
      </c>
      <c r="C40" s="21">
        <v>1</v>
      </c>
      <c r="D40" s="19" t="s">
        <v>324</v>
      </c>
      <c r="E40" s="18" t="s">
        <v>325</v>
      </c>
    </row>
    <row r="41" spans="1:5" ht="26" x14ac:dyDescent="0.2">
      <c r="A41" s="4" t="s">
        <v>326</v>
      </c>
      <c r="B41" s="19" t="s">
        <v>327</v>
      </c>
      <c r="C41" s="21">
        <v>1</v>
      </c>
      <c r="D41" s="19" t="s">
        <v>324</v>
      </c>
      <c r="E41" s="18" t="s">
        <v>328</v>
      </c>
    </row>
    <row r="42" spans="1:5" ht="26" x14ac:dyDescent="0.2">
      <c r="A42" s="4" t="s">
        <v>329</v>
      </c>
      <c r="B42" s="19" t="s">
        <v>330</v>
      </c>
      <c r="C42" s="23">
        <v>0</v>
      </c>
      <c r="D42" s="19" t="s">
        <v>331</v>
      </c>
      <c r="E42" s="18" t="s">
        <v>332</v>
      </c>
    </row>
    <row r="43" spans="1:5" x14ac:dyDescent="0.2">
      <c r="A43" s="4" t="s">
        <v>333</v>
      </c>
      <c r="B43" s="19" t="s">
        <v>334</v>
      </c>
      <c r="C43" s="23">
        <v>2.8000000000000001E-2</v>
      </c>
      <c r="D43" s="19" t="s">
        <v>331</v>
      </c>
      <c r="E43" s="18" t="s">
        <v>261</v>
      </c>
    </row>
    <row r="44" spans="1:5" x14ac:dyDescent="0.2">
      <c r="A44" s="4" t="s">
        <v>335</v>
      </c>
      <c r="B44" s="19" t="s">
        <v>336</v>
      </c>
      <c r="C44" s="23">
        <v>1.4E-2</v>
      </c>
      <c r="D44" s="19" t="s">
        <v>331</v>
      </c>
      <c r="E44" s="18" t="s">
        <v>264</v>
      </c>
    </row>
    <row r="45" spans="1:5" x14ac:dyDescent="0.2">
      <c r="A45" s="4" t="s">
        <v>337</v>
      </c>
      <c r="B45" s="19" t="s">
        <v>338</v>
      </c>
      <c r="C45" s="23">
        <v>1.4E-2</v>
      </c>
      <c r="D45" s="19" t="s">
        <v>331</v>
      </c>
      <c r="E45" s="18" t="s">
        <v>266</v>
      </c>
    </row>
    <row r="46" spans="1:5" x14ac:dyDescent="0.2">
      <c r="A46" s="4" t="s">
        <v>253</v>
      </c>
      <c r="B46" s="19" t="s">
        <v>339</v>
      </c>
      <c r="C46" s="8" t="s">
        <v>255</v>
      </c>
      <c r="D46" s="19" t="s">
        <v>314</v>
      </c>
      <c r="E46" s="18" t="s">
        <v>340</v>
      </c>
    </row>
    <row r="47" spans="1:5" x14ac:dyDescent="0.2">
      <c r="A47" s="4" t="s">
        <v>243</v>
      </c>
      <c r="B47" s="19" t="s">
        <v>341</v>
      </c>
      <c r="C47" s="8" t="s">
        <v>94</v>
      </c>
      <c r="D47" s="19" t="s">
        <v>314</v>
      </c>
      <c r="E47" s="18" t="s">
        <v>342</v>
      </c>
    </row>
    <row r="48" spans="1:5" x14ac:dyDescent="0.2">
      <c r="A48" s="4" t="s">
        <v>249</v>
      </c>
      <c r="B48" s="19" t="s">
        <v>343</v>
      </c>
      <c r="C48" s="8" t="s">
        <v>251</v>
      </c>
      <c r="D48" s="19" t="s">
        <v>314</v>
      </c>
      <c r="E48" s="18" t="s">
        <v>344</v>
      </c>
    </row>
    <row r="49" spans="1:5" x14ac:dyDescent="0.2">
      <c r="A49" s="4" t="s">
        <v>345</v>
      </c>
      <c r="B49" s="19" t="s">
        <v>346</v>
      </c>
      <c r="C49" s="8" t="s">
        <v>347</v>
      </c>
      <c r="D49" s="19" t="s">
        <v>314</v>
      </c>
      <c r="E49" s="18" t="s">
        <v>348</v>
      </c>
    </row>
    <row r="50" spans="1:5" x14ac:dyDescent="0.2">
      <c r="A50" s="4" t="s">
        <v>349</v>
      </c>
      <c r="B50" s="19" t="s">
        <v>350</v>
      </c>
      <c r="C50" s="20">
        <v>1</v>
      </c>
      <c r="D50" s="19" t="s">
        <v>309</v>
      </c>
      <c r="E50" s="18" t="s">
        <v>351</v>
      </c>
    </row>
    <row r="51" spans="1:5" x14ac:dyDescent="0.2">
      <c r="A51" s="4" t="s">
        <v>352</v>
      </c>
      <c r="B51" s="19" t="s">
        <v>353</v>
      </c>
      <c r="C51" s="23">
        <v>0</v>
      </c>
      <c r="D51" s="19" t="s">
        <v>331</v>
      </c>
      <c r="E51" s="18" t="s">
        <v>274</v>
      </c>
    </row>
    <row r="52" spans="1:5" x14ac:dyDescent="0.2">
      <c r="A52" s="4" t="s">
        <v>354</v>
      </c>
      <c r="B52" s="19" t="s">
        <v>355</v>
      </c>
      <c r="C52" s="24"/>
      <c r="D52" s="19" t="s">
        <v>331</v>
      </c>
      <c r="E52" s="18" t="s">
        <v>356</v>
      </c>
    </row>
    <row r="53" spans="1:5" x14ac:dyDescent="0.2">
      <c r="A53" s="4" t="s">
        <v>280</v>
      </c>
      <c r="B53" s="19" t="s">
        <v>357</v>
      </c>
      <c r="C53" s="8" t="s">
        <v>456</v>
      </c>
      <c r="D53" s="19" t="s">
        <v>314</v>
      </c>
      <c r="E53" s="18" t="s">
        <v>359</v>
      </c>
    </row>
    <row r="54" spans="1:5" x14ac:dyDescent="0.2">
      <c r="A54" s="4" t="s">
        <v>283</v>
      </c>
      <c r="B54" s="19" t="s">
        <v>358</v>
      </c>
      <c r="C54" s="23">
        <v>0</v>
      </c>
      <c r="D54" s="19" t="s">
        <v>331</v>
      </c>
      <c r="E54" s="18" t="s">
        <v>360</v>
      </c>
    </row>
    <row r="55" spans="1:5" x14ac:dyDescent="0.2">
      <c r="A55" s="4" t="s">
        <v>361</v>
      </c>
      <c r="B55" s="19" t="s">
        <v>362</v>
      </c>
      <c r="C55" s="23">
        <v>0</v>
      </c>
      <c r="D55" s="19" t="s">
        <v>331</v>
      </c>
      <c r="E55" s="18" t="s">
        <v>363</v>
      </c>
    </row>
    <row r="57" spans="1:5" x14ac:dyDescent="0.2">
      <c r="A57" s="16" t="s">
        <v>364</v>
      </c>
    </row>
    <row r="58" spans="1:5" x14ac:dyDescent="0.2">
      <c r="A58" s="17" t="s">
        <v>365</v>
      </c>
      <c r="B58" s="17" t="s">
        <v>366</v>
      </c>
      <c r="C58" s="17" t="s">
        <v>217</v>
      </c>
      <c r="D58" s="17"/>
      <c r="E58" s="17" t="s">
        <v>367</v>
      </c>
    </row>
    <row r="59" spans="1:5" ht="26" x14ac:dyDescent="0.2">
      <c r="A59" s="4" t="s">
        <v>368</v>
      </c>
      <c r="B59" s="18" t="s">
        <v>369</v>
      </c>
      <c r="C59" s="25">
        <f>IF($C$46="market",$C$40,$C$41)</f>
        <v>1</v>
      </c>
      <c r="E59" s="18" t="s">
        <v>370</v>
      </c>
    </row>
    <row r="60" spans="1:5" ht="39" x14ac:dyDescent="0.2">
      <c r="A60" s="4" t="s">
        <v>371</v>
      </c>
      <c r="B60" s="18" t="s">
        <v>372</v>
      </c>
      <c r="C60" s="25">
        <f>IF($C$48="in_per_out",$C$59/(1+$C$44),$C$59*(1-$C$44))</f>
        <v>0.98599999999999999</v>
      </c>
      <c r="E60" s="18" t="s">
        <v>373</v>
      </c>
    </row>
    <row r="61" spans="1:5" ht="28" x14ac:dyDescent="0.2">
      <c r="A61" s="4" t="s">
        <v>374</v>
      </c>
      <c r="B61" s="18" t="s">
        <v>375</v>
      </c>
      <c r="C61" s="26">
        <f>$C$36*$C$60</f>
        <v>98600</v>
      </c>
      <c r="E61" s="18" t="s">
        <v>376</v>
      </c>
    </row>
    <row r="62" spans="1:5" x14ac:dyDescent="0.2">
      <c r="A62" s="4" t="s">
        <v>377</v>
      </c>
      <c r="B62" s="18" t="s">
        <v>378</v>
      </c>
      <c r="C62" s="26">
        <f>$C$61*$C$45</f>
        <v>1380.4</v>
      </c>
      <c r="E62" s="18" t="s">
        <v>376</v>
      </c>
    </row>
    <row r="63" spans="1:5" x14ac:dyDescent="0.2">
      <c r="A63" s="4" t="s">
        <v>379</v>
      </c>
      <c r="B63" s="18" t="s">
        <v>380</v>
      </c>
      <c r="C63" s="26">
        <f>$C$61-$C$62</f>
        <v>97219.6</v>
      </c>
      <c r="E63" s="18" t="s">
        <v>381</v>
      </c>
    </row>
    <row r="64" spans="1:5" ht="39" x14ac:dyDescent="0.2">
      <c r="A64" s="4" t="s">
        <v>382</v>
      </c>
      <c r="B64" s="18" t="s">
        <v>383</v>
      </c>
      <c r="C64" s="26">
        <f>IF($C$47="own_desk",$C$36*$C$40,IF($C$47="market_plus_pct",$C$36*$C$40*(1-$C$42),$C$36*$C$41))</f>
        <v>100000</v>
      </c>
      <c r="E64" s="18" t="s">
        <v>384</v>
      </c>
    </row>
    <row r="65" spans="1:5" x14ac:dyDescent="0.2">
      <c r="A65" s="4" t="s">
        <v>385</v>
      </c>
      <c r="B65" s="18" t="s">
        <v>386</v>
      </c>
      <c r="C65" s="26">
        <f>$C$36*$C$40-$C$64</f>
        <v>0</v>
      </c>
      <c r="E65" s="18" t="s">
        <v>381</v>
      </c>
    </row>
    <row r="66" spans="1:5" x14ac:dyDescent="0.2">
      <c r="A66" s="4" t="s">
        <v>387</v>
      </c>
      <c r="B66" s="18" t="s">
        <v>388</v>
      </c>
      <c r="C66" s="26">
        <f>$C$64-$C$63</f>
        <v>2780.3999999999942</v>
      </c>
      <c r="E66" s="18" t="s">
        <v>389</v>
      </c>
    </row>
    <row r="67" spans="1:5" x14ac:dyDescent="0.2">
      <c r="A67" s="4" t="s">
        <v>390</v>
      </c>
      <c r="B67" s="18" t="s">
        <v>391</v>
      </c>
      <c r="C67" s="27">
        <f>IF($C$36*$C$40=0,0,$C$66/($C$36*$C$40))</f>
        <v>2.7803999999999943E-2</v>
      </c>
      <c r="E67" s="18" t="s">
        <v>381</v>
      </c>
    </row>
    <row r="68" spans="1:5" ht="26" x14ac:dyDescent="0.2">
      <c r="A68" s="4" t="s">
        <v>392</v>
      </c>
      <c r="B68" s="18" t="s">
        <v>393</v>
      </c>
      <c r="C68" s="7" t="str">
        <f>IF($C$67&lt;$C$51,"YES — Finance approval","no")</f>
        <v>no</v>
      </c>
      <c r="E68" s="18" t="s">
        <v>394</v>
      </c>
    </row>
    <row r="69" spans="1:5" ht="26" x14ac:dyDescent="0.2">
      <c r="A69" s="4" t="s">
        <v>395</v>
      </c>
      <c r="B69" s="18" t="s">
        <v>396</v>
      </c>
      <c r="C69" s="26">
        <f>IF($C$49="round_up_unit",CEILING($C$63,$C$50),IF($C$49="nearest_unit",MROUND($C$63,$C$50),IF($C$49="nearest_n",MROUND($C$63,$C$50),FLOOR($C$63,$C$50))))</f>
        <v>97219</v>
      </c>
      <c r="E69" s="18" t="s">
        <v>397</v>
      </c>
    </row>
    <row r="70" spans="1:5" ht="28" x14ac:dyDescent="0.2">
      <c r="A70" s="4" t="s">
        <v>398</v>
      </c>
      <c r="B70" s="18" t="s">
        <v>399</v>
      </c>
      <c r="C70" s="26">
        <f>$C$63-$C$69</f>
        <v>0.60000000000582077</v>
      </c>
      <c r="E70" s="18" t="s">
        <v>400</v>
      </c>
    </row>
    <row r="71" spans="1:5" ht="26" x14ac:dyDescent="0.2">
      <c r="A71" s="4" t="s">
        <v>401</v>
      </c>
      <c r="B71" s="18" t="s">
        <v>402</v>
      </c>
      <c r="C71" s="25">
        <f>IF($C$52="",$C$59,$C$60/(1-$C$52))</f>
        <v>1</v>
      </c>
      <c r="E71" s="18" t="s">
        <v>356</v>
      </c>
    </row>
    <row r="72" spans="1:5" x14ac:dyDescent="0.2">
      <c r="A72" s="4" t="s">
        <v>403</v>
      </c>
      <c r="B72" s="18" t="s">
        <v>404</v>
      </c>
      <c r="C72" s="26">
        <f>IF($C$53="rebate",$C$65*$C$54,0)</f>
        <v>0</v>
      </c>
      <c r="E72" s="18" t="s">
        <v>405</v>
      </c>
    </row>
    <row r="73" spans="1:5" x14ac:dyDescent="0.2">
      <c r="A73" s="4" t="s">
        <v>406</v>
      </c>
      <c r="B73" s="18" t="s">
        <v>407</v>
      </c>
      <c r="C73" s="26">
        <f>$C$36*$C$40*$C$55</f>
        <v>0</v>
      </c>
      <c r="E73" s="18" t="s">
        <v>408</v>
      </c>
    </row>
    <row r="74" spans="1:5" ht="28" x14ac:dyDescent="0.2">
      <c r="A74" s="4" t="s">
        <v>409</v>
      </c>
      <c r="B74" s="18" t="s">
        <v>410</v>
      </c>
      <c r="C74" s="26">
        <f>ROUND($C$63+$C$65+$C$66-$C$36*$C$40,6)</f>
        <v>0</v>
      </c>
      <c r="E74" s="18" t="s">
        <v>411</v>
      </c>
    </row>
    <row r="76" spans="1:5" x14ac:dyDescent="0.2">
      <c r="A76" s="16" t="s">
        <v>412</v>
      </c>
    </row>
    <row r="77" spans="1:5" x14ac:dyDescent="0.2">
      <c r="A77" s="17" t="s">
        <v>413</v>
      </c>
      <c r="B77" s="17" t="s">
        <v>414</v>
      </c>
      <c r="C77" s="17" t="s">
        <v>415</v>
      </c>
      <c r="D77" s="17" t="s">
        <v>416</v>
      </c>
      <c r="E77" s="17" t="s">
        <v>417</v>
      </c>
    </row>
    <row r="78" spans="1:5" x14ac:dyDescent="0.2">
      <c r="A78" s="7" t="str">
        <f>"CL."&amp;$C$39&amp;"."&amp;$C$37&amp;".COLLECTED"</f>
        <v>CL.ALI.EUR.COLLECTED</v>
      </c>
      <c r="B78" s="7" t="s">
        <v>418</v>
      </c>
      <c r="C78" s="26">
        <f>$C$36</f>
        <v>100000</v>
      </c>
      <c r="D78" s="19" t="s">
        <v>419</v>
      </c>
      <c r="E78" s="19" t="s">
        <v>420</v>
      </c>
    </row>
    <row r="79" spans="1:5" x14ac:dyDescent="0.2">
      <c r="A79" s="7" t="str">
        <f>"CL.PROJECT."&amp;$C$37&amp;".PAYABLE"</f>
        <v>CL.PROJECT.EUR.PAYABLE</v>
      </c>
      <c r="B79" s="7" t="s">
        <v>421</v>
      </c>
      <c r="C79" s="26">
        <f>$C$36</f>
        <v>100000</v>
      </c>
      <c r="D79" s="19" t="s">
        <v>419</v>
      </c>
      <c r="E79" s="19" t="s">
        <v>420</v>
      </c>
    </row>
    <row r="80" spans="1:5" x14ac:dyDescent="0.2">
      <c r="A80" s="7" t="str">
        <f>"CL.PROJECT."&amp;$C$37&amp;".PAYABLE"</f>
        <v>CL.PROJECT.EUR.PAYABLE</v>
      </c>
      <c r="B80" s="7" t="s">
        <v>418</v>
      </c>
      <c r="C80" s="26">
        <f>$C$36</f>
        <v>100000</v>
      </c>
      <c r="D80" s="19" t="s">
        <v>419</v>
      </c>
      <c r="E80" s="19" t="s">
        <v>422</v>
      </c>
    </row>
    <row r="81" spans="1:5" x14ac:dyDescent="0.2">
      <c r="A81" s="7" t="str">
        <f>"CL."&amp;$C$39&amp;"."&amp;$C$37&amp;".COLLECTED"</f>
        <v>CL.ALI.EUR.COLLECTED</v>
      </c>
      <c r="B81" s="7" t="s">
        <v>421</v>
      </c>
      <c r="C81" s="26">
        <f>$C$36</f>
        <v>100000</v>
      </c>
      <c r="D81" s="19" t="s">
        <v>419</v>
      </c>
      <c r="E81" s="19" t="s">
        <v>422</v>
      </c>
    </row>
    <row r="82" spans="1:5" x14ac:dyDescent="0.2">
      <c r="A82" s="7" t="str">
        <f>"CL."&amp;$C$39&amp;"."&amp;$C$38&amp;".DUE"</f>
        <v>CL.ALI.EUR.DUE</v>
      </c>
      <c r="B82" s="7" t="s">
        <v>418</v>
      </c>
      <c r="C82" s="26">
        <f>$C$63</f>
        <v>97219.6</v>
      </c>
      <c r="D82" s="19" t="s">
        <v>423</v>
      </c>
      <c r="E82" s="19" t="s">
        <v>424</v>
      </c>
    </row>
    <row r="83" spans="1:5" x14ac:dyDescent="0.2">
      <c r="A83" s="7" t="str">
        <f>"CO."&amp;$C$39&amp;"."&amp;$C$38&amp;".POOL"</f>
        <v>CO.ALI.EUR.POOL</v>
      </c>
      <c r="B83" s="7" t="s">
        <v>418</v>
      </c>
      <c r="C83" s="26">
        <f>IF($C$53="rebate",0,$C$66)</f>
        <v>2780.3999999999942</v>
      </c>
      <c r="D83" s="19" t="s">
        <v>425</v>
      </c>
      <c r="E83" s="19" t="s">
        <v>426</v>
      </c>
    </row>
    <row r="84" spans="1:5" x14ac:dyDescent="0.2">
      <c r="A84" s="7" t="str">
        <f>"CO."&amp;$C$39&amp;"."&amp;$C$38&amp;".REBATE_RECEIVABLE"</f>
        <v>CO.ALI.EUR.REBATE_RECEIVABLE</v>
      </c>
      <c r="B84" s="7" t="s">
        <v>418</v>
      </c>
      <c r="C84" s="26">
        <f>$C$72</f>
        <v>0</v>
      </c>
      <c r="D84" s="19" t="s">
        <v>425</v>
      </c>
      <c r="E84" s="19" t="s">
        <v>427</v>
      </c>
    </row>
    <row r="85" spans="1:5" x14ac:dyDescent="0.2">
      <c r="A85" s="7" t="str">
        <f>"CL.PROJECT."&amp;$C$38&amp;".PAYABLE"</f>
        <v>CL.PROJECT.EUR.PAYABLE</v>
      </c>
      <c r="B85" s="7" t="s">
        <v>421</v>
      </c>
      <c r="C85" s="26">
        <f>$C$63</f>
        <v>97219.6</v>
      </c>
      <c r="D85" s="19" t="s">
        <v>419</v>
      </c>
      <c r="E85" s="19" t="s">
        <v>424</v>
      </c>
    </row>
    <row r="86" spans="1:5" x14ac:dyDescent="0.2">
      <c r="A86" s="7" t="str">
        <f>"CO.NONE."&amp;$C$38&amp;".EARN_GROSS"</f>
        <v>CO.NONE.EUR.EARN_GROSS</v>
      </c>
      <c r="B86" s="7" t="s">
        <v>421</v>
      </c>
      <c r="C86" s="26">
        <f>$C$66+$C$72</f>
        <v>2780.3999999999942</v>
      </c>
      <c r="D86" s="19" t="s">
        <v>425</v>
      </c>
      <c r="E86" s="19" t="s">
        <v>428</v>
      </c>
    </row>
    <row r="87" spans="1:5" x14ac:dyDescent="0.2">
      <c r="A87" s="7" t="str">
        <f>"CL."&amp;$C$39&amp;"."&amp;$C$38&amp;".INTRANSIT"</f>
        <v>CL.ALI.EUR.INTRANSIT</v>
      </c>
      <c r="B87" s="7" t="s">
        <v>418</v>
      </c>
      <c r="C87" s="26">
        <f>$C$69</f>
        <v>97219</v>
      </c>
      <c r="D87" s="19" t="s">
        <v>419</v>
      </c>
      <c r="E87" s="19" t="s">
        <v>429</v>
      </c>
    </row>
    <row r="88" spans="1:5" x14ac:dyDescent="0.2">
      <c r="A88" s="7" t="str">
        <f>"CL."&amp;$C$39&amp;"."&amp;$C$38&amp;".DUE"</f>
        <v>CL.ALI.EUR.DUE</v>
      </c>
      <c r="B88" s="7" t="s">
        <v>421</v>
      </c>
      <c r="C88" s="26">
        <f>$C$69</f>
        <v>97219</v>
      </c>
      <c r="D88" s="19" t="s">
        <v>419</v>
      </c>
      <c r="E88" s="19" t="s">
        <v>430</v>
      </c>
    </row>
    <row r="89" spans="1:5" x14ac:dyDescent="0.2">
      <c r="A89" s="7" t="str">
        <f>"CL.PROJECT."&amp;$C$38&amp;".PAYABLE"</f>
        <v>CL.PROJECT.EUR.PAYABLE</v>
      </c>
      <c r="B89" s="7" t="s">
        <v>418</v>
      </c>
      <c r="C89" s="26">
        <f>$C$69</f>
        <v>97219</v>
      </c>
      <c r="D89" s="19" t="s">
        <v>419</v>
      </c>
      <c r="E89" s="19" t="s">
        <v>431</v>
      </c>
    </row>
    <row r="90" spans="1:5" x14ac:dyDescent="0.2">
      <c r="A90" s="7" t="str">
        <f>"CL."&amp;$C$39&amp;"."&amp;$C$38&amp;".INTRANSIT"</f>
        <v>CL.ALI.EUR.INTRANSIT</v>
      </c>
      <c r="B90" s="7" t="s">
        <v>421</v>
      </c>
      <c r="C90" s="26">
        <f>$C$69</f>
        <v>97219</v>
      </c>
      <c r="D90" s="19" t="s">
        <v>419</v>
      </c>
      <c r="E90" s="19" t="s">
        <v>431</v>
      </c>
    </row>
    <row r="91" spans="1:5" x14ac:dyDescent="0.2">
      <c r="A91" s="7" t="str">
        <f>"CO.NONE."&amp;$C$38&amp;".EARN_GROSS"</f>
        <v>CO.NONE.EUR.EARN_GROSS</v>
      </c>
      <c r="B91" s="7" t="s">
        <v>418</v>
      </c>
      <c r="C91" s="26">
        <f>$C$73</f>
        <v>0</v>
      </c>
      <c r="D91" s="19" t="s">
        <v>432</v>
      </c>
      <c r="E91" s="19" t="s">
        <v>433</v>
      </c>
    </row>
    <row r="92" spans="1:5" x14ac:dyDescent="0.2">
      <c r="A92" s="7" t="str">
        <f>"CO.INTRODUCER."&amp;$C$38&amp;".REFERRAL_PAYABLE"</f>
        <v>CO.INTRODUCER.EUR.REFERRAL_PAYABLE</v>
      </c>
      <c r="B92" s="7" t="s">
        <v>421</v>
      </c>
      <c r="C92" s="26">
        <f>$C$73</f>
        <v>0</v>
      </c>
      <c r="D92" s="19" t="s">
        <v>432</v>
      </c>
      <c r="E92" s="19" t="s">
        <v>434</v>
      </c>
    </row>
    <row r="93" spans="1:5" ht="30" customHeight="1" x14ac:dyDescent="0.2">
      <c r="A93" s="28" t="s">
        <v>435</v>
      </c>
      <c r="C93" s="29">
        <f>ROUND(SUMIF($B$82:$B$92,"Dr",$C$82:$C$92)-SUMIF($B$82:$B$92,"Cr",$C$82:$C$92),6)</f>
        <v>0</v>
      </c>
      <c r="E93" s="18" t="s">
        <v>436</v>
      </c>
    </row>
    <row r="95" spans="1:5" x14ac:dyDescent="0.2">
      <c r="A95" s="16" t="s">
        <v>437</v>
      </c>
    </row>
    <row r="96" spans="1:5" x14ac:dyDescent="0.2">
      <c r="A96" s="17" t="s">
        <v>438</v>
      </c>
      <c r="B96" s="17" t="s">
        <v>439</v>
      </c>
      <c r="C96" s="17" t="s">
        <v>440</v>
      </c>
      <c r="D96" s="17" t="s">
        <v>441</v>
      </c>
      <c r="E96" s="17" t="s">
        <v>442</v>
      </c>
    </row>
    <row r="97" spans="1:5" ht="30" customHeight="1" x14ac:dyDescent="0.2">
      <c r="A97" s="4" t="s">
        <v>613</v>
      </c>
      <c r="B97" s="20">
        <v>97219.6</v>
      </c>
      <c r="C97" s="26">
        <f>$C$63</f>
        <v>97219.6</v>
      </c>
      <c r="D97" s="29">
        <f>ROUND(C97-B97,2)</f>
        <v>0</v>
      </c>
      <c r="E97" s="18" t="s">
        <v>614</v>
      </c>
    </row>
    <row r="99" spans="1:5" x14ac:dyDescent="0.2">
      <c r="A99" s="16" t="s">
        <v>445</v>
      </c>
    </row>
    <row r="100" spans="1:5" ht="31.5" customHeight="1" x14ac:dyDescent="0.2">
      <c r="A100" s="14" t="s">
        <v>446</v>
      </c>
      <c r="B100" s="1" t="s">
        <v>615</v>
      </c>
      <c r="C100" s="1"/>
      <c r="D100" s="1"/>
      <c r="E100" s="1"/>
    </row>
    <row r="101" spans="1:5" ht="31.5" customHeight="1" x14ac:dyDescent="0.2">
      <c r="A101" s="14" t="s">
        <v>446</v>
      </c>
      <c r="B101" s="1" t="s">
        <v>616</v>
      </c>
      <c r="C101" s="1"/>
      <c r="D101" s="1"/>
      <c r="E101" s="1"/>
    </row>
  </sheetData>
  <mergeCells count="2">
    <mergeCell ref="B100:E100"/>
    <mergeCell ref="B101:E101"/>
  </mergeCells>
  <pageMargins left="0.75" right="0.75" top="1" bottom="1"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43735-E6CB-9A4F-90FC-43C6A08CF18E}">
  <dimension ref="A1:C15"/>
  <sheetViews>
    <sheetView workbookViewId="0">
      <selection activeCell="A19" sqref="A19"/>
    </sheetView>
  </sheetViews>
  <sheetFormatPr baseColWidth="10" defaultRowHeight="15" x14ac:dyDescent="0.2"/>
  <cols>
    <col min="1" max="1" width="27.83203125" style="47" bestFit="1" customWidth="1"/>
    <col min="2" max="2" width="14.1640625" style="47" customWidth="1"/>
    <col min="3" max="3" width="167.6640625" style="48" customWidth="1"/>
    <col min="4" max="16384" width="10.83203125" style="47"/>
  </cols>
  <sheetData>
    <row r="1" spans="1:3" x14ac:dyDescent="0.2">
      <c r="A1" s="47" t="s">
        <v>697</v>
      </c>
    </row>
    <row r="2" spans="1:3" x14ac:dyDescent="0.2">
      <c r="A2" s="47" t="s">
        <v>698</v>
      </c>
    </row>
    <row r="4" spans="1:3" ht="16" x14ac:dyDescent="0.2">
      <c r="A4" s="47" t="s">
        <v>696</v>
      </c>
      <c r="B4" s="47" t="s">
        <v>705</v>
      </c>
      <c r="C4" s="48" t="s">
        <v>697</v>
      </c>
    </row>
    <row r="5" spans="1:3" ht="304" x14ac:dyDescent="0.2">
      <c r="A5" s="47" t="s">
        <v>618</v>
      </c>
      <c r="B5" s="47" t="s">
        <v>618</v>
      </c>
      <c r="C5" s="49" t="s">
        <v>706</v>
      </c>
    </row>
    <row r="6" spans="1:3" ht="288" x14ac:dyDescent="0.2">
      <c r="A6" s="47" t="s">
        <v>700</v>
      </c>
      <c r="B6" s="47" t="s">
        <v>618</v>
      </c>
      <c r="C6" s="49" t="s">
        <v>707</v>
      </c>
    </row>
    <row r="7" spans="1:3" ht="64" x14ac:dyDescent="0.2">
      <c r="A7" s="47" t="s">
        <v>699</v>
      </c>
      <c r="B7" s="47" t="s">
        <v>618</v>
      </c>
      <c r="C7" s="48" t="s">
        <v>708</v>
      </c>
    </row>
    <row r="8" spans="1:3" ht="395" x14ac:dyDescent="0.2">
      <c r="A8" s="47" t="s">
        <v>701</v>
      </c>
      <c r="B8" s="47" t="s">
        <v>701</v>
      </c>
      <c r="C8" s="48" t="s">
        <v>709</v>
      </c>
    </row>
    <row r="9" spans="1:3" ht="320" x14ac:dyDescent="0.2">
      <c r="A9" s="47" t="s">
        <v>702</v>
      </c>
      <c r="B9" s="47" t="s">
        <v>702</v>
      </c>
      <c r="C9" s="48" t="s">
        <v>714</v>
      </c>
    </row>
    <row r="10" spans="1:3" ht="48" x14ac:dyDescent="0.2">
      <c r="A10" s="47" t="s">
        <v>710</v>
      </c>
      <c r="B10" s="47" t="s">
        <v>710</v>
      </c>
      <c r="C10" s="48" t="s">
        <v>711</v>
      </c>
    </row>
    <row r="11" spans="1:3" ht="128" x14ac:dyDescent="0.2">
      <c r="A11" s="47" t="s">
        <v>703</v>
      </c>
      <c r="B11" s="47" t="s">
        <v>703</v>
      </c>
      <c r="C11" s="48" t="s">
        <v>712</v>
      </c>
    </row>
    <row r="12" spans="1:3" ht="176" x14ac:dyDescent="0.2">
      <c r="A12" s="47" t="s">
        <v>493</v>
      </c>
      <c r="B12" s="47" t="s">
        <v>493</v>
      </c>
      <c r="C12" s="48" t="s">
        <v>713</v>
      </c>
    </row>
    <row r="13" spans="1:3" ht="16" x14ac:dyDescent="0.2">
      <c r="A13" s="47" t="s">
        <v>644</v>
      </c>
      <c r="B13" s="47" t="s">
        <v>644</v>
      </c>
      <c r="C13" s="48" t="s">
        <v>716</v>
      </c>
    </row>
    <row r="14" spans="1:3" ht="128" x14ac:dyDescent="0.2">
      <c r="A14" s="47" t="s">
        <v>645</v>
      </c>
      <c r="B14" s="47" t="s">
        <v>645</v>
      </c>
      <c r="C14" s="48" t="s">
        <v>715</v>
      </c>
    </row>
    <row r="15" spans="1:3" ht="32" x14ac:dyDescent="0.2">
      <c r="A15" s="47" t="s">
        <v>704</v>
      </c>
      <c r="B15" s="47" t="s">
        <v>704</v>
      </c>
      <c r="C15" s="48" t="s">
        <v>717</v>
      </c>
    </row>
  </sheetData>
  <pageMargins left="0.7" right="0.7" top="0.75" bottom="0.75" header="0.3" footer="0.3"/>
  <pageSetup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19C01-8198-3F43-A94B-E07DD28F0528}">
  <dimension ref="A1:B11"/>
  <sheetViews>
    <sheetView topLeftCell="A7" workbookViewId="0">
      <selection activeCell="B8" sqref="B8"/>
    </sheetView>
  </sheetViews>
  <sheetFormatPr baseColWidth="10" defaultRowHeight="15" x14ac:dyDescent="0.2"/>
  <cols>
    <col min="1" max="1" width="25.83203125" style="47" customWidth="1"/>
    <col min="2" max="2" width="107" style="47" customWidth="1"/>
    <col min="3" max="16384" width="10.83203125" style="47"/>
  </cols>
  <sheetData>
    <row r="1" spans="1:2" x14ac:dyDescent="0.2">
      <c r="A1" s="47" t="s">
        <v>723</v>
      </c>
    </row>
    <row r="2" spans="1:2" x14ac:dyDescent="0.2">
      <c r="A2" s="47" t="s">
        <v>725</v>
      </c>
      <c r="B2" s="47" t="s">
        <v>724</v>
      </c>
    </row>
    <row r="3" spans="1:2" x14ac:dyDescent="0.2">
      <c r="A3" s="50" t="s">
        <v>718</v>
      </c>
    </row>
    <row r="4" spans="1:2" ht="288" x14ac:dyDescent="0.2">
      <c r="A4" s="47" t="s">
        <v>646</v>
      </c>
      <c r="B4" s="48" t="s">
        <v>729</v>
      </c>
    </row>
    <row r="5" spans="1:2" ht="256" x14ac:dyDescent="0.2">
      <c r="A5" s="47" t="s">
        <v>313</v>
      </c>
      <c r="B5" s="48" t="s">
        <v>726</v>
      </c>
    </row>
    <row r="6" spans="1:2" ht="380" x14ac:dyDescent="0.2">
      <c r="A6" s="47" t="s">
        <v>719</v>
      </c>
      <c r="B6" s="48" t="s">
        <v>728</v>
      </c>
    </row>
    <row r="7" spans="1:2" ht="320" x14ac:dyDescent="0.2">
      <c r="A7" s="47" t="s">
        <v>720</v>
      </c>
      <c r="B7" s="48" t="s">
        <v>730</v>
      </c>
    </row>
    <row r="9" spans="1:2" x14ac:dyDescent="0.2">
      <c r="A9" s="50" t="s">
        <v>721</v>
      </c>
    </row>
    <row r="10" spans="1:2" x14ac:dyDescent="0.2">
      <c r="A10" s="47" t="s">
        <v>313</v>
      </c>
      <c r="B10" s="47" t="s">
        <v>727</v>
      </c>
    </row>
    <row r="11" spans="1:2" x14ac:dyDescent="0.2">
      <c r="A11" s="47" t="s">
        <v>722</v>
      </c>
      <c r="B11" s="47" t="s">
        <v>727</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Read me</vt:lpstr>
      <vt:lpstr>Register</vt:lpstr>
      <vt:lpstr>P01</vt:lpstr>
      <vt:lpstr>P02</vt:lpstr>
      <vt:lpstr>P03</vt:lpstr>
      <vt:lpstr>P04</vt:lpstr>
      <vt:lpstr>P05</vt:lpstr>
      <vt:lpstr>P06</vt:lpstr>
      <vt:lpstr>P07</vt:lpstr>
      <vt:lpstr>P08</vt:lpstr>
      <vt:lpstr>P09</vt:lpstr>
      <vt:lpstr>P10</vt:lpstr>
      <vt:lpstr>P11</vt:lpstr>
      <vt:lpstr>P12</vt:lpstr>
      <vt:lpstr>Project Context</vt:lpstr>
      <vt:lpstr>Payment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SP</cp:lastModifiedBy>
  <cp:revision>0</cp:revision>
  <dcterms:created xsi:type="dcterms:W3CDTF">2026-10-08T08:07:18Z</dcterms:created>
  <dcterms:modified xsi:type="dcterms:W3CDTF">2026-10-08T17:07:21Z</dcterms:modified>
  <dc:language>en-PH</dc:language>
</cp:coreProperties>
</file>