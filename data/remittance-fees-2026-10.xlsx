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<sst xmlns="http://schemas.openxmlformats.org/spreadsheetml/2006/main" count="354" uniqueCount="161">
  <si>
    <t>Client</t>
  </si>
  <si>
    <t>Customer-Facing Calculation</t>
  </si>
  <si>
    <t>Internal Calculation</t>
  </si>
  <si>
    <t>Total Fees Charged</t>
  </si>
  <si>
    <t>Partner/Agent</t>
  </si>
  <si>
    <t>Partner/Agent Cost</t>
  </si>
  <si>
    <t>NPL Margin (approx)</t>
  </si>
  <si>
    <t>Exchange Pair</t>
  </si>
  <si>
    <t>Earnings Share</t>
  </si>
  <si>
    <t>Note</t>
  </si>
  <si>
    <t>BF-Seven</t>
  </si>
  <si>
    <t>For USDT 661,060:
Rate: 0.857097
Fee: 1%
Amount: EUR 560,927</t>
  </si>
  <si>
    <t>USDT received * Market rate -1%</t>
  </si>
  <si>
    <t>Jeton</t>
  </si>
  <si>
    <t>0.40% (NPL gets this as referral commission)</t>
  </si>
  <si>
    <t>USDT &gt; EUR</t>
  </si>
  <si>
    <t>none</t>
  </si>
  <si>
    <t>Fixed Fee</t>
  </si>
  <si>
    <t>"For USDT 195,000:
Fee: 0.80%
Amount: EUR 166,009.55"</t>
  </si>
  <si>
    <t>USDT received * Market rate - 0.8%</t>
  </si>
  <si>
    <t>Aquanow</t>
  </si>
  <si>
    <t>0.30% (NPL gets this as referral commission)</t>
  </si>
  <si>
    <t>For USDT 661,060:
Rate: 0.857097
Fee: 1%
Amount: EUR 560,927
Note - source rate is manually recomputed to allow the sender-facing calculation to land at 1%</t>
  </si>
  <si>
    <t>USDT received * Agent rate</t>
  </si>
  <si>
    <t>Ali</t>
  </si>
  <si>
    <t>BF- Arrow Wood</t>
  </si>
  <si>
    <t>For the 499,780 USDT collected:
Rate: 0.843784
Fee: 1%
Amount: EUR 417,489</t>
  </si>
  <si>
    <t>For the 400,000 USDT collected:
Rate: 0.8679402
Fee: 1%
Amount: EUR 343,704
Note - source rate is manually recomputed to allow the sender-facing calculation to land at 1%</t>
  </si>
  <si>
    <t>BF-Trade Lab</t>
  </si>
  <si>
    <t>BF-Orbit</t>
  </si>
  <si>
    <t>For the 699,000 USDT collected:
Fee: 1.25%
EUR Amount: 619,332</t>
  </si>
  <si>
    <t>BF-Blue Sapphire</t>
  </si>
  <si>
    <t>For the 200,000 USDT collected:
Rate: 0.838313
Fee: 1%
Amount: EUR 165,986</t>
  </si>
  <si>
    <t>For USDT 195,000:
Fee: 0.80%
Amount: EUR 166,009.55</t>
  </si>
  <si>
    <t>USDT received * market rate -0.8%</t>
  </si>
  <si>
    <t>For USDT 1,000,000:
Rate: 0.872249
Fee: 1%
Amount: EUR 863,527
Note - source rate is manually recomputed to allow the sender-facing calculation to land at 1%</t>
  </si>
  <si>
    <t>BF-Raeen</t>
  </si>
  <si>
    <t>For the 200,000 USDT collected:
Rate: 0.8610999
Fee: 1%
Amount: EUR 170,498</t>
  </si>
  <si>
    <t>BF-Raeen (direct from downlines)</t>
  </si>
  <si>
    <t>For USDT 40,593:
Fee: 1%
Amount: EUR 34,590.11</t>
  </si>
  <si>
    <t>USDT received * Market rate -0.8%</t>
  </si>
  <si>
    <t>1% (sender pays 1%, the partner charges 0.8%, and the balance 0.2% is shared between NPL and Raeen</t>
  </si>
  <si>
    <t>0.30% (NPL gets this as referral commission)
and 
1/4 of 0.20%</t>
  </si>
  <si>
    <t>0.2% shared with Raeen (75% raeen) (25% NPL)</t>
  </si>
  <si>
    <t>For USDT 300,000:
Rate: 0.864189
Fee: 1.00%
Amount: EUR 256,664
Note - source rate is manually recomputed to allow the sender-facing calculation to land at 1%</t>
  </si>
  <si>
    <t xml:space="preserve">BF-Raeen - Sub Account </t>
  </si>
  <si>
    <t>For USDT 50,000:
Rate: 0.8650036
Fee: 4%
Amount: EUR 41,520.17</t>
  </si>
  <si>
    <t>3% shared with Raeen equally</t>
  </si>
  <si>
    <t>BF-Novi</t>
  </si>
  <si>
    <t>For the 500,000 USDT collected:
Rate: 0.865245
Fee: 0.90%
Amount: EUR 428,729</t>
  </si>
  <si>
    <t>USDT received * Market rate -0.9%</t>
  </si>
  <si>
    <t>For the 500,000 USDT collected:
Rate: 0.865245
Fee: 0.90%
Amount: EUR 428,729
Note - source rate is manually recomputed to allow the sender-facing calculation to land at 0.9%</t>
  </si>
  <si>
    <t>BF-Withdrawal 
(client sends EUR bank transfer and then takes settlement in USDT)</t>
  </si>
  <si>
    <t>For the GBP 51,000 withdrawn. Actual rate is 0.72739556
GBP Amount: GBP 51,000
Fee: 1%
USDT Amount: USDT 69,412</t>
  </si>
  <si>
    <t>EUR/GBP received * Market rate - 1%</t>
  </si>
  <si>
    <t>GBP &gt; USDT
EUR &gt; USDT</t>
  </si>
  <si>
    <t>Fee is not fixed and is subject to change, but we have charged 1% in most recent transactions.</t>
  </si>
  <si>
    <t>Evo USDT Collection</t>
  </si>
  <si>
    <r>
      <rPr>
        <rFont val="Arial"/>
        <color theme="1"/>
        <u/>
      </rPr>
      <t xml:space="preserve">Sender calculation
</t>
    </r>
    <r>
      <rPr>
        <rFont val="Arial"/>
        <color theme="1"/>
      </rPr>
      <t xml:space="preserve">USDT&gt;&gt;EUR
Market Rate: 0.888977323
Fee: 1.40%
Final Rate: 0.876531640478
USDT 29,325 = EUR 25,704
</t>
    </r>
    <r>
      <rPr>
        <rFont val="Arial"/>
        <color theme="1"/>
        <u/>
      </rPr>
      <t xml:space="preserve">Receiver calculation
</t>
    </r>
    <r>
      <rPr>
        <rFont val="Arial"/>
        <color theme="1"/>
      </rPr>
      <t>EUR 25,704 - 0.6% = 25,550</t>
    </r>
  </si>
  <si>
    <t>2.00% (sender pays 1.40% and receiver pays 0.60%)</t>
  </si>
  <si>
    <t>Fixed Fee---1.4% charged to Evo customer and 0.6% charged to Evo</t>
  </si>
  <si>
    <r>
      <rPr>
        <rFont val="Arial"/>
        <color theme="1"/>
        <u/>
      </rPr>
      <t xml:space="preserve">Sender calculation
</t>
    </r>
    <r>
      <rPr>
        <rFont val="Arial"/>
        <color theme="1"/>
      </rPr>
      <t xml:space="preserve">USDT&gt;&gt;EUR
Market Rate: 0.888977323
Fee: 1.40%
Final Rate: 0.876531640478
USDT 29,325 = EUR 25,704
</t>
    </r>
    <r>
      <rPr>
        <rFont val="Arial"/>
        <color theme="1"/>
        <u/>
      </rPr>
      <t>Receiver calculation</t>
    </r>
    <r>
      <rPr>
        <rFont val="Arial"/>
        <color theme="1"/>
      </rPr>
      <t xml:space="preserve">
EUR 25,704 - 0.6% = 25,550</t>
    </r>
  </si>
  <si>
    <t>USDT received * Market rate - 1.25%</t>
  </si>
  <si>
    <t>2.00% (sender pays 1.4% and receiver pays 0.6%)</t>
  </si>
  <si>
    <t xml:space="preserve">Jeton </t>
  </si>
  <si>
    <t>Evo USDT Collection (selected senders)</t>
  </si>
  <si>
    <r>
      <rPr>
        <rFont val="Arial"/>
        <color theme="1"/>
        <u/>
      </rPr>
      <t xml:space="preserve">Sender calculation
</t>
    </r>
    <r>
      <rPr>
        <rFont val="Arial"/>
        <color theme="1"/>
      </rPr>
      <t xml:space="preserve">EUR&gt;&gt;USDT
Market Rate: 1.15580212667591 (1 ÷ 0.8652)
Fee: 1.00%
Final Rate: 1.16736014794267
EUR 50,000 = USDT 58,368
</t>
    </r>
    <r>
      <rPr>
        <rFont val="Arial"/>
        <color theme="1"/>
        <u/>
      </rPr>
      <t xml:space="preserve">Receiver calculation
</t>
    </r>
    <r>
      <rPr>
        <rFont val="Arial"/>
        <color theme="1"/>
      </rPr>
      <t>EUR 50,000 - 0.6% = 49,700</t>
    </r>
  </si>
  <si>
    <t>1.60% (sender pays 1.00% and receiver pays 0.6%)</t>
  </si>
  <si>
    <t>For select customers (GTSI ,HG, Komodo)--but haven't transacted with us for some time</t>
  </si>
  <si>
    <r>
      <rPr>
        <rFont val="Arial"/>
        <color theme="1"/>
        <u/>
      </rPr>
      <t xml:space="preserve">Sender calculation
</t>
    </r>
    <r>
      <rPr>
        <rFont val="Arial"/>
        <color theme="1"/>
      </rPr>
      <t xml:space="preserve">EUR&gt;&gt;USDT
Market Rate: 1.15580212667591 (1 ÷ 0.8652)
Fee: 1.00%
Final Rate: 1.16736014794267
EUR 50,000 = USDT 58,368
</t>
    </r>
    <r>
      <rPr>
        <rFont val="Arial"/>
        <color theme="1"/>
        <u/>
      </rPr>
      <t xml:space="preserve">Receiver calculation
</t>
    </r>
    <r>
      <rPr>
        <rFont val="Arial"/>
        <color theme="1"/>
      </rPr>
      <t>EUR 50,000 - 0.6% = 49,700</t>
    </r>
  </si>
  <si>
    <t>Evolution CNY Collection</t>
  </si>
  <si>
    <r>
      <rPr>
        <rFont val="Arial"/>
        <color theme="1"/>
        <u/>
      </rPr>
      <t xml:space="preserve">Sender calculation
</t>
    </r>
    <r>
      <rPr>
        <rFont val="Arial"/>
        <color theme="1"/>
      </rPr>
      <t xml:space="preserve">EUR &gt; CNY = 8.5193784
EUR 70,427.67 = CNY 600,000 (rounded off)
</t>
    </r>
    <r>
      <rPr>
        <rFont val="Arial"/>
        <color theme="1"/>
        <u/>
      </rPr>
      <t xml:space="preserve">Receiver calculation
</t>
    </r>
    <r>
      <rPr>
        <rFont val="Arial"/>
        <color theme="1"/>
      </rPr>
      <t>EUR 70,427 - 2.5% = 68,666</t>
    </r>
  </si>
  <si>
    <t>3.5%-5.5%</t>
  </si>
  <si>
    <t>1%-1.5%</t>
  </si>
  <si>
    <t>CNY &gt; EUR</t>
  </si>
  <si>
    <t>Fees change based on agent cost, but on average it is 6.75%---2.5% is charged to Evo balance will be borne by customer</t>
  </si>
  <si>
    <t>Evolution PHP, THB, SGD, HKD</t>
  </si>
  <si>
    <r>
      <rPr>
        <rFont val="Arial"/>
        <color theme="1"/>
        <u/>
      </rPr>
      <t xml:space="preserve">Sender calculation
</t>
    </r>
    <r>
      <rPr>
        <rFont val="Arial"/>
        <color theme="1"/>
      </rPr>
      <t xml:space="preserve">EUR &gt; PHP = 72.503792
EUR 100,000 = PHP 7,250,000
</t>
    </r>
    <r>
      <rPr>
        <rFont val="Arial"/>
        <color theme="1"/>
        <u/>
      </rPr>
      <t>Receiver calculation</t>
    </r>
    <r>
      <rPr>
        <rFont val="Arial"/>
        <color theme="1"/>
      </rPr>
      <t xml:space="preserve">
EUR 100,000- 1.6% = 98,400</t>
    </r>
  </si>
  <si>
    <t>1.5%-2.5%</t>
  </si>
  <si>
    <t>0.7%-1.7%</t>
  </si>
  <si>
    <t>PHP &gt; EUR 
THB &gt; EUR 
SGD &gt; EUR
HKD &gt; EUR</t>
  </si>
  <si>
    <t>Fixed Fee---1.6% charged to Evo customer and 1.6% charged to Evolution. Among these pairs only PHP&gt;EUR has been active recently (in 2025).</t>
  </si>
  <si>
    <t>Evolution USD, EUR, GBP (bank transfers)</t>
  </si>
  <si>
    <t>no recent data</t>
  </si>
  <si>
    <t>USD &gt; EUR
EUR &gt; EUR
GBP &gt; EUR</t>
  </si>
  <si>
    <t>Fixed Fee---1.4% charged to Evo customer and 1.4% charged to Evolution. None of these pairs have been executed in the past couple of years.</t>
  </si>
  <si>
    <t>Evolution USD, AED (cash in Dubai)</t>
  </si>
  <si>
    <t>AED (cash) &gt; EUR
USD (cash) &gt; EUR</t>
  </si>
  <si>
    <t>Fixed Fee---2.25% charged to Evo customer and 2.25% charged to Evolution. None of these pairs have been executed in the past couple of years.</t>
  </si>
  <si>
    <t>66 Group Remittance INR</t>
  </si>
  <si>
    <t>USD&gt;&gt;INR
XE Market Rate: 90.83911443
Fee: 7.00%
Final Rate: 97.19785244
USD 23,960.18 x 97.1978524401 = INR 2,328,878.04
--- Rounded off to INR 2,329,000</t>
  </si>
  <si>
    <t>INR received * Agent rate</t>
  </si>
  <si>
    <t>INR &gt; USD</t>
  </si>
  <si>
    <t>Customer-facing fees are not fixed and are subject to change every transaction, but on average it is 6%. also min margin expected is 0.5%</t>
  </si>
  <si>
    <t>66 Group Remittance USD</t>
  </si>
  <si>
    <t>Market Rate: 1.00041 (1/0.99959)
Fee: 1.50%
Final Rate: 1.01541632
USD 23,960.18 x 1.01541632 = USDT 24,329.56
--- Rounded off to USDT 24,330</t>
  </si>
  <si>
    <t>USDT &gt; USD</t>
  </si>
  <si>
    <t>66 Group Remittance GBP</t>
  </si>
  <si>
    <t>GBP&gt;&gt;USDT = 1.354309
GBP 25,000 x  1.354309 = USDT 33,858</t>
  </si>
  <si>
    <t>USDT &gt; GBP</t>
  </si>
  <si>
    <t>GDC (up to $500K monthly volume)</t>
  </si>
  <si>
    <t>USD 84,482.00 + 2.5% = USDT 86,594</t>
  </si>
  <si>
    <t>GDC (for $500K-1M monthly volume)</t>
  </si>
  <si>
    <t>USD 84,482.00 + 2.25% = USDT 86,383</t>
  </si>
  <si>
    <t>Fee is lowered to 2.25% if their monthly processing volume is more than USD 500,000</t>
  </si>
  <si>
    <t>Jeton JPY</t>
  </si>
  <si>
    <t>USDT&gt;&gt;JPY = 156.06
USDT 150,000 = JPY 23,409,000</t>
  </si>
  <si>
    <t>USDT &gt; JPY</t>
  </si>
  <si>
    <t>Fee changes every transaction, but on average it is 1%</t>
  </si>
  <si>
    <t>Kingdom</t>
  </si>
  <si>
    <t>USD 50,000 + 0.9% = USDT 50,540</t>
  </si>
  <si>
    <t>Working Lab</t>
  </si>
  <si>
    <t>USD 10,000 - 0.75% = USDT 9,925</t>
  </si>
  <si>
    <t>USD &gt; USDT</t>
  </si>
  <si>
    <t>Fee is not fixed and changes every transaction, but on average it is 0.75%</t>
  </si>
  <si>
    <t>27 Group Remittance Collection for Game Reseller</t>
  </si>
  <si>
    <r>
      <rPr>
        <rFont val="Arial"/>
        <color theme="1"/>
        <u/>
      </rPr>
      <t xml:space="preserve">Customer Collection:
Advance Payment:
</t>
    </r>
    <r>
      <rPr>
        <rFont val="Arial"/>
        <b/>
        <color theme="1"/>
      </rPr>
      <t xml:space="preserve">THB&gt;&gt;EUR
</t>
    </r>
    <r>
      <rPr>
        <rFont val="Arial"/>
        <color theme="1"/>
      </rPr>
      <t xml:space="preserve">Market Rate: 0.0259463782412186
Fee: 2%
Updated Rate: 0.02542745
THB 17,000,000 x 0.02542745 = EUR 432,266.66
--- Rounded off to </t>
    </r>
    <r>
      <rPr>
        <rFont val="Arial"/>
        <b/>
        <color theme="1"/>
      </rPr>
      <t xml:space="preserve">EUR 432,267
THB&gt;&gt;USDT
</t>
    </r>
    <r>
      <rPr>
        <rFont val="Arial"/>
        <color theme="1"/>
      </rPr>
      <t xml:space="preserve">Market Rate: 0.0297503941927231 (1 ÷ 33.613)
Agent Fee: 0.6414425066510566%
Final Rate: 0.0295595625184747 (1 ÷ 33.83)
THB 17,000,000 x 0.0295595625184747 = </t>
    </r>
    <r>
      <rPr>
        <rFont val="Arial"/>
        <b/>
        <color theme="1"/>
      </rPr>
      <t xml:space="preserve">USDT 502,513
</t>
    </r>
    <r>
      <rPr>
        <rFont val="Arial"/>
        <color theme="1"/>
        <u/>
      </rPr>
      <t xml:space="preserve">
Balance Invoice Clearance:
</t>
    </r>
    <r>
      <rPr>
        <rFont val="Arial"/>
        <b/>
        <color theme="1"/>
      </rPr>
      <t>EUR&gt;&gt;THB</t>
    </r>
    <r>
      <rPr>
        <rFont val="Arial"/>
        <color theme="1"/>
      </rPr>
      <t xml:space="preserve">
Market Rate: 38.13570206
Fee: 2.00%
Final Rate: 38.8984161012
EUR 329,408 x 38.8984161012 = THB 12,813,449.45
---Rounded Off to </t>
    </r>
    <r>
      <rPr>
        <rFont val="Arial"/>
        <b/>
        <color theme="1"/>
      </rPr>
      <t>THB 12,813,000</t>
    </r>
    <r>
      <rPr>
        <rFont val="Arial"/>
        <color theme="1"/>
      </rPr>
      <t xml:space="preserve">
</t>
    </r>
    <r>
      <rPr>
        <rFont val="Arial"/>
        <b/>
        <color theme="1"/>
      </rPr>
      <t xml:space="preserve">THB &gt;&gt; USDT
</t>
    </r>
    <r>
      <rPr>
        <rFont val="Arial"/>
        <color theme="1"/>
      </rPr>
      <t xml:space="preserve">Market Rate: 0.0303508558941362 (1 ÷ 32.948)
Agent Fee: 0.729135281711311%
Final Rate: 0.0301295570955107 (1 ÷ 33.19)
THB 12,813,000 x 0.0301295570955107 = </t>
    </r>
    <r>
      <rPr>
        <rFont val="Arial"/>
        <b/>
        <color theme="1"/>
      </rPr>
      <t>USDT 386,050</t>
    </r>
    <r>
      <rPr>
        <rFont val="Arial"/>
        <color theme="1"/>
      </rPr>
      <t xml:space="preserve">
===
===
===
</t>
    </r>
    <r>
      <rPr>
        <rFont val="Arial"/>
        <color theme="1"/>
        <u/>
      </rPr>
      <t xml:space="preserve">Vendor Payment:
</t>
    </r>
    <r>
      <rPr>
        <rFont val="Arial"/>
        <b/>
        <color theme="1"/>
      </rPr>
      <t>SACCO SIA (Latvia):</t>
    </r>
    <r>
      <rPr>
        <rFont val="Arial"/>
        <color theme="1"/>
      </rPr>
      <t xml:space="preserve">
EUR&gt;&gt;USDT
Market Rate: 1.148412335637132
EUR 162,000 x 1.148412335637132 = </t>
    </r>
    <r>
      <rPr>
        <rFont val="Arial"/>
        <b/>
        <color theme="1"/>
      </rPr>
      <t>USDT 186,042.80</t>
    </r>
    <r>
      <rPr>
        <rFont val="Arial"/>
        <color theme="1"/>
      </rPr>
      <t xml:space="preserve">
</t>
    </r>
    <r>
      <rPr>
        <rFont val="Arial"/>
        <b/>
        <color theme="1"/>
      </rPr>
      <t>Mitratech (QT):</t>
    </r>
    <r>
      <rPr>
        <rFont val="Arial"/>
        <color theme="1"/>
      </rPr>
      <t xml:space="preserve">
EUR&gt;&gt;USDT
Market Rate: 1.153600110032772
EUR 29,487.18 x 1.153600110032772 = </t>
    </r>
    <r>
      <rPr>
        <rFont val="Arial"/>
        <b/>
        <color theme="1"/>
      </rPr>
      <t>USDT 34,016.41</t>
    </r>
    <r>
      <rPr>
        <rFont val="Arial"/>
        <color theme="1"/>
      </rPr>
      <t xml:space="preserve">
</t>
    </r>
    <r>
      <rPr>
        <rFont val="Arial"/>
        <b/>
        <color theme="1"/>
      </rPr>
      <t>EZ-EVO (Samino):</t>
    </r>
    <r>
      <rPr>
        <rFont val="Arial"/>
        <color theme="1"/>
      </rPr>
      <t xml:space="preserve">
USDT&gt;&gt;EUR
Market Rate: 1.154934460230491
EUR 492,665.17 x 1.154934460230491 = </t>
    </r>
    <r>
      <rPr>
        <rFont val="Arial"/>
        <b/>
        <color theme="1"/>
      </rPr>
      <t>USDT 568,995.98</t>
    </r>
    <r>
      <rPr>
        <rFont val="Arial"/>
        <color theme="1"/>
      </rPr>
      <t xml:space="preserve">
</t>
    </r>
    <r>
      <rPr>
        <rFont val="Arial"/>
        <b/>
        <color theme="1"/>
      </rPr>
      <t xml:space="preserve">BraversPlay (Darwin):
</t>
    </r>
    <r>
      <rPr>
        <rFont val="Arial"/>
        <color theme="1"/>
      </rPr>
      <t xml:space="preserve">EUR&gt;&gt;USDT
Market Rate: 1.156470452179947
EUR 13,270.28 x 1.156470452179947 = </t>
    </r>
    <r>
      <rPr>
        <rFont val="Arial"/>
        <b/>
        <color theme="1"/>
      </rPr>
      <t>USDT 15,347</t>
    </r>
    <r>
      <rPr>
        <rFont val="Arial"/>
        <color theme="1"/>
      </rPr>
      <t xml:space="preserve">
</t>
    </r>
  </si>
  <si>
    <t>THB received * agent rate</t>
  </si>
  <si>
    <t>0.5%-1.5%</t>
  </si>
  <si>
    <t>1.5%-0.5%</t>
  </si>
  <si>
    <t>THB &gt; USDT then USDT &gt;&gt; EUR</t>
  </si>
  <si>
    <t>For Game reseller projects, the EUR invoices from vendors are marked up by NPL-Reseller and a higher value invoice is issued to customers. 
Customer needs to pay an EUR invoice value (in this case customer wants to pay in THB - either as an advance payment or balance for a current invoice. The EUR&gt;THB rate for the customer is calculated with a fixed 2% fee markup
The rate from the partner is THB&gt;USDT (partner fee comparison should show that the partner rate is below 1.5%), so NPL's margin will be min 0.5%.
Once the THB is paid by customer (cash), Partner converts it to USDT. This USDT is then used to pay the vendors as per the share of invoices. Vendors provide the USDT equivalent for the EUR amount due as per market rates.</t>
  </si>
  <si>
    <t>Bala Remittance Collection for Game Reseller</t>
  </si>
  <si>
    <r>
      <rPr>
        <rFont val="Arial"/>
        <color theme="1"/>
        <u/>
      </rPr>
      <t xml:space="preserve">Customer Collection:
</t>
    </r>
    <r>
      <rPr>
        <rFont val="Arial"/>
        <color theme="1"/>
      </rPr>
      <t xml:space="preserve">EUR&gt;&gt;USDT
Market Rate: 1.14731528223956 (1 ÷ 0.8716)
Fee: 2%
Final Rate: 1.17026158788435
EUR 2,220 x 1.17026158788435 = </t>
    </r>
    <r>
      <rPr>
        <rFont val="Arial"/>
        <b/>
        <color theme="1"/>
      </rPr>
      <t>USDT 2,597.98</t>
    </r>
    <r>
      <rPr>
        <rFont val="Arial"/>
        <color theme="1"/>
      </rPr>
      <t xml:space="preserve">
--- Round-up to USDT 2,600
</t>
    </r>
    <r>
      <rPr>
        <rFont val="Arial"/>
        <color theme="1"/>
        <u/>
      </rPr>
      <t>Vendor Payment:</t>
    </r>
    <r>
      <rPr>
        <rFont val="Arial"/>
        <color theme="1"/>
      </rPr>
      <t xml:space="preserve">
</t>
    </r>
    <r>
      <rPr>
        <rFont val="Arial"/>
        <b/>
        <color theme="1"/>
      </rPr>
      <t>EZ-EVO (Samino):</t>
    </r>
    <r>
      <rPr>
        <rFont val="Arial"/>
        <color theme="1"/>
      </rPr>
      <t xml:space="preserve">
EUR&gt;&gt;USDT
Market Rate: 1.140965082766247
EUR 1,358.98 x 1.140965082766247 = </t>
    </r>
    <r>
      <rPr>
        <rFont val="Arial"/>
        <b/>
        <color theme="1"/>
      </rPr>
      <t>USDT 1,550.55</t>
    </r>
    <r>
      <rPr>
        <rFont val="Arial"/>
        <color theme="1"/>
      </rPr>
      <t xml:space="preserve">
</t>
    </r>
  </si>
  <si>
    <t>USDT received * market rate</t>
  </si>
  <si>
    <t>LT Sub (Aquanow)</t>
  </si>
  <si>
    <t>0% (NPL's own wallet)</t>
  </si>
  <si>
    <t>2% (plus/minus forex variance)</t>
  </si>
  <si>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</si>
  <si>
    <t>Fair Remittance Collection for Game Reseller</t>
  </si>
  <si>
    <r>
      <rPr>
        <rFont val="Arial"/>
        <color theme="1"/>
        <u/>
      </rPr>
      <t xml:space="preserve">Customer Collection:
</t>
    </r>
    <r>
      <rPr>
        <rFont val="Arial"/>
        <color theme="1"/>
      </rPr>
      <t xml:space="preserve">Market Rate: 1.15713955102985 (1/0.8642)
Fee: 0.75%
Final Rate: 1.16581809766258
EUR 1,079 x 1.16581809766258 = </t>
    </r>
    <r>
      <rPr>
        <rFont val="Arial"/>
        <b/>
        <color theme="1"/>
      </rPr>
      <t>USDT 1,257.92</t>
    </r>
    <r>
      <rPr>
        <rFont val="Arial"/>
        <color theme="1"/>
      </rPr>
      <t xml:space="preserve">
--- Rounded off to USDT 1,258
</t>
    </r>
    <r>
      <rPr>
        <rFont val="Arial"/>
        <color theme="1"/>
        <u/>
      </rPr>
      <t xml:space="preserve">Vendor Payment:
</t>
    </r>
    <r>
      <rPr>
        <rFont val="Arial"/>
        <color theme="1"/>
      </rPr>
      <t xml:space="preserve">
</t>
    </r>
    <r>
      <rPr>
        <rFont val="Arial"/>
        <b/>
        <color theme="1"/>
      </rPr>
      <t>EZ-EVO (Samino):</t>
    </r>
    <r>
      <rPr>
        <rFont val="Arial"/>
        <color theme="1"/>
      </rPr>
      <t xml:space="preserve">
USDT&gt;&gt;EUR
Market Rate: 1.154934460230491
EUR 697.99 x 1.154934460230491 = </t>
    </r>
    <r>
      <rPr>
        <rFont val="Arial"/>
        <b/>
        <color theme="1"/>
      </rPr>
      <t>USDT 806.13</t>
    </r>
  </si>
  <si>
    <t>0.75% (plus/minus forex variance)</t>
  </si>
  <si>
    <t>66 Group Remittance Collection for Game Reseller</t>
  </si>
  <si>
    <r>
      <rPr>
        <rFont val="Arial"/>
        <color theme="1"/>
        <u/>
      </rPr>
      <t>Customer Collection:</t>
    </r>
    <r>
      <rPr>
        <rFont val="Arial"/>
        <color theme="1"/>
      </rPr>
      <t xml:space="preserve">
Market Rate: 1.1368804 (1/0.8796)
Fee: 1.50%
Final Rate: 1.15393361
EUR 239,149 x 1.15393361 = USDT 275,962.07
--- Rounded off to </t>
    </r>
    <r>
      <rPr>
        <rFont val="Arial"/>
        <b/>
        <color theme="1"/>
      </rPr>
      <t>USDT 275,962</t>
    </r>
    <r>
      <rPr>
        <rFont val="Arial"/>
        <color theme="1"/>
      </rPr>
      <t xml:space="preserve">
</t>
    </r>
    <r>
      <rPr>
        <rFont val="Arial"/>
        <color theme="1"/>
        <u/>
      </rPr>
      <t>Vendor Payment:</t>
    </r>
    <r>
      <rPr>
        <rFont val="Arial"/>
        <color theme="1"/>
      </rPr>
      <t xml:space="preserve">
</t>
    </r>
    <r>
      <rPr>
        <rFont val="Arial"/>
        <b/>
        <color theme="1"/>
      </rPr>
      <t xml:space="preserve">Marbles:
</t>
    </r>
    <r>
      <rPr>
        <rFont val="Arial"/>
        <color theme="1"/>
      </rPr>
      <t xml:space="preserve">EUR&gt;&gt;USDT
Market Rate: 1.148038054369771
Fee: 1%
Final Rate: 1.159518434913469
EUR 53.16 x 1.159518434913469 = </t>
    </r>
    <r>
      <rPr>
        <rFont val="Arial"/>
        <b/>
        <color theme="1"/>
      </rPr>
      <t>USDT 61.64</t>
    </r>
    <r>
      <rPr>
        <rFont val="Arial"/>
        <color theme="1"/>
      </rPr>
      <t xml:space="preserve">
</t>
    </r>
    <r>
      <rPr>
        <rFont val="Arial"/>
        <b/>
        <color theme="1"/>
      </rPr>
      <t xml:space="preserve">Mitratech (QT):
</t>
    </r>
    <r>
      <rPr>
        <rFont val="Arial"/>
        <color theme="1"/>
      </rPr>
      <t xml:space="preserve">Market Rate: 1.137541599423579
EUR 19,126.04 x 1.137541599423579 = </t>
    </r>
    <r>
      <rPr>
        <rFont val="Arial"/>
        <b/>
        <color theme="1"/>
      </rPr>
      <t>USDT 21,756.67</t>
    </r>
    <r>
      <rPr>
        <rFont val="Arial"/>
        <color theme="1"/>
      </rPr>
      <t xml:space="preserve">
</t>
    </r>
    <r>
      <rPr>
        <rFont val="Arial"/>
        <b/>
        <color theme="1"/>
      </rPr>
      <t>EZ-EVO (Samino):</t>
    </r>
    <r>
      <rPr>
        <rFont val="Arial"/>
        <color theme="1"/>
      </rPr>
      <t xml:space="preserve">
EUR&gt;&gt;USDT
Market Rate: 1.134950126147394
EUR 175,789.33 x 1.134950126147394 = </t>
    </r>
    <r>
      <rPr>
        <rFont val="Arial"/>
        <b/>
        <color theme="1"/>
      </rPr>
      <t>USDT 199,512.12</t>
    </r>
  </si>
  <si>
    <t>1.5% (plus/minus forex variance)</t>
  </si>
  <si>
    <t>TripleSeven/GZ Remittance Collection for Game Reseller</t>
  </si>
  <si>
    <r>
      <rPr>
        <rFont val="Arial"/>
        <color theme="1"/>
        <u/>
      </rPr>
      <t>Customer Collection:</t>
    </r>
    <r>
      <rPr>
        <rFont val="Arial"/>
        <color theme="1"/>
      </rPr>
      <t xml:space="preserve">
Market Rate: 1.163061177 (1 ÷ 0.8598)
Fee: 1.50%
Final Rate: 1.18050709467318
EUR 4,097 x 1.18050709467318 = </t>
    </r>
    <r>
      <rPr>
        <rFont val="Arial"/>
        <b/>
        <color theme="1"/>
      </rPr>
      <t>USDT 4,837</t>
    </r>
    <r>
      <rPr>
        <rFont val="Arial"/>
        <color theme="1"/>
      </rPr>
      <t xml:space="preserve">
</t>
    </r>
    <r>
      <rPr>
        <rFont val="Arial"/>
        <color theme="1"/>
        <u/>
      </rPr>
      <t>Vendor Payment:</t>
    </r>
    <r>
      <rPr>
        <rFont val="Arial"/>
        <color theme="1"/>
      </rPr>
      <t xml:space="preserve">
</t>
    </r>
    <r>
      <rPr>
        <rFont val="Arial"/>
        <b/>
        <color theme="1"/>
      </rPr>
      <t>Mitratech (QT):</t>
    </r>
    <r>
      <rPr>
        <rFont val="Arial"/>
        <color theme="1"/>
      </rPr>
      <t xml:space="preserve">
EUR&gt;&gt;USDT
Market Rate: 1.137541599423579
EUR 3,403.10 x 1.137541599423579 = </t>
    </r>
    <r>
      <rPr>
        <rFont val="Arial"/>
        <b/>
        <color theme="1"/>
      </rPr>
      <t>USDT 3,871.17</t>
    </r>
  </si>
  <si>
    <t>Alpha Plus Remittance Collection for Game Reseller</t>
  </si>
  <si>
    <r>
      <rPr>
        <rFont val="Arial"/>
        <color theme="1"/>
        <u/>
      </rPr>
      <t xml:space="preserve">Customer Collection:
</t>
    </r>
    <r>
      <rPr>
        <rFont val="Arial"/>
        <color theme="1"/>
      </rPr>
      <t xml:space="preserve">Market Rate: 1.14784206 (1/0.8712)
Fee: 1.50%
Final Rate: 1.16505969
EUR 2,939 x 1.16505969 = USDT 3,424.11
--- Rounded off to </t>
    </r>
    <r>
      <rPr>
        <rFont val="Arial"/>
        <b/>
        <color theme="1"/>
      </rPr>
      <t>USDT 3,424</t>
    </r>
    <r>
      <rPr>
        <rFont val="Arial"/>
        <color theme="1"/>
      </rPr>
      <t xml:space="preserve">
</t>
    </r>
    <r>
      <rPr>
        <rFont val="Arial"/>
        <color theme="1"/>
        <u/>
      </rPr>
      <t>Vendor Payment:</t>
    </r>
    <r>
      <rPr>
        <rFont val="Arial"/>
        <color theme="1"/>
      </rPr>
      <t xml:space="preserve">
</t>
    </r>
    <r>
      <rPr>
        <rFont val="Arial"/>
        <b/>
        <color theme="1"/>
      </rPr>
      <t>Mitratech (QT):</t>
    </r>
    <r>
      <rPr>
        <rFont val="Arial"/>
        <color theme="1"/>
      </rPr>
      <t xml:space="preserve">
EUR&gt;&gt;USDT
Market Rate: 1.137541599423579
EUR 2,299.93 x 1.137541599423579 = </t>
    </r>
    <r>
      <rPr>
        <rFont val="Arial"/>
        <b/>
        <color theme="1"/>
      </rPr>
      <t>USDT 2,616.27</t>
    </r>
  </si>
  <si>
    <t>Remit YN</t>
  </si>
  <si>
    <t>GBP 21,216 = USDT 28,591</t>
  </si>
  <si>
    <t>0.50%-2.19%</t>
  </si>
  <si>
    <t>0.83%-1.47%</t>
  </si>
  <si>
    <t>USDT &gt; GBP
USDT &gt; EUR
USDT &gt; USD</t>
  </si>
  <si>
    <t>Fee is not fixed and changes every transaction, but on average it is 1.84%</t>
  </si>
  <si>
    <t>Remittance Peru</t>
  </si>
  <si>
    <t>USD 299,350 - 4% = USDT 287,376</t>
  </si>
  <si>
    <t>USDT received - 3%</t>
  </si>
  <si>
    <t>USD&gt;USDT</t>
  </si>
  <si>
    <t>Ad Hoc INR Cash</t>
  </si>
  <si>
    <t>INR 8,500,000 / 79.52918721</t>
  </si>
  <si>
    <t>5.5% - 7.5%</t>
  </si>
  <si>
    <t>INR &gt; USD
INR &gt; SGD
INR &gt; USDT</t>
  </si>
  <si>
    <t>AK collections (INR)</t>
  </si>
  <si>
    <t>INR 8,735,000 / 100.80</t>
  </si>
  <si>
    <t>8,735,000 / 100.80</t>
  </si>
  <si>
    <t>Internal stakeholder collection</t>
  </si>
  <si>
    <t>AK collections (USDT)</t>
  </si>
  <si>
    <t>USDT 10,000 * 0.996</t>
  </si>
  <si>
    <t>0.4% (USDT&gt;USD)
0.75%-1.5% (USDT &gt; SGD)</t>
  </si>
  <si>
    <t>USDT &gt; USD
USDT &gt; SGD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</si>
</sst>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color rgb="FFFF0000"/>
      <name val="Arial"/>
      <scheme val="minor"/>
    </font>
    <font>
      <color theme="1"/>
      <name val="Arial"/>
    </font>
  </fonts>
  <fills count="9">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D9D2E9"/>
        <bgColor rgb="FFD9D2E9"/>
      </patternFill>
    </fill>
    <fill>
      <patternFill patternType="solid">
        <fgColor rgb="FFEAD1DC"/>
        <bgColor rgb="FFEAD1DC"/>
      </patternFill>
    </fill>
  </fills>
  <borders count="20">
    <border/>
    <border>
      <left style="double">
        <color rgb="FF000000"/>
      </left>
      <right style="thin">
        <color rgb="FF000000"/>
      </right>
      <top style="double">
        <color rgb="FF000000"/>
      </top>
    </border>
    <border>
      <right style="thin">
        <color rgb="FF000000"/>
      </right>
      <top style="double">
        <color rgb="FF000000"/>
      </top>
    </border>
    <border>
      <left style="thin">
        <color rgb="FF000000"/>
      </left>
      <right style="thin">
        <color rgb="FF000000"/>
      </right>
      <top style="double">
        <color rgb="FF000000"/>
      </top>
    </border>
    <border>
      <left style="thin">
        <color rgb="FF000000"/>
      </left>
      <top style="double">
        <color rgb="FF000000"/>
      </top>
    </border>
    <border>
      <left style="thin">
        <color rgb="FF000000"/>
      </left>
      <right style="double">
        <color rgb="FF000000"/>
      </right>
      <top style="double">
        <color rgb="FF000000"/>
      </top>
    </border>
    <border>
      <left style="double">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double">
        <color rgb="FF000000"/>
      </right>
      <top style="thin">
        <color rgb="FF000000"/>
      </top>
    </border>
    <border>
      <left style="double">
        <color rgb="FF000000"/>
      </left>
      <right style="thin">
        <color rgb="FF000000"/>
      </righ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right" shrinkToFit="0" wrapText="1"/>
    </xf>
    <xf borderId="1" fillId="2" fontId="2" numFmtId="0" xfId="0" applyAlignment="1" applyBorder="1" applyFill="1" applyFont="1">
      <alignment readingOrder="0" shrinkToFit="0" vertical="top" wrapText="1"/>
    </xf>
    <xf borderId="2" fillId="2" fontId="2" numFmtId="0" xfId="0" applyAlignment="1" applyBorder="1" applyFill="1" applyFont="1">
      <alignment readingOrder="0" shrinkToFit="0" vertical="top" wrapText="1"/>
    </xf>
    <xf borderId="3" fillId="2" fontId="2" numFmtId="0" xfId="0" applyAlignment="1" applyBorder="1" applyFill="1" applyFont="1">
      <alignment readingOrder="0" shrinkToFit="0" vertical="top" wrapText="1"/>
    </xf>
    <xf borderId="4" fillId="2" fontId="2" numFmtId="0" xfId="0" applyAlignment="1" applyBorder="1" applyFill="1" applyFont="1">
      <alignment readingOrder="0" shrinkToFit="0" vertical="top" wrapText="1"/>
    </xf>
    <xf borderId="4" fillId="2" fontId="2" numFmtId="0" xfId="0" applyAlignment="1" applyBorder="1" applyFill="1" applyFont="1">
      <alignment horizontal="right" readingOrder="0" shrinkToFit="0" vertical="top" wrapText="1"/>
    </xf>
    <xf borderId="5" fillId="2" fontId="2" numFmtId="0" xfId="0" applyAlignment="1" applyBorder="1" applyFill="1" applyFont="1">
      <alignment readingOrder="0" shrinkToFit="0" vertical="top" wrapText="1"/>
    </xf>
    <xf borderId="6" fillId="3" fontId="1" numFmtId="0" xfId="0" applyAlignment="1" applyBorder="1" applyFill="1" applyFont="1">
      <alignment readingOrder="0" shrinkToFit="0" vertical="top" wrapText="1"/>
    </xf>
    <xf borderId="7" fillId="3" fontId="1" numFmtId="0" xfId="0" applyAlignment="1" applyBorder="1" applyFill="1" applyFont="1">
      <alignment readingOrder="0" shrinkToFit="0" vertical="top" wrapText="1"/>
    </xf>
    <xf borderId="8" fillId="3" fontId="1" numFmtId="10" xfId="0" applyAlignment="1" applyBorder="1" applyFill="1" applyFont="1" applyNumberFormat="1">
      <alignment readingOrder="0" shrinkToFit="0" vertical="top" wrapText="1"/>
    </xf>
    <xf borderId="8" fillId="3" fontId="1" numFmtId="0" xfId="0" applyAlignment="1" applyBorder="1" applyFill="1" applyFont="1">
      <alignment readingOrder="0" shrinkToFit="0" vertical="top" wrapText="1"/>
    </xf>
    <xf borderId="8" fillId="3" fontId="1" numFmtId="10" xfId="0" applyAlignment="1" applyBorder="1" applyFill="1" applyFont="1" applyNumberFormat="1">
      <alignment horizontal="right" readingOrder="0" shrinkToFit="0" vertical="top" wrapText="1"/>
    </xf>
    <xf borderId="8" fillId="3" fontId="1" numFmtId="0" xfId="0" applyAlignment="1" applyBorder="1" applyFill="1" applyFont="1">
      <alignment horizontal="right" readingOrder="0" shrinkToFit="0" vertical="top" wrapText="1"/>
    </xf>
    <xf borderId="9" fillId="3" fontId="1" numFmtId="0" xfId="0" applyAlignment="1" applyBorder="1" applyFill="1" applyFont="1">
      <alignment readingOrder="0" shrinkToFit="0" vertical="top" wrapText="1"/>
    </xf>
    <xf borderId="10" fillId="3" fontId="1" numFmtId="0" xfId="0" applyAlignment="1" applyBorder="1" applyFill="1" applyFont="1">
      <alignment readingOrder="0" shrinkToFit="0" vertical="top" wrapText="1"/>
    </xf>
    <xf borderId="7" fillId="3" fontId="1" numFmtId="10" xfId="0" applyAlignment="1" applyBorder="1" applyFill="1" applyFont="1" applyNumberFormat="1">
      <alignment readingOrder="0" shrinkToFit="0" vertical="top" wrapText="1"/>
    </xf>
    <xf borderId="6" fillId="3" fontId="3" numFmtId="0" xfId="0" applyAlignment="1" applyBorder="1" applyFill="1" applyFont="1">
      <alignment readingOrder="0" shrinkToFit="0" vertical="top" wrapText="1"/>
    </xf>
    <xf borderId="7" fillId="3" fontId="3" numFmtId="0" xfId="0" applyAlignment="1" applyBorder="1" applyFill="1" applyFont="1">
      <alignment readingOrder="0" shrinkToFit="0" vertical="top" wrapText="1"/>
    </xf>
    <xf borderId="8" fillId="3" fontId="3" numFmtId="10" xfId="0" applyAlignment="1" applyBorder="1" applyFill="1" applyFont="1" applyNumberFormat="1">
      <alignment readingOrder="0" shrinkToFit="0" vertical="top" wrapText="1"/>
    </xf>
    <xf borderId="8" fillId="3" fontId="3" numFmtId="0" xfId="0" applyAlignment="1" applyBorder="1" applyFill="1" applyFont="1">
      <alignment readingOrder="0" shrinkToFit="0" vertical="top" wrapText="1"/>
    </xf>
    <xf borderId="8" fillId="3" fontId="3" numFmtId="10" xfId="0" applyAlignment="1" applyBorder="1" applyFill="1" applyFont="1" applyNumberFormat="1">
      <alignment horizontal="right" readingOrder="0" shrinkToFit="0" vertical="top" wrapText="1"/>
    </xf>
    <xf borderId="9" fillId="3" fontId="3" numFmtId="0" xfId="0" applyAlignment="1" applyBorder="1" applyFill="1" applyFont="1">
      <alignment readingOrder="0" shrinkToFit="0" vertical="top" wrapText="1"/>
    </xf>
    <xf borderId="10" fillId="3" fontId="3" numFmtId="0" xfId="0" applyAlignment="1" applyBorder="1" applyFill="1" applyFont="1">
      <alignment readingOrder="0" shrinkToFit="0" vertical="top" wrapText="1"/>
    </xf>
    <xf borderId="6" fillId="4" fontId="1" numFmtId="0" xfId="0" applyAlignment="1" applyBorder="1" applyFill="1" applyFont="1">
      <alignment readingOrder="0" shrinkToFit="0" vertical="top" wrapText="1"/>
    </xf>
    <xf borderId="7" fillId="4" fontId="1" numFmtId="0" xfId="0" applyAlignment="1" applyBorder="1" applyFill="1" applyFont="1">
      <alignment readingOrder="0" shrinkToFit="0" vertical="top" wrapText="1"/>
    </xf>
    <xf borderId="8" fillId="4" fontId="1" numFmtId="0" xfId="0" applyAlignment="1" applyBorder="1" applyFill="1" applyFont="1">
      <alignment readingOrder="0" shrinkToFit="0" vertical="top" wrapText="1"/>
    </xf>
    <xf borderId="8" fillId="4" fontId="1" numFmtId="10" xfId="0" applyAlignment="1" applyBorder="1" applyFill="1" applyFont="1" applyNumberFormat="1">
      <alignment horizontal="right" readingOrder="0" shrinkToFit="0" vertical="top" wrapText="1"/>
    </xf>
    <xf borderId="9" fillId="4" fontId="1" numFmtId="0" xfId="0" applyAlignment="1" applyBorder="1" applyFill="1" applyFont="1">
      <alignment readingOrder="0" shrinkToFit="0" vertical="top" wrapText="1"/>
    </xf>
    <xf borderId="10" fillId="4" fontId="1" numFmtId="0" xfId="0" applyAlignment="1" applyBorder="1" applyFill="1" applyFont="1">
      <alignment readingOrder="0" shrinkToFit="0" vertical="top" wrapText="1"/>
    </xf>
    <xf borderId="8" fillId="4" fontId="1" numFmtId="10" xfId="0" applyAlignment="1" applyBorder="1" applyFill="1" applyFont="1" applyNumberFormat="1">
      <alignment readingOrder="0" shrinkToFit="0" vertical="top" wrapText="1"/>
    </xf>
    <xf borderId="8" fillId="4" fontId="1" numFmtId="0" xfId="0" applyAlignment="1" applyBorder="1" applyFill="1" applyFont="1">
      <alignment horizontal="right" readingOrder="0" shrinkToFit="0" vertical="top" wrapText="1"/>
    </xf>
    <xf borderId="7" fillId="4" fontId="1" numFmtId="10" xfId="0" applyAlignment="1" applyBorder="1" applyFill="1" applyFont="1" applyNumberFormat="1">
      <alignment readingOrder="0" shrinkToFit="0" vertical="top" wrapText="1"/>
    </xf>
    <xf borderId="6" fillId="5" fontId="1" numFmtId="0" xfId="0" applyAlignment="1" applyBorder="1" applyFill="1" applyFont="1">
      <alignment readingOrder="0" shrinkToFit="0" vertical="top" wrapText="1"/>
    </xf>
    <xf borderId="7" fillId="5" fontId="1" numFmtId="0" xfId="0" applyAlignment="1" applyBorder="1" applyFill="1" applyFont="1">
      <alignment readingOrder="0" shrinkToFit="0" vertical="top" wrapText="1"/>
    </xf>
    <xf borderId="8" fillId="5" fontId="1" numFmtId="10" xfId="0" applyAlignment="1" applyBorder="1" applyFill="1" applyFont="1" applyNumberFormat="1">
      <alignment readingOrder="0" shrinkToFit="0" vertical="top" wrapText="1"/>
    </xf>
    <xf borderId="8" fillId="5" fontId="1" numFmtId="0" xfId="0" applyAlignment="1" applyBorder="1" applyFill="1" applyFont="1">
      <alignment readingOrder="0" shrinkToFit="0" vertical="top" wrapText="1"/>
    </xf>
    <xf borderId="8" fillId="5" fontId="1" numFmtId="10" xfId="0" applyAlignment="1" applyBorder="1" applyFill="1" applyFont="1" applyNumberFormat="1">
      <alignment horizontal="right" readingOrder="0" shrinkToFit="0" vertical="top" wrapText="1"/>
    </xf>
    <xf borderId="9" fillId="5" fontId="1" numFmtId="0" xfId="0" applyAlignment="1" applyBorder="1" applyFill="1" applyFont="1">
      <alignment readingOrder="0" shrinkToFit="0" vertical="top" wrapText="1"/>
    </xf>
    <xf borderId="10" fillId="5" fontId="1" numFmtId="0" xfId="0" applyAlignment="1" applyBorder="1" applyFill="1" applyFont="1">
      <alignment readingOrder="0" shrinkToFit="0" vertical="top" wrapText="1"/>
    </xf>
    <xf borderId="6" fillId="0" fontId="1" numFmtId="0" xfId="0" applyAlignment="1" applyBorder="1" applyFont="1">
      <alignment readingOrder="0" shrinkToFit="0" vertical="top" wrapText="1"/>
    </xf>
    <xf borderId="7" fillId="0" fontId="1" numFmtId="0" xfId="0" applyAlignment="1" applyBorder="1" applyFont="1">
      <alignment readingOrder="0" shrinkToFit="0" vertical="top" wrapText="1"/>
    </xf>
    <xf borderId="8" fillId="0" fontId="1" numFmtId="10" xfId="0" applyAlignment="1" applyBorder="1" applyFont="1" applyNumberFormat="1">
      <alignment readingOrder="0" shrinkToFit="0" vertical="top" wrapText="1"/>
    </xf>
    <xf borderId="8" fillId="0" fontId="1" numFmtId="0" xfId="0" applyAlignment="1" applyBorder="1" applyFont="1">
      <alignment readingOrder="0" shrinkToFit="0" vertical="top" wrapText="1"/>
    </xf>
    <xf borderId="8" fillId="0" fontId="1" numFmtId="10" xfId="0" applyAlignment="1" applyBorder="1" applyFont="1" applyNumberFormat="1">
      <alignment horizontal="right" readingOrder="0" shrinkToFit="0" vertical="top" wrapText="1"/>
    </xf>
    <xf borderId="9" fillId="0" fontId="1" numFmtId="0" xfId="0" applyAlignment="1" applyBorder="1" applyFont="1">
      <alignment readingOrder="0" shrinkToFit="0" vertical="top" wrapText="1"/>
    </xf>
    <xf borderId="10" fillId="0" fontId="1" numFmtId="0" xfId="0" applyAlignment="1" applyBorder="1" applyFont="1">
      <alignment readingOrder="0" shrinkToFit="0" vertical="top" wrapText="1"/>
    </xf>
    <xf borderId="6" fillId="6" fontId="1" numFmtId="0" xfId="0" applyAlignment="1" applyBorder="1" applyFill="1" applyFont="1">
      <alignment readingOrder="0" shrinkToFit="0" vertical="top" wrapText="1"/>
    </xf>
    <xf borderId="7" fillId="6" fontId="1" numFmtId="0" xfId="0" applyAlignment="1" applyBorder="1" applyFill="1" applyFont="1">
      <alignment readingOrder="0" shrinkToFit="0" vertical="top" wrapText="1"/>
    </xf>
    <xf borderId="8" fillId="6" fontId="1" numFmtId="10" xfId="0" applyAlignment="1" applyBorder="1" applyFill="1" applyFont="1" applyNumberFormat="1">
      <alignment readingOrder="0" shrinkToFit="0" vertical="top" wrapText="1"/>
    </xf>
    <xf borderId="8" fillId="6" fontId="1" numFmtId="0" xfId="0" applyAlignment="1" applyBorder="1" applyFill="1" applyFont="1">
      <alignment readingOrder="0" shrinkToFit="0" vertical="top" wrapText="1"/>
    </xf>
    <xf borderId="8" fillId="6" fontId="1" numFmtId="10" xfId="0" applyAlignment="1" applyBorder="1" applyFill="1" applyFont="1" applyNumberFormat="1">
      <alignment horizontal="right" readingOrder="0" shrinkToFit="0" vertical="top" wrapText="1"/>
    </xf>
    <xf borderId="9" fillId="6" fontId="1" numFmtId="0" xfId="0" applyAlignment="1" applyBorder="1" applyFill="1" applyFont="1">
      <alignment readingOrder="0" shrinkToFit="0" vertical="top" wrapText="1"/>
    </xf>
    <xf borderId="10" fillId="6" fontId="1" numFmtId="0" xfId="0" applyAlignment="1" applyBorder="1" applyFill="1" applyFont="1">
      <alignment readingOrder="0" shrinkToFit="0" vertical="top" wrapText="1"/>
    </xf>
    <xf borderId="6" fillId="7" fontId="4" numFmtId="0" xfId="0" applyAlignment="1" applyBorder="1" applyFill="1" applyFont="1">
      <alignment readingOrder="0" shrinkToFit="0" vertical="top" wrapText="1"/>
    </xf>
    <xf borderId="7" fillId="7" fontId="4" numFmtId="0" xfId="0" applyAlignment="1" applyBorder="1" applyFill="1" applyFont="1">
      <alignment readingOrder="0" shrinkToFit="0" vertical="top" wrapText="1"/>
    </xf>
    <xf borderId="8" fillId="7" fontId="4" numFmtId="10" xfId="0" applyAlignment="1" applyBorder="1" applyFill="1" applyFont="1" applyNumberFormat="1">
      <alignment readingOrder="0" shrinkToFit="0" vertical="top" wrapText="1"/>
    </xf>
    <xf borderId="8" fillId="7" fontId="1" numFmtId="0" xfId="0" applyAlignment="1" applyBorder="1" applyFill="1" applyFont="1">
      <alignment readingOrder="0" shrinkToFit="0" vertical="top" wrapText="1"/>
    </xf>
    <xf borderId="8" fillId="7" fontId="4" numFmtId="0" xfId="0" applyAlignment="1" applyBorder="1" applyFill="1" applyFont="1">
      <alignment horizontal="right" readingOrder="0" shrinkToFit="0" vertical="top" wrapText="1"/>
    </xf>
    <xf borderId="8" fillId="7" fontId="4" numFmtId="0" xfId="0" applyAlignment="1" applyBorder="1" applyFill="1" applyFont="1">
      <alignment readingOrder="0" shrinkToFit="0" vertical="top" wrapText="1"/>
    </xf>
    <xf borderId="9" fillId="7" fontId="4" numFmtId="0" xfId="0" applyAlignment="1" applyBorder="1" applyFill="1" applyFont="1">
      <alignment readingOrder="0" shrinkToFit="0" vertical="top" wrapText="1"/>
    </xf>
    <xf borderId="10" fillId="7" fontId="4" numFmtId="0" xfId="0" applyAlignment="1" applyBorder="1" applyFill="1" applyFont="1">
      <alignment readingOrder="0" shrinkToFit="0" vertical="top" wrapText="1"/>
    </xf>
    <xf borderId="0" fillId="0" fontId="4" numFmtId="0" xfId="0" applyAlignment="1" applyFont="1">
      <alignment shrinkToFit="0" vertical="bottom" wrapText="1"/>
    </xf>
    <xf borderId="8" fillId="7" fontId="1" numFmtId="0" xfId="0" applyAlignment="1" applyBorder="1" applyFill="1" applyFont="1">
      <alignment horizontal="right" readingOrder="0" shrinkToFit="0" vertical="top" wrapText="1"/>
    </xf>
    <xf borderId="9" fillId="7" fontId="1" numFmtId="0" xfId="0" applyAlignment="1" applyBorder="1" applyFill="1" applyFont="1">
      <alignment readingOrder="0" shrinkToFit="0" vertical="top" wrapText="1"/>
    </xf>
    <xf borderId="11" fillId="7" fontId="4" numFmtId="0" xfId="0" applyAlignment="1" applyBorder="1" applyFill="1" applyFont="1">
      <alignment readingOrder="0" shrinkToFit="0" vertical="top" wrapText="1"/>
    </xf>
    <xf borderId="12" fillId="7" fontId="4" numFmtId="10" xfId="0" applyAlignment="1" applyBorder="1" applyFill="1" applyFont="1" applyNumberFormat="1">
      <alignment readingOrder="0" shrinkToFit="0" vertical="top" wrapText="1"/>
    </xf>
    <xf borderId="12" fillId="7" fontId="1" numFmtId="0" xfId="0" applyAlignment="1" applyBorder="1" applyFill="1" applyFont="1">
      <alignment readingOrder="0" shrinkToFit="0" vertical="top" wrapText="1"/>
    </xf>
    <xf borderId="12" fillId="7" fontId="1" numFmtId="0" xfId="0" applyAlignment="1" applyBorder="1" applyFill="1" applyFont="1">
      <alignment horizontal="right" readingOrder="0" shrinkToFit="0" vertical="top" wrapText="1"/>
    </xf>
    <xf borderId="13" fillId="7" fontId="1" numFmtId="0" xfId="0" applyAlignment="1" applyBorder="1" applyFill="1" applyFont="1">
      <alignment readingOrder="0" shrinkToFit="0" vertical="top" wrapText="1"/>
    </xf>
    <xf borderId="11" fillId="5" fontId="4" numFmtId="0" xfId="0" applyAlignment="1" applyBorder="1" applyFill="1" applyFont="1">
      <alignment readingOrder="0" shrinkToFit="0" vertical="top" wrapText="1"/>
    </xf>
    <xf borderId="14" fillId="5" fontId="4" numFmtId="0" xfId="0" applyAlignment="1" applyBorder="1" applyFill="1" applyFont="1">
      <alignment readingOrder="0" shrinkToFit="0" vertical="top" wrapText="1"/>
    </xf>
    <xf borderId="12" fillId="5" fontId="4" numFmtId="10" xfId="0" applyAlignment="1" applyBorder="1" applyFill="1" applyFont="1" applyNumberFormat="1">
      <alignment readingOrder="0" shrinkToFit="0" vertical="top" wrapText="1"/>
    </xf>
    <xf borderId="12" fillId="5" fontId="1" numFmtId="0" xfId="0" applyAlignment="1" applyBorder="1" applyFill="1" applyFont="1">
      <alignment horizontal="right" readingOrder="0" shrinkToFit="0" vertical="top" wrapText="1"/>
    </xf>
    <xf borderId="12" fillId="5" fontId="1" numFmtId="10" xfId="0" applyAlignment="1" applyBorder="1" applyFill="1" applyFont="1" applyNumberFormat="1">
      <alignment horizontal="right" readingOrder="0" shrinkToFit="0" vertical="top" wrapText="1"/>
    </xf>
    <xf borderId="12" fillId="5" fontId="1" numFmtId="0" xfId="0" applyAlignment="1" applyBorder="1" applyFill="1" applyFont="1">
      <alignment readingOrder="0" shrinkToFit="0" vertical="top" wrapText="1"/>
    </xf>
    <xf borderId="13" fillId="5" fontId="1" numFmtId="0" xfId="0" applyAlignment="1" applyBorder="1" applyFill="1" applyFont="1">
      <alignment readingOrder="0" shrinkToFit="0" vertical="top" wrapText="1"/>
    </xf>
    <xf borderId="15" fillId="5" fontId="4" numFmtId="0" xfId="0" applyAlignment="1" applyBorder="1" applyFill="1" applyFont="1">
      <alignment readingOrder="0" shrinkToFit="0" vertical="top" wrapText="1"/>
    </xf>
    <xf borderId="11" fillId="8" fontId="4" numFmtId="0" xfId="0" applyAlignment="1" applyBorder="1" applyFill="1" applyFont="1">
      <alignment readingOrder="0" shrinkToFit="0" vertical="top" wrapText="1"/>
    </xf>
    <xf borderId="14" fillId="8" fontId="4" numFmtId="0" xfId="0" applyAlignment="1" applyBorder="1" applyFill="1" applyFont="1">
      <alignment readingOrder="0" shrinkToFit="0" vertical="top" wrapText="1"/>
    </xf>
    <xf borderId="12" fillId="8" fontId="4" numFmtId="10" xfId="0" applyAlignment="1" applyBorder="1" applyFill="1" applyFont="1" applyNumberFormat="1">
      <alignment readingOrder="0" shrinkToFit="0" vertical="top" wrapText="1"/>
    </xf>
    <xf borderId="8" fillId="8" fontId="1" numFmtId="0" xfId="0" applyAlignment="1" applyBorder="1" applyFill="1" applyFont="1">
      <alignment readingOrder="0" shrinkToFit="0" vertical="top" wrapText="1"/>
    </xf>
    <xf borderId="12" fillId="8" fontId="1" numFmtId="0" xfId="0" applyAlignment="1" applyBorder="1" applyFill="1" applyFont="1">
      <alignment horizontal="right" readingOrder="0" shrinkToFit="0" vertical="top" wrapText="1"/>
    </xf>
    <xf borderId="12" fillId="8" fontId="1" numFmtId="10" xfId="0" applyAlignment="1" applyBorder="1" applyFill="1" applyFont="1" applyNumberFormat="1">
      <alignment horizontal="right" readingOrder="0" shrinkToFit="0" vertical="top" wrapText="1"/>
    </xf>
    <xf borderId="12" fillId="8" fontId="1" numFmtId="0" xfId="0" applyAlignment="1" applyBorder="1" applyFill="1" applyFont="1">
      <alignment readingOrder="0" shrinkToFit="0" vertical="top" wrapText="1"/>
    </xf>
    <xf borderId="13" fillId="8" fontId="1" numFmtId="0" xfId="0" applyAlignment="1" applyBorder="1" applyFill="1" applyFont="1">
      <alignment readingOrder="0" shrinkToFit="0" vertical="top" wrapText="1"/>
    </xf>
    <xf borderId="15" fillId="8" fontId="4" numFmtId="0" xfId="0" applyAlignment="1" applyBorder="1" applyFill="1" applyFont="1">
      <alignment readingOrder="0" shrinkToFit="0" vertical="top" wrapText="1"/>
    </xf>
    <xf borderId="11" fillId="2" fontId="4" numFmtId="0" xfId="0" applyAlignment="1" applyBorder="1" applyFill="1" applyFont="1">
      <alignment readingOrder="0" shrinkToFit="0" vertical="top" wrapText="1"/>
    </xf>
    <xf borderId="14" fillId="2" fontId="4" numFmtId="0" xfId="0" applyAlignment="1" applyBorder="1" applyFill="1" applyFont="1">
      <alignment readingOrder="0" shrinkToFit="0" vertical="top" wrapText="1"/>
    </xf>
    <xf borderId="12" fillId="2" fontId="4" numFmtId="10" xfId="0" applyAlignment="1" applyBorder="1" applyFill="1" applyFont="1" applyNumberFormat="1">
      <alignment readingOrder="0" shrinkToFit="0" vertical="top" wrapText="1"/>
    </xf>
    <xf borderId="8" fillId="2" fontId="1" numFmtId="0" xfId="0" applyAlignment="1" applyBorder="1" applyFill="1" applyFont="1">
      <alignment readingOrder="0" shrinkToFit="0" vertical="top" wrapText="1"/>
    </xf>
    <xf borderId="12" fillId="2" fontId="1" numFmtId="0" xfId="0" applyAlignment="1" applyBorder="1" applyFill="1" applyFont="1">
      <alignment horizontal="right" readingOrder="0" shrinkToFit="0" vertical="top" wrapText="1"/>
    </xf>
    <xf borderId="12" fillId="2" fontId="1" numFmtId="10" xfId="0" applyAlignment="1" applyBorder="1" applyFill="1" applyFont="1" applyNumberFormat="1">
      <alignment horizontal="right" readingOrder="0" shrinkToFit="0" vertical="top" wrapText="1"/>
    </xf>
    <xf borderId="12" fillId="2" fontId="1" numFmtId="0" xfId="0" applyAlignment="1" applyBorder="1" applyFill="1" applyFont="1">
      <alignment readingOrder="0" shrinkToFit="0" vertical="top" wrapText="1"/>
    </xf>
    <xf borderId="13" fillId="2" fontId="1" numFmtId="0" xfId="0" applyAlignment="1" applyBorder="1" applyFill="1" applyFont="1">
      <alignment readingOrder="0" shrinkToFit="0" vertical="top" wrapText="1"/>
    </xf>
    <xf borderId="15" fillId="2" fontId="4" numFmtId="0" xfId="0" applyAlignment="1" applyBorder="1" applyFill="1" applyFont="1">
      <alignment readingOrder="0" shrinkToFit="0" vertical="top" wrapText="1"/>
    </xf>
    <xf borderId="16" fillId="2" fontId="1" numFmtId="0" xfId="0" applyAlignment="1" applyBorder="1" applyFill="1" applyFont="1">
      <alignment readingOrder="0" shrinkToFit="0" vertical="top" wrapText="1"/>
    </xf>
    <xf borderId="17" fillId="2" fontId="1" numFmtId="0" xfId="0" applyAlignment="1" applyBorder="1" applyFill="1" applyFont="1">
      <alignment readingOrder="0" shrinkToFit="0" vertical="top" wrapText="1"/>
    </xf>
    <xf borderId="18" fillId="2" fontId="1" numFmtId="10" xfId="0" applyAlignment="1" applyBorder="1" applyFill="1" applyFont="1" applyNumberFormat="1">
      <alignment readingOrder="0" shrinkToFit="0" vertical="top" wrapText="1"/>
    </xf>
    <xf borderId="18" fillId="2" fontId="1" numFmtId="9" xfId="0" applyAlignment="1" applyBorder="1" applyFill="1" applyFont="1" applyNumberFormat="1">
      <alignment horizontal="right" readingOrder="0" shrinkToFit="0" vertical="top" wrapText="1"/>
    </xf>
    <xf borderId="18" fillId="2" fontId="1" numFmtId="10" xfId="0" applyAlignment="1" applyBorder="1" applyFill="1" applyFont="1" applyNumberFormat="1">
      <alignment horizontal="right" readingOrder="0" shrinkToFit="0" vertical="top" wrapText="1"/>
    </xf>
    <xf borderId="18" fillId="2" fontId="1" numFmtId="0" xfId="0" applyAlignment="1" applyBorder="1" applyFill="1" applyFont="1">
      <alignment readingOrder="0" shrinkToFit="0" vertical="top" wrapText="1"/>
    </xf>
    <xf borderId="19" fillId="2" fontId="1" numFmtId="0" xfId="0" applyAlignment="1" applyBorder="1" applyFill="1" applyFont="1">
      <alignment readingOrder="0" shrinkToFit="0" vertical="top"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75"/>
    <col customWidth="1" min="2" max="2" width="52.25"/>
    <col customWidth="1" min="3" max="3" width="19.5"/>
    <col customWidth="1" min="4" max="4" width="16.38"/>
    <col customWidth="1" min="5" max="5" width="14.75"/>
    <col customWidth="1" min="6" max="6" width="25.25"/>
    <col customWidth="1" min="7" max="7" width="17.38"/>
    <col customWidth="1" min="8" max="9" width="19.13"/>
    <col customWidth="1" min="10" max="10" width="47.38"/>
  </cols>
  <sheetData>
    <row r="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c r="A2" s="3" t="s">
        <v>0</v>
      </c>
      <c r="B2" s="4" t="s">
        <v>1</v>
      </c>
      <c r="C2" s="4" t="s">
        <v>2</v>
      </c>
      <c r="D2" s="5" t="s">
        <v>3</v>
      </c>
      <c r="E2" s="6" t="s">
        <v>4</v>
      </c>
      <c r="F2" s="7" t="s">
        <v>5</v>
      </c>
      <c r="G2" s="7" t="s">
        <v>6</v>
      </c>
      <c r="H2" s="8" t="s">
        <v>7</v>
      </c>
      <c r="I2" s="8" t="s">
        <v>8</v>
      </c>
      <c r="J2" s="8" t="s">
        <v>9</v>
      </c>
      <c r="K2" s="1"/>
      <c r="L2" s="1"/>
      <c r="M2" s="1"/>
      <c r="N2" s="1"/>
      <c r="O2" s="1"/>
      <c r="P2" s="1"/>
      <c r="Q2" s="1"/>
      <c r="R2" s="1"/>
      <c r="S2" s="1"/>
      <c r="T2" s="1"/>
      <c r="U2" s="1"/>
      <c r="V2" s="1"/>
      <c r="W2" s="1"/>
      <c r="X2" s="1"/>
      <c r="Y2" s="1"/>
      <c r="Z2" s="1"/>
      <c r="AA2" s="1"/>
      <c r="AB2" s="1"/>
      <c r="AC2" s="1"/>
      <c r="AD2" s="1"/>
    </row>
    <row r="3">
      <c r="A3" s="9" t="s">
        <v>10</v>
      </c>
      <c r="B3" s="10" t="s">
        <v>11</v>
      </c>
      <c r="C3" s="10" t="s">
        <v>12</v>
      </c>
      <c r="D3" s="11">
        <v>0.01</v>
      </c>
      <c r="E3" s="12" t="s">
        <v>13</v>
      </c>
      <c r="F3" s="13">
        <v>0.006</v>
      </c>
      <c r="G3" s="14" t="s">
        <v>14</v>
      </c>
      <c r="H3" s="12" t="s">
        <v>15</v>
      </c>
      <c r="I3" s="15" t="s">
        <v>16</v>
      </c>
      <c r="J3" s="16" t="s">
        <v>17</v>
      </c>
      <c r="K3" s="1"/>
      <c r="L3" s="1"/>
      <c r="M3" s="1"/>
      <c r="N3" s="1"/>
      <c r="O3" s="1"/>
      <c r="P3" s="1"/>
      <c r="Q3" s="1"/>
      <c r="R3" s="1"/>
      <c r="S3" s="1"/>
      <c r="T3" s="1"/>
      <c r="U3" s="1"/>
      <c r="V3" s="1"/>
      <c r="W3" s="1"/>
      <c r="X3" s="1"/>
      <c r="Y3" s="1"/>
      <c r="Z3" s="1"/>
      <c r="AA3" s="1"/>
      <c r="AB3" s="1"/>
      <c r="AC3" s="1"/>
      <c r="AD3" s="1"/>
    </row>
    <row r="4">
      <c r="A4" s="9" t="s">
        <v>10</v>
      </c>
      <c r="B4" s="10" t="s">
        <v>18</v>
      </c>
      <c r="C4" s="10" t="s">
        <v>19</v>
      </c>
      <c r="D4" s="11">
        <v>0.008</v>
      </c>
      <c r="E4" s="12" t="s">
        <v>20</v>
      </c>
      <c r="F4" s="13">
        <v>0.005</v>
      </c>
      <c r="G4" s="14" t="s">
        <v>21</v>
      </c>
      <c r="H4" s="12" t="s">
        <v>15</v>
      </c>
      <c r="I4" s="15" t="s">
        <v>16</v>
      </c>
      <c r="J4" s="16" t="s">
        <v>17</v>
      </c>
      <c r="K4" s="1"/>
      <c r="L4" s="1"/>
      <c r="M4" s="1"/>
      <c r="N4" s="1"/>
      <c r="O4" s="1"/>
      <c r="P4" s="1"/>
      <c r="Q4" s="1"/>
      <c r="R4" s="1"/>
      <c r="S4" s="1"/>
      <c r="T4" s="1"/>
      <c r="U4" s="1"/>
      <c r="V4" s="1"/>
      <c r="W4" s="1"/>
      <c r="X4" s="1"/>
      <c r="Y4" s="1"/>
      <c r="Z4" s="1"/>
      <c r="AA4" s="1"/>
      <c r="AB4" s="1"/>
      <c r="AC4" s="1"/>
      <c r="AD4" s="1"/>
    </row>
    <row r="5">
      <c r="A5" s="9" t="s">
        <v>10</v>
      </c>
      <c r="B5" s="10" t="s">
        <v>22</v>
      </c>
      <c r="C5" s="10" t="s">
        <v>23</v>
      </c>
      <c r="D5" s="11">
        <v>0.014</v>
      </c>
      <c r="E5" s="12" t="s">
        <v>24</v>
      </c>
      <c r="F5" s="13">
        <v>0.01</v>
      </c>
      <c r="G5" s="13">
        <v>0.004</v>
      </c>
      <c r="H5" s="12" t="s">
        <v>15</v>
      </c>
      <c r="I5" s="15" t="s">
        <v>16</v>
      </c>
      <c r="J5" s="16"/>
      <c r="K5" s="1"/>
      <c r="L5" s="1"/>
      <c r="M5" s="1"/>
      <c r="N5" s="1"/>
      <c r="O5" s="1"/>
      <c r="P5" s="1"/>
      <c r="Q5" s="1"/>
      <c r="R5" s="1"/>
      <c r="S5" s="1"/>
      <c r="T5" s="1"/>
      <c r="U5" s="1"/>
      <c r="V5" s="1"/>
      <c r="W5" s="1"/>
      <c r="X5" s="1"/>
      <c r="Y5" s="1"/>
      <c r="Z5" s="1"/>
      <c r="AA5" s="1"/>
      <c r="AB5" s="1"/>
      <c r="AC5" s="1"/>
      <c r="AD5" s="1"/>
    </row>
    <row r="6">
      <c r="A6" s="9" t="s">
        <v>25</v>
      </c>
      <c r="B6" s="10" t="s">
        <v>26</v>
      </c>
      <c r="C6" s="10" t="s">
        <v>12</v>
      </c>
      <c r="D6" s="11">
        <v>0.01</v>
      </c>
      <c r="E6" s="12" t="s">
        <v>13</v>
      </c>
      <c r="F6" s="13">
        <v>0.006</v>
      </c>
      <c r="G6" s="14" t="s">
        <v>14</v>
      </c>
      <c r="H6" s="12" t="s">
        <v>15</v>
      </c>
      <c r="I6" s="15" t="s">
        <v>16</v>
      </c>
      <c r="J6" s="16" t="s">
        <v>17</v>
      </c>
      <c r="K6" s="1"/>
      <c r="L6" s="1"/>
      <c r="M6" s="1"/>
      <c r="N6" s="1"/>
      <c r="O6" s="1"/>
      <c r="P6" s="1"/>
      <c r="Q6" s="1"/>
      <c r="R6" s="1"/>
      <c r="S6" s="1"/>
      <c r="T6" s="1"/>
      <c r="U6" s="1"/>
      <c r="V6" s="1"/>
      <c r="W6" s="1"/>
      <c r="X6" s="1"/>
      <c r="Y6" s="1"/>
      <c r="Z6" s="1"/>
      <c r="AA6" s="1"/>
      <c r="AB6" s="1"/>
      <c r="AC6" s="1"/>
      <c r="AD6" s="1"/>
    </row>
    <row r="7">
      <c r="A7" s="9" t="s">
        <v>25</v>
      </c>
      <c r="B7" s="10" t="s">
        <v>27</v>
      </c>
      <c r="C7" s="10" t="s">
        <v>23</v>
      </c>
      <c r="D7" s="11">
        <v>0.014</v>
      </c>
      <c r="E7" s="12" t="s">
        <v>24</v>
      </c>
      <c r="F7" s="13">
        <v>0.01</v>
      </c>
      <c r="G7" s="13">
        <v>0.004</v>
      </c>
      <c r="H7" s="12" t="s">
        <v>15</v>
      </c>
      <c r="I7" s="15" t="s">
        <v>16</v>
      </c>
      <c r="J7" s="16"/>
      <c r="K7" s="1"/>
      <c r="L7" s="1"/>
      <c r="M7" s="1"/>
      <c r="N7" s="1"/>
      <c r="O7" s="1"/>
      <c r="P7" s="1"/>
      <c r="Q7" s="1"/>
      <c r="R7" s="1"/>
      <c r="S7" s="1"/>
      <c r="T7" s="1"/>
      <c r="U7" s="1"/>
      <c r="V7" s="1"/>
      <c r="W7" s="1"/>
      <c r="X7" s="1"/>
      <c r="Y7" s="1"/>
      <c r="Z7" s="1"/>
      <c r="AA7" s="1"/>
      <c r="AB7" s="1"/>
      <c r="AC7" s="1"/>
      <c r="AD7" s="1"/>
    </row>
    <row r="8" hidden="1">
      <c r="A8" s="9" t="s">
        <v>28</v>
      </c>
      <c r="B8" s="17"/>
      <c r="C8" s="17"/>
      <c r="D8" s="11">
        <v>0.01</v>
      </c>
      <c r="E8" s="12" t="s">
        <v>13</v>
      </c>
      <c r="F8" s="13">
        <v>0.005</v>
      </c>
      <c r="G8" s="14" t="s">
        <v>14</v>
      </c>
      <c r="H8" s="12" t="s">
        <v>15</v>
      </c>
      <c r="I8" s="15" t="s">
        <v>16</v>
      </c>
      <c r="J8" s="16" t="s">
        <v>17</v>
      </c>
      <c r="K8" s="1"/>
      <c r="L8" s="1"/>
      <c r="M8" s="1"/>
      <c r="N8" s="1"/>
      <c r="O8" s="1"/>
      <c r="P8" s="1"/>
      <c r="Q8" s="1"/>
      <c r="R8" s="1"/>
      <c r="S8" s="1"/>
      <c r="T8" s="1"/>
      <c r="U8" s="1"/>
      <c r="V8" s="1"/>
      <c r="W8" s="1"/>
      <c r="X8" s="1"/>
      <c r="Y8" s="1"/>
      <c r="Z8" s="1"/>
      <c r="AA8" s="1"/>
      <c r="AB8" s="1"/>
      <c r="AC8" s="1"/>
      <c r="AD8" s="1"/>
    </row>
    <row r="9">
      <c r="A9" s="9" t="s">
        <v>29</v>
      </c>
      <c r="B9" s="10" t="s">
        <v>30</v>
      </c>
      <c r="C9" s="10" t="s">
        <v>12</v>
      </c>
      <c r="D9" s="11">
        <v>0.01</v>
      </c>
      <c r="E9" s="12" t="s">
        <v>13</v>
      </c>
      <c r="F9" s="13">
        <v>0.006</v>
      </c>
      <c r="G9" s="14" t="s">
        <v>14</v>
      </c>
      <c r="H9" s="12" t="s">
        <v>15</v>
      </c>
      <c r="I9" s="15" t="s">
        <v>16</v>
      </c>
      <c r="J9" s="16" t="s">
        <v>17</v>
      </c>
      <c r="K9" s="1"/>
      <c r="L9" s="1"/>
      <c r="M9" s="1"/>
      <c r="N9" s="1"/>
      <c r="O9" s="1"/>
      <c r="P9" s="1"/>
      <c r="Q9" s="1"/>
      <c r="R9" s="1"/>
      <c r="S9" s="1"/>
      <c r="T9" s="1"/>
      <c r="U9" s="1"/>
      <c r="V9" s="1"/>
      <c r="W9" s="1"/>
      <c r="X9" s="1"/>
      <c r="Y9" s="1"/>
      <c r="Z9" s="1"/>
      <c r="AA9" s="1"/>
      <c r="AB9" s="1"/>
      <c r="AC9" s="1"/>
      <c r="AD9" s="1"/>
    </row>
    <row r="10">
      <c r="A10" s="9" t="s">
        <v>31</v>
      </c>
      <c r="B10" s="10" t="s">
        <v>32</v>
      </c>
      <c r="C10" s="10" t="s">
        <v>12</v>
      </c>
      <c r="D10" s="11">
        <v>0.01</v>
      </c>
      <c r="E10" s="12" t="s">
        <v>13</v>
      </c>
      <c r="F10" s="13">
        <v>0.006</v>
      </c>
      <c r="G10" s="14" t="s">
        <v>14</v>
      </c>
      <c r="H10" s="12" t="s">
        <v>15</v>
      </c>
      <c r="I10" s="15" t="s">
        <v>16</v>
      </c>
      <c r="J10" s="16" t="s">
        <v>17</v>
      </c>
      <c r="K10" s="1"/>
      <c r="L10" s="1"/>
      <c r="M10" s="1"/>
      <c r="N10" s="1"/>
      <c r="O10" s="1"/>
      <c r="P10" s="1"/>
      <c r="Q10" s="1"/>
      <c r="R10" s="1"/>
      <c r="S10" s="1"/>
      <c r="T10" s="1"/>
      <c r="U10" s="1"/>
      <c r="V10" s="1"/>
      <c r="W10" s="1"/>
      <c r="X10" s="1"/>
      <c r="Y10" s="1"/>
      <c r="Z10" s="1"/>
      <c r="AA10" s="1"/>
      <c r="AB10" s="1"/>
      <c r="AC10" s="1"/>
      <c r="AD10" s="1"/>
    </row>
    <row r="11">
      <c r="A11" s="9" t="s">
        <v>31</v>
      </c>
      <c r="B11" s="10" t="s">
        <v>33</v>
      </c>
      <c r="C11" s="10" t="s">
        <v>34</v>
      </c>
      <c r="D11" s="11">
        <v>0.008</v>
      </c>
      <c r="E11" s="12" t="s">
        <v>20</v>
      </c>
      <c r="F11" s="13">
        <v>0.005</v>
      </c>
      <c r="G11" s="14" t="s">
        <v>21</v>
      </c>
      <c r="H11" s="12" t="s">
        <v>15</v>
      </c>
      <c r="I11" s="15" t="s">
        <v>16</v>
      </c>
      <c r="J11" s="16" t="s">
        <v>17</v>
      </c>
      <c r="K11" s="1"/>
      <c r="L11" s="1"/>
      <c r="M11" s="1"/>
      <c r="N11" s="1"/>
      <c r="O11" s="1"/>
      <c r="P11" s="1"/>
      <c r="Q11" s="1"/>
      <c r="R11" s="1"/>
      <c r="S11" s="1"/>
      <c r="T11" s="1"/>
      <c r="U11" s="1"/>
      <c r="V11" s="1"/>
      <c r="W11" s="1"/>
      <c r="X11" s="1"/>
      <c r="Y11" s="1"/>
      <c r="Z11" s="1"/>
      <c r="AA11" s="1"/>
      <c r="AB11" s="1"/>
      <c r="AC11" s="1"/>
      <c r="AD11" s="1"/>
    </row>
    <row r="12">
      <c r="A12" s="9" t="s">
        <v>31</v>
      </c>
      <c r="B12" s="10" t="s">
        <v>35</v>
      </c>
      <c r="C12" s="10" t="s">
        <v>23</v>
      </c>
      <c r="D12" s="11">
        <v>0.014</v>
      </c>
      <c r="E12" s="12" t="s">
        <v>24</v>
      </c>
      <c r="F12" s="13">
        <v>0.01</v>
      </c>
      <c r="G12" s="13">
        <v>0.004</v>
      </c>
      <c r="H12" s="12" t="s">
        <v>15</v>
      </c>
      <c r="I12" s="15" t="s">
        <v>16</v>
      </c>
      <c r="J12" s="16"/>
      <c r="K12" s="1"/>
      <c r="L12" s="1"/>
      <c r="M12" s="1"/>
      <c r="N12" s="1"/>
      <c r="O12" s="1"/>
      <c r="P12" s="1"/>
      <c r="Q12" s="1"/>
      <c r="R12" s="1"/>
      <c r="S12" s="1"/>
      <c r="T12" s="1"/>
      <c r="U12" s="1"/>
      <c r="V12" s="1"/>
      <c r="W12" s="1"/>
      <c r="X12" s="1"/>
      <c r="Y12" s="1"/>
      <c r="Z12" s="1"/>
      <c r="AA12" s="1"/>
      <c r="AB12" s="1"/>
      <c r="AC12" s="1"/>
      <c r="AD12" s="1"/>
    </row>
    <row r="13">
      <c r="A13" s="9" t="s">
        <v>36</v>
      </c>
      <c r="B13" s="10" t="s">
        <v>37</v>
      </c>
      <c r="C13" s="10" t="s">
        <v>12</v>
      </c>
      <c r="D13" s="11">
        <v>0.01</v>
      </c>
      <c r="E13" s="12" t="s">
        <v>13</v>
      </c>
      <c r="F13" s="13">
        <v>0.006</v>
      </c>
      <c r="G13" s="14" t="s">
        <v>14</v>
      </c>
      <c r="H13" s="12" t="s">
        <v>15</v>
      </c>
      <c r="I13" s="15" t="s">
        <v>16</v>
      </c>
      <c r="J13" s="16" t="s">
        <v>17</v>
      </c>
      <c r="K13" s="1"/>
      <c r="L13" s="1"/>
      <c r="M13" s="1"/>
      <c r="N13" s="1"/>
      <c r="O13" s="1"/>
      <c r="P13" s="1"/>
      <c r="Q13" s="1"/>
      <c r="R13" s="1"/>
      <c r="S13" s="1"/>
      <c r="T13" s="1"/>
      <c r="U13" s="1"/>
      <c r="V13" s="1"/>
      <c r="W13" s="1"/>
      <c r="X13" s="1"/>
      <c r="Y13" s="1"/>
      <c r="Z13" s="1"/>
      <c r="AA13" s="1"/>
      <c r="AB13" s="1"/>
      <c r="AC13" s="1"/>
      <c r="AD13" s="1"/>
    </row>
    <row r="14">
      <c r="A14" s="9" t="s">
        <v>38</v>
      </c>
      <c r="B14" s="10" t="s">
        <v>39</v>
      </c>
      <c r="C14" s="10" t="s">
        <v>40</v>
      </c>
      <c r="D14" s="12" t="s">
        <v>41</v>
      </c>
      <c r="E14" s="12" t="s">
        <v>20</v>
      </c>
      <c r="F14" s="13">
        <v>0.005</v>
      </c>
      <c r="G14" s="14" t="s">
        <v>42</v>
      </c>
      <c r="H14" s="12" t="s">
        <v>15</v>
      </c>
      <c r="I14" s="15" t="s">
        <v>43</v>
      </c>
      <c r="J14" s="16" t="s">
        <v>17</v>
      </c>
      <c r="K14" s="1"/>
      <c r="L14" s="1"/>
      <c r="M14" s="1"/>
      <c r="N14" s="1"/>
      <c r="O14" s="1"/>
      <c r="P14" s="1"/>
      <c r="Q14" s="1"/>
      <c r="R14" s="1"/>
      <c r="S14" s="1"/>
      <c r="T14" s="1"/>
      <c r="U14" s="1"/>
      <c r="V14" s="1"/>
      <c r="W14" s="1"/>
      <c r="X14" s="1"/>
      <c r="Y14" s="1"/>
      <c r="Z14" s="1"/>
      <c r="AA14" s="1"/>
      <c r="AB14" s="1"/>
      <c r="AC14" s="1"/>
      <c r="AD14" s="1"/>
    </row>
    <row r="15">
      <c r="A15" s="9" t="s">
        <v>36</v>
      </c>
      <c r="B15" s="10" t="s">
        <v>44</v>
      </c>
      <c r="C15" s="10" t="s">
        <v>23</v>
      </c>
      <c r="D15" s="11">
        <v>0.014</v>
      </c>
      <c r="E15" s="12" t="s">
        <v>24</v>
      </c>
      <c r="F15" s="13">
        <v>0.01</v>
      </c>
      <c r="G15" s="13">
        <v>0.004</v>
      </c>
      <c r="H15" s="12" t="s">
        <v>15</v>
      </c>
      <c r="I15" s="15" t="s">
        <v>16</v>
      </c>
      <c r="J15" s="16"/>
      <c r="K15" s="1"/>
      <c r="L15" s="1"/>
      <c r="M15" s="1"/>
      <c r="N15" s="1"/>
      <c r="O15" s="1"/>
      <c r="P15" s="1"/>
      <c r="Q15" s="1"/>
      <c r="R15" s="1"/>
      <c r="S15" s="1"/>
      <c r="T15" s="1"/>
      <c r="U15" s="1"/>
      <c r="V15" s="1"/>
      <c r="W15" s="1"/>
      <c r="X15" s="1"/>
      <c r="Y15" s="1"/>
      <c r="Z15" s="1"/>
      <c r="AA15" s="1"/>
      <c r="AB15" s="1"/>
      <c r="AC15" s="1"/>
      <c r="AD15" s="1"/>
    </row>
    <row r="16">
      <c r="A16" s="18" t="s">
        <v>45</v>
      </c>
      <c r="B16" s="19" t="s">
        <v>46</v>
      </c>
      <c r="C16" s="19" t="s">
        <v>19</v>
      </c>
      <c r="D16" s="20">
        <v>0.04</v>
      </c>
      <c r="E16" s="21" t="s">
        <v>20</v>
      </c>
      <c r="F16" s="22">
        <v>0.005</v>
      </c>
      <c r="G16" s="22">
        <f>0.3%+1.5%+0.2%</f>
        <v>0.02</v>
      </c>
      <c r="H16" s="21" t="s">
        <v>15</v>
      </c>
      <c r="I16" s="23" t="s">
        <v>47</v>
      </c>
      <c r="J16" s="24"/>
      <c r="K16" s="1"/>
      <c r="L16" s="1"/>
      <c r="M16" s="1"/>
      <c r="N16" s="1"/>
      <c r="O16" s="1"/>
      <c r="P16" s="1"/>
      <c r="Q16" s="1"/>
      <c r="R16" s="1"/>
      <c r="S16" s="1"/>
      <c r="T16" s="1"/>
      <c r="U16" s="1"/>
      <c r="V16" s="1"/>
      <c r="W16" s="1"/>
      <c r="X16" s="1"/>
      <c r="Y16" s="1"/>
      <c r="Z16" s="1"/>
      <c r="AA16" s="1"/>
      <c r="AB16" s="1"/>
      <c r="AC16" s="1"/>
      <c r="AD16" s="1"/>
    </row>
    <row r="17">
      <c r="A17" s="9" t="s">
        <v>48</v>
      </c>
      <c r="B17" s="10" t="s">
        <v>49</v>
      </c>
      <c r="C17" s="10" t="s">
        <v>50</v>
      </c>
      <c r="D17" s="11">
        <v>0.009</v>
      </c>
      <c r="E17" s="12" t="s">
        <v>13</v>
      </c>
      <c r="F17" s="13">
        <v>0.006</v>
      </c>
      <c r="G17" s="14" t="s">
        <v>21</v>
      </c>
      <c r="H17" s="12" t="s">
        <v>15</v>
      </c>
      <c r="I17" s="15" t="s">
        <v>16</v>
      </c>
      <c r="J17" s="16" t="s">
        <v>17</v>
      </c>
      <c r="K17" s="1"/>
      <c r="L17" s="1"/>
      <c r="M17" s="1"/>
      <c r="N17" s="1"/>
      <c r="O17" s="1"/>
      <c r="P17" s="1"/>
      <c r="Q17" s="1"/>
      <c r="R17" s="1"/>
      <c r="S17" s="1"/>
      <c r="T17" s="1"/>
      <c r="U17" s="1"/>
      <c r="V17" s="1"/>
      <c r="W17" s="1"/>
      <c r="X17" s="1"/>
      <c r="Y17" s="1"/>
      <c r="Z17" s="1"/>
      <c r="AA17" s="1"/>
      <c r="AB17" s="1"/>
      <c r="AC17" s="1"/>
      <c r="AD17" s="1"/>
    </row>
    <row r="18">
      <c r="A18" s="9" t="s">
        <v>48</v>
      </c>
      <c r="B18" s="10" t="s">
        <v>33</v>
      </c>
      <c r="C18" s="10" t="s">
        <v>34</v>
      </c>
      <c r="D18" s="11">
        <v>0.008</v>
      </c>
      <c r="E18" s="12" t="s">
        <v>20</v>
      </c>
      <c r="F18" s="13">
        <v>0.005</v>
      </c>
      <c r="G18" s="14" t="s">
        <v>21</v>
      </c>
      <c r="H18" s="12" t="s">
        <v>15</v>
      </c>
      <c r="I18" s="15" t="s">
        <v>16</v>
      </c>
      <c r="J18" s="16" t="s">
        <v>17</v>
      </c>
      <c r="K18" s="1"/>
      <c r="L18" s="1"/>
      <c r="M18" s="1"/>
      <c r="N18" s="1"/>
      <c r="O18" s="1"/>
      <c r="P18" s="1"/>
      <c r="Q18" s="1"/>
      <c r="R18" s="1"/>
      <c r="S18" s="1"/>
      <c r="T18" s="1"/>
      <c r="U18" s="1"/>
      <c r="V18" s="1"/>
      <c r="W18" s="1"/>
      <c r="X18" s="1"/>
      <c r="Y18" s="1"/>
      <c r="Z18" s="1"/>
      <c r="AA18" s="1"/>
      <c r="AB18" s="1"/>
      <c r="AC18" s="1"/>
      <c r="AD18" s="1"/>
    </row>
    <row r="19">
      <c r="A19" s="9" t="s">
        <v>48</v>
      </c>
      <c r="B19" s="10" t="s">
        <v>51</v>
      </c>
      <c r="C19" s="10" t="s">
        <v>23</v>
      </c>
      <c r="D19" s="11">
        <v>0.013</v>
      </c>
      <c r="E19" s="12" t="s">
        <v>24</v>
      </c>
      <c r="F19" s="13">
        <v>0.01</v>
      </c>
      <c r="G19" s="13">
        <v>0.003</v>
      </c>
      <c r="H19" s="12" t="s">
        <v>15</v>
      </c>
      <c r="I19" s="15" t="s">
        <v>16</v>
      </c>
      <c r="J19" s="16" t="s">
        <v>17</v>
      </c>
      <c r="K19" s="1"/>
      <c r="L19" s="1"/>
      <c r="M19" s="1"/>
      <c r="N19" s="1"/>
      <c r="O19" s="1"/>
      <c r="P19" s="1"/>
      <c r="Q19" s="1"/>
      <c r="R19" s="1"/>
      <c r="S19" s="1"/>
      <c r="T19" s="1"/>
      <c r="U19" s="1"/>
      <c r="V19" s="1"/>
      <c r="W19" s="1"/>
      <c r="X19" s="1"/>
      <c r="Y19" s="1"/>
      <c r="Z19" s="1"/>
      <c r="AA19" s="1"/>
      <c r="AB19" s="1"/>
      <c r="AC19" s="1"/>
      <c r="AD19" s="1"/>
    </row>
    <row r="20">
      <c r="A20" s="9" t="s">
        <v>52</v>
      </c>
      <c r="B20" s="10" t="s">
        <v>53</v>
      </c>
      <c r="C20" s="10" t="s">
        <v>54</v>
      </c>
      <c r="D20" s="11">
        <v>0.01</v>
      </c>
      <c r="E20" s="12" t="s">
        <v>13</v>
      </c>
      <c r="F20" s="13">
        <v>0.006</v>
      </c>
      <c r="G20" s="14" t="s">
        <v>14</v>
      </c>
      <c r="H20" s="12" t="s">
        <v>55</v>
      </c>
      <c r="I20" s="15" t="s">
        <v>16</v>
      </c>
      <c r="J20" s="16" t="s">
        <v>56</v>
      </c>
      <c r="K20" s="1"/>
      <c r="L20" s="1"/>
      <c r="M20" s="1"/>
      <c r="N20" s="1"/>
      <c r="O20" s="1"/>
      <c r="P20" s="1"/>
      <c r="Q20" s="1"/>
      <c r="R20" s="1"/>
      <c r="S20" s="1"/>
      <c r="T20" s="1"/>
      <c r="U20" s="1"/>
      <c r="V20" s="1"/>
      <c r="W20" s="1"/>
      <c r="X20" s="1"/>
      <c r="Y20" s="1"/>
      <c r="Z20" s="1"/>
      <c r="AA20" s="1"/>
      <c r="AB20" s="1"/>
      <c r="AC20" s="1"/>
      <c r="AD20" s="1"/>
    </row>
    <row r="21">
      <c r="A21" s="25" t="s">
        <v>57</v>
      </c>
      <c r="B21" s="26" t="s">
        <v>58</v>
      </c>
      <c r="C21" s="26" t="s">
        <v>23</v>
      </c>
      <c r="D21" s="27" t="s">
        <v>59</v>
      </c>
      <c r="E21" s="27" t="s">
        <v>24</v>
      </c>
      <c r="F21" s="28">
        <v>0.0085</v>
      </c>
      <c r="G21" s="28">
        <v>0.0115</v>
      </c>
      <c r="H21" s="27" t="s">
        <v>15</v>
      </c>
      <c r="I21" s="29" t="s">
        <v>16</v>
      </c>
      <c r="J21" s="30" t="s">
        <v>60</v>
      </c>
      <c r="K21" s="1"/>
      <c r="L21" s="1"/>
      <c r="M21" s="1"/>
      <c r="N21" s="1"/>
      <c r="O21" s="1"/>
      <c r="P21" s="1"/>
      <c r="Q21" s="1"/>
      <c r="R21" s="1"/>
      <c r="S21" s="1"/>
      <c r="T21" s="1"/>
      <c r="U21" s="1"/>
      <c r="V21" s="1"/>
      <c r="W21" s="1"/>
      <c r="X21" s="1"/>
      <c r="Y21" s="1"/>
      <c r="Z21" s="1"/>
      <c r="AA21" s="1"/>
      <c r="AB21" s="1"/>
      <c r="AC21" s="1"/>
      <c r="AD21" s="1"/>
    </row>
    <row r="22">
      <c r="A22" s="25" t="s">
        <v>57</v>
      </c>
      <c r="B22" s="26" t="s">
        <v>61</v>
      </c>
      <c r="C22" s="26" t="s">
        <v>62</v>
      </c>
      <c r="D22" s="27" t="s">
        <v>63</v>
      </c>
      <c r="E22" s="27" t="s">
        <v>64</v>
      </c>
      <c r="F22" s="28">
        <v>0.0085</v>
      </c>
      <c r="G22" s="28">
        <v>0.0115</v>
      </c>
      <c r="H22" s="27" t="s">
        <v>15</v>
      </c>
      <c r="I22" s="29" t="s">
        <v>16</v>
      </c>
      <c r="J22" s="30" t="s">
        <v>60</v>
      </c>
      <c r="K22" s="1"/>
      <c r="L22" s="1"/>
      <c r="M22" s="1"/>
      <c r="N22" s="1"/>
      <c r="O22" s="1"/>
      <c r="P22" s="1"/>
      <c r="Q22" s="1"/>
      <c r="R22" s="1"/>
      <c r="S22" s="1"/>
      <c r="T22" s="1"/>
      <c r="U22" s="1"/>
      <c r="V22" s="1"/>
      <c r="W22" s="1"/>
      <c r="X22" s="1"/>
      <c r="Y22" s="1"/>
      <c r="Z22" s="1"/>
      <c r="AA22" s="1"/>
      <c r="AB22" s="1"/>
      <c r="AC22" s="1"/>
      <c r="AD22" s="1"/>
    </row>
    <row r="23">
      <c r="A23" s="25" t="s">
        <v>65</v>
      </c>
      <c r="B23" s="26" t="s">
        <v>66</v>
      </c>
      <c r="C23" s="26" t="s">
        <v>23</v>
      </c>
      <c r="D23" s="27" t="s">
        <v>67</v>
      </c>
      <c r="E23" s="27" t="s">
        <v>24</v>
      </c>
      <c r="F23" s="28">
        <v>0.0075</v>
      </c>
      <c r="G23" s="28">
        <v>0.0085</v>
      </c>
      <c r="H23" s="27" t="s">
        <v>15</v>
      </c>
      <c r="I23" s="29" t="s">
        <v>16</v>
      </c>
      <c r="J23" s="30" t="s">
        <v>68</v>
      </c>
      <c r="K23" s="1"/>
      <c r="L23" s="1"/>
      <c r="M23" s="1"/>
      <c r="N23" s="1"/>
      <c r="O23" s="1"/>
      <c r="P23" s="1"/>
      <c r="Q23" s="1"/>
      <c r="R23" s="1"/>
      <c r="S23" s="1"/>
      <c r="T23" s="1"/>
      <c r="U23" s="1"/>
      <c r="V23" s="1"/>
      <c r="W23" s="1"/>
      <c r="X23" s="1"/>
      <c r="Y23" s="1"/>
      <c r="Z23" s="1"/>
      <c r="AA23" s="1"/>
      <c r="AB23" s="1"/>
      <c r="AC23" s="1"/>
      <c r="AD23" s="1"/>
    </row>
    <row r="24">
      <c r="A24" s="25" t="s">
        <v>65</v>
      </c>
      <c r="B24" s="26" t="s">
        <v>69</v>
      </c>
      <c r="C24" s="26" t="s">
        <v>62</v>
      </c>
      <c r="D24" s="27" t="s">
        <v>67</v>
      </c>
      <c r="E24" s="27" t="s">
        <v>13</v>
      </c>
      <c r="F24" s="28">
        <v>0.0075</v>
      </c>
      <c r="G24" s="28">
        <v>0.0085</v>
      </c>
      <c r="H24" s="27" t="s">
        <v>15</v>
      </c>
      <c r="I24" s="29" t="s">
        <v>16</v>
      </c>
      <c r="J24" s="30" t="s">
        <v>68</v>
      </c>
      <c r="K24" s="1"/>
      <c r="L24" s="1"/>
      <c r="M24" s="1"/>
      <c r="N24" s="1"/>
      <c r="O24" s="1"/>
      <c r="P24" s="1"/>
      <c r="Q24" s="1"/>
      <c r="R24" s="1"/>
      <c r="S24" s="1"/>
      <c r="T24" s="1"/>
      <c r="U24" s="1"/>
      <c r="V24" s="1"/>
      <c r="W24" s="1"/>
      <c r="X24" s="1"/>
      <c r="Y24" s="1"/>
      <c r="Z24" s="1"/>
      <c r="AA24" s="1"/>
      <c r="AB24" s="1"/>
      <c r="AC24" s="1"/>
      <c r="AD24" s="1"/>
    </row>
    <row r="25">
      <c r="A25" s="25" t="s">
        <v>70</v>
      </c>
      <c r="B25" s="26" t="s">
        <v>71</v>
      </c>
      <c r="C25" s="26" t="s">
        <v>23</v>
      </c>
      <c r="D25" s="31">
        <v>0.0675</v>
      </c>
      <c r="E25" s="27" t="s">
        <v>24</v>
      </c>
      <c r="F25" s="32" t="s">
        <v>72</v>
      </c>
      <c r="G25" s="32" t="s">
        <v>73</v>
      </c>
      <c r="H25" s="27" t="s">
        <v>74</v>
      </c>
      <c r="I25" s="29" t="s">
        <v>16</v>
      </c>
      <c r="J25" s="30" t="s">
        <v>75</v>
      </c>
      <c r="K25" s="1"/>
      <c r="L25" s="1"/>
      <c r="M25" s="1"/>
      <c r="N25" s="1"/>
      <c r="O25" s="1"/>
      <c r="P25" s="1"/>
      <c r="Q25" s="1"/>
      <c r="R25" s="1"/>
      <c r="S25" s="1"/>
      <c r="T25" s="1"/>
      <c r="U25" s="1"/>
      <c r="V25" s="1"/>
      <c r="W25" s="1"/>
      <c r="X25" s="1"/>
      <c r="Y25" s="1"/>
      <c r="Z25" s="1"/>
      <c r="AA25" s="1"/>
      <c r="AB25" s="1"/>
      <c r="AC25" s="1"/>
      <c r="AD25" s="1"/>
    </row>
    <row r="26">
      <c r="A26" s="25" t="s">
        <v>76</v>
      </c>
      <c r="B26" s="26" t="s">
        <v>77</v>
      </c>
      <c r="C26" s="26" t="s">
        <v>23</v>
      </c>
      <c r="D26" s="31">
        <v>0.032</v>
      </c>
      <c r="E26" s="27" t="s">
        <v>24</v>
      </c>
      <c r="F26" s="32" t="s">
        <v>78</v>
      </c>
      <c r="G26" s="32" t="s">
        <v>79</v>
      </c>
      <c r="H26" s="27" t="s">
        <v>80</v>
      </c>
      <c r="I26" s="29" t="s">
        <v>16</v>
      </c>
      <c r="J26" s="30" t="s">
        <v>81</v>
      </c>
      <c r="K26" s="1"/>
      <c r="L26" s="1"/>
      <c r="M26" s="1"/>
      <c r="N26" s="1"/>
      <c r="O26" s="1"/>
      <c r="P26" s="1"/>
      <c r="Q26" s="1"/>
      <c r="R26" s="1"/>
      <c r="S26" s="1"/>
      <c r="T26" s="1"/>
      <c r="U26" s="1"/>
      <c r="V26" s="1"/>
      <c r="W26" s="1"/>
      <c r="X26" s="1"/>
      <c r="Y26" s="1"/>
      <c r="Z26" s="1"/>
      <c r="AA26" s="1"/>
      <c r="AB26" s="1"/>
      <c r="AC26" s="1"/>
      <c r="AD26" s="1"/>
    </row>
    <row r="27" hidden="1">
      <c r="A27" s="25" t="s">
        <v>82</v>
      </c>
      <c r="B27" s="33"/>
      <c r="C27" s="33"/>
      <c r="D27" s="31">
        <v>0.028</v>
      </c>
      <c r="E27" s="27" t="s">
        <v>24</v>
      </c>
      <c r="F27" s="32" t="s">
        <v>83</v>
      </c>
      <c r="G27" s="32" t="s">
        <v>83</v>
      </c>
      <c r="H27" s="27" t="s">
        <v>84</v>
      </c>
      <c r="I27" s="29" t="s">
        <v>16</v>
      </c>
      <c r="J27" s="30" t="s">
        <v>85</v>
      </c>
      <c r="K27" s="1"/>
      <c r="L27" s="1"/>
      <c r="M27" s="1"/>
      <c r="N27" s="1"/>
      <c r="O27" s="1"/>
      <c r="P27" s="1"/>
      <c r="Q27" s="1"/>
      <c r="R27" s="1"/>
      <c r="S27" s="1"/>
      <c r="T27" s="1"/>
      <c r="U27" s="1"/>
      <c r="V27" s="1"/>
      <c r="W27" s="1"/>
      <c r="X27" s="1"/>
      <c r="Y27" s="1"/>
      <c r="Z27" s="1"/>
      <c r="AA27" s="1"/>
      <c r="AB27" s="1"/>
      <c r="AC27" s="1"/>
      <c r="AD27" s="1"/>
    </row>
    <row r="28" hidden="1">
      <c r="A28" s="25" t="s">
        <v>86</v>
      </c>
      <c r="B28" s="33"/>
      <c r="C28" s="33"/>
      <c r="D28" s="31">
        <v>0.055</v>
      </c>
      <c r="E28" s="27" t="s">
        <v>24</v>
      </c>
      <c r="F28" s="32" t="s">
        <v>83</v>
      </c>
      <c r="G28" s="32" t="s">
        <v>83</v>
      </c>
      <c r="H28" s="27" t="s">
        <v>87</v>
      </c>
      <c r="I28" s="29" t="s">
        <v>16</v>
      </c>
      <c r="J28" s="30" t="s">
        <v>88</v>
      </c>
      <c r="K28" s="1"/>
      <c r="L28" s="1"/>
      <c r="M28" s="1"/>
      <c r="N28" s="1"/>
      <c r="O28" s="1"/>
      <c r="P28" s="1"/>
      <c r="Q28" s="1"/>
      <c r="R28" s="1"/>
      <c r="S28" s="1"/>
      <c r="T28" s="1"/>
      <c r="U28" s="1"/>
      <c r="V28" s="1"/>
      <c r="W28" s="1"/>
      <c r="X28" s="1"/>
      <c r="Y28" s="1"/>
      <c r="Z28" s="1"/>
      <c r="AA28" s="1"/>
      <c r="AB28" s="1"/>
      <c r="AC28" s="1"/>
      <c r="AD28" s="1"/>
    </row>
    <row r="29">
      <c r="A29" s="34" t="s">
        <v>89</v>
      </c>
      <c r="B29" s="35" t="s">
        <v>90</v>
      </c>
      <c r="C29" s="35" t="s">
        <v>91</v>
      </c>
      <c r="D29" s="36">
        <v>0.07</v>
      </c>
      <c r="E29" s="37" t="s">
        <v>24</v>
      </c>
      <c r="F29" s="38">
        <v>0.0525</v>
      </c>
      <c r="G29" s="38">
        <v>0.0175</v>
      </c>
      <c r="H29" s="37" t="s">
        <v>92</v>
      </c>
      <c r="I29" s="39" t="s">
        <v>16</v>
      </c>
      <c r="J29" s="40" t="s">
        <v>93</v>
      </c>
      <c r="K29" s="1"/>
      <c r="L29" s="1"/>
      <c r="M29" s="1"/>
      <c r="N29" s="1"/>
      <c r="O29" s="1"/>
      <c r="P29" s="1"/>
      <c r="Q29" s="1"/>
      <c r="R29" s="1"/>
      <c r="S29" s="1"/>
      <c r="T29" s="1"/>
      <c r="U29" s="1"/>
      <c r="V29" s="1"/>
      <c r="W29" s="1"/>
      <c r="X29" s="1"/>
      <c r="Y29" s="1"/>
      <c r="Z29" s="1"/>
      <c r="AA29" s="1"/>
      <c r="AB29" s="1"/>
      <c r="AC29" s="1"/>
      <c r="AD29" s="1"/>
    </row>
    <row r="30">
      <c r="A30" s="34" t="s">
        <v>94</v>
      </c>
      <c r="B30" s="35" t="s">
        <v>95</v>
      </c>
      <c r="C30" s="35" t="s">
        <v>23</v>
      </c>
      <c r="D30" s="36">
        <v>0.015</v>
      </c>
      <c r="E30" s="37" t="s">
        <v>24</v>
      </c>
      <c r="F30" s="38">
        <v>0.004</v>
      </c>
      <c r="G30" s="38">
        <v>0.011</v>
      </c>
      <c r="H30" s="37" t="s">
        <v>96</v>
      </c>
      <c r="I30" s="39" t="s">
        <v>16</v>
      </c>
      <c r="J30" s="40" t="s">
        <v>17</v>
      </c>
      <c r="K30" s="1"/>
      <c r="L30" s="1"/>
      <c r="M30" s="1"/>
      <c r="N30" s="1"/>
      <c r="O30" s="1"/>
      <c r="P30" s="1"/>
      <c r="Q30" s="1"/>
      <c r="R30" s="1"/>
      <c r="S30" s="1"/>
      <c r="T30" s="1"/>
      <c r="U30" s="1"/>
      <c r="V30" s="1"/>
      <c r="W30" s="1"/>
      <c r="X30" s="1"/>
      <c r="Y30" s="1"/>
      <c r="Z30" s="1"/>
      <c r="AA30" s="1"/>
      <c r="AB30" s="1"/>
      <c r="AC30" s="1"/>
      <c r="AD30" s="1"/>
    </row>
    <row r="31">
      <c r="A31" s="34" t="s">
        <v>97</v>
      </c>
      <c r="B31" s="35" t="s">
        <v>98</v>
      </c>
      <c r="C31" s="35" t="s">
        <v>23</v>
      </c>
      <c r="D31" s="36">
        <v>0.0225</v>
      </c>
      <c r="E31" s="37" t="s">
        <v>24</v>
      </c>
      <c r="F31" s="38">
        <v>0.0122</v>
      </c>
      <c r="G31" s="38">
        <v>0.0103</v>
      </c>
      <c r="H31" s="37" t="s">
        <v>99</v>
      </c>
      <c r="I31" s="39" t="s">
        <v>16</v>
      </c>
      <c r="J31" s="40" t="s">
        <v>17</v>
      </c>
      <c r="K31" s="1"/>
      <c r="L31" s="1"/>
      <c r="M31" s="1"/>
      <c r="N31" s="1"/>
      <c r="O31" s="1"/>
      <c r="P31" s="1"/>
      <c r="Q31" s="1"/>
      <c r="R31" s="1"/>
      <c r="S31" s="1"/>
      <c r="T31" s="1"/>
      <c r="U31" s="1"/>
      <c r="V31" s="1"/>
      <c r="W31" s="1"/>
      <c r="X31" s="1"/>
      <c r="Y31" s="1"/>
      <c r="Z31" s="1"/>
      <c r="AA31" s="1"/>
      <c r="AB31" s="1"/>
      <c r="AC31" s="1"/>
      <c r="AD31" s="1"/>
    </row>
    <row r="32">
      <c r="A32" s="41" t="s">
        <v>100</v>
      </c>
      <c r="B32" s="42" t="s">
        <v>101</v>
      </c>
      <c r="C32" s="42" t="s">
        <v>23</v>
      </c>
      <c r="D32" s="43">
        <v>0.025</v>
      </c>
      <c r="E32" s="44" t="s">
        <v>24</v>
      </c>
      <c r="F32" s="45">
        <v>0.004</v>
      </c>
      <c r="G32" s="45">
        <v>0.021</v>
      </c>
      <c r="H32" s="44" t="s">
        <v>96</v>
      </c>
      <c r="I32" s="46" t="s">
        <v>16</v>
      </c>
      <c r="J32" s="47"/>
      <c r="K32" s="1"/>
      <c r="L32" s="1"/>
      <c r="M32" s="1"/>
      <c r="N32" s="1"/>
      <c r="O32" s="1"/>
      <c r="P32" s="1"/>
      <c r="Q32" s="1"/>
      <c r="R32" s="1"/>
      <c r="S32" s="1"/>
      <c r="T32" s="1"/>
      <c r="U32" s="1"/>
      <c r="V32" s="1"/>
      <c r="W32" s="1"/>
      <c r="X32" s="1"/>
      <c r="Y32" s="1"/>
      <c r="Z32" s="1"/>
      <c r="AA32" s="1"/>
      <c r="AB32" s="1"/>
      <c r="AC32" s="1"/>
      <c r="AD32" s="1"/>
    </row>
    <row r="33">
      <c r="A33" s="41" t="s">
        <v>102</v>
      </c>
      <c r="B33" s="42" t="s">
        <v>103</v>
      </c>
      <c r="C33" s="42" t="s">
        <v>23</v>
      </c>
      <c r="D33" s="43">
        <v>0.0225</v>
      </c>
      <c r="E33" s="44" t="s">
        <v>24</v>
      </c>
      <c r="F33" s="45">
        <v>0.004</v>
      </c>
      <c r="G33" s="45">
        <v>0.0185</v>
      </c>
      <c r="H33" s="44" t="s">
        <v>96</v>
      </c>
      <c r="I33" s="46" t="s">
        <v>16</v>
      </c>
      <c r="J33" s="47" t="s">
        <v>104</v>
      </c>
      <c r="K33" s="1"/>
      <c r="L33" s="1"/>
      <c r="M33" s="1"/>
      <c r="N33" s="1"/>
      <c r="O33" s="1"/>
      <c r="P33" s="1"/>
      <c r="Q33" s="1"/>
      <c r="R33" s="1"/>
      <c r="S33" s="1"/>
      <c r="T33" s="1"/>
      <c r="U33" s="1"/>
      <c r="V33" s="1"/>
      <c r="W33" s="1"/>
      <c r="X33" s="1"/>
      <c r="Y33" s="1"/>
      <c r="Z33" s="1"/>
      <c r="AA33" s="1"/>
      <c r="AB33" s="1"/>
      <c r="AC33" s="1"/>
      <c r="AD33" s="1"/>
    </row>
    <row r="34">
      <c r="A34" s="48" t="s">
        <v>105</v>
      </c>
      <c r="B34" s="49" t="s">
        <v>106</v>
      </c>
      <c r="C34" s="49" t="s">
        <v>23</v>
      </c>
      <c r="D34" s="50">
        <v>0.01</v>
      </c>
      <c r="E34" s="51" t="s">
        <v>24</v>
      </c>
      <c r="F34" s="52">
        <v>0.0065</v>
      </c>
      <c r="G34" s="52">
        <v>0.0035</v>
      </c>
      <c r="H34" s="51" t="s">
        <v>107</v>
      </c>
      <c r="I34" s="53" t="s">
        <v>16</v>
      </c>
      <c r="J34" s="54" t="s">
        <v>108</v>
      </c>
      <c r="K34" s="1"/>
      <c r="L34" s="1"/>
      <c r="M34" s="1"/>
      <c r="N34" s="1"/>
      <c r="O34" s="1"/>
      <c r="P34" s="1"/>
      <c r="Q34" s="1"/>
      <c r="R34" s="1"/>
      <c r="S34" s="1"/>
      <c r="T34" s="1"/>
      <c r="U34" s="1"/>
      <c r="V34" s="1"/>
      <c r="W34" s="1"/>
      <c r="X34" s="1"/>
      <c r="Y34" s="1"/>
      <c r="Z34" s="1"/>
      <c r="AA34" s="1"/>
      <c r="AB34" s="1"/>
      <c r="AC34" s="1"/>
      <c r="AD34" s="1"/>
    </row>
    <row r="35">
      <c r="A35" s="48" t="s">
        <v>109</v>
      </c>
      <c r="B35" s="49" t="s">
        <v>110</v>
      </c>
      <c r="C35" s="49" t="s">
        <v>23</v>
      </c>
      <c r="D35" s="50">
        <v>0.009</v>
      </c>
      <c r="E35" s="51" t="s">
        <v>24</v>
      </c>
      <c r="F35" s="52">
        <v>0.004</v>
      </c>
      <c r="G35" s="52">
        <v>0.005</v>
      </c>
      <c r="H35" s="51" t="s">
        <v>96</v>
      </c>
      <c r="I35" s="53" t="s">
        <v>16</v>
      </c>
      <c r="J35" s="54" t="s">
        <v>17</v>
      </c>
      <c r="K35" s="1"/>
      <c r="L35" s="1"/>
      <c r="M35" s="1"/>
      <c r="N35" s="1"/>
      <c r="O35" s="1"/>
      <c r="P35" s="1"/>
      <c r="Q35" s="1"/>
      <c r="R35" s="1"/>
      <c r="S35" s="1"/>
      <c r="T35" s="1"/>
      <c r="U35" s="1"/>
      <c r="V35" s="1"/>
      <c r="W35" s="1"/>
      <c r="X35" s="1"/>
      <c r="Y35" s="1"/>
      <c r="Z35" s="1"/>
      <c r="AA35" s="1"/>
      <c r="AB35" s="1"/>
      <c r="AC35" s="1"/>
      <c r="AD35" s="1"/>
    </row>
    <row r="36">
      <c r="A36" s="48" t="s">
        <v>111</v>
      </c>
      <c r="B36" s="49" t="s">
        <v>112</v>
      </c>
      <c r="C36" s="49" t="s">
        <v>23</v>
      </c>
      <c r="D36" s="50">
        <v>0.0075</v>
      </c>
      <c r="E36" s="51" t="s">
        <v>24</v>
      </c>
      <c r="F36" s="52">
        <v>0.004</v>
      </c>
      <c r="G36" s="52">
        <v>0.0035</v>
      </c>
      <c r="H36" s="51" t="s">
        <v>113</v>
      </c>
      <c r="I36" s="53" t="s">
        <v>16</v>
      </c>
      <c r="J36" s="54" t="s">
        <v>114</v>
      </c>
      <c r="K36" s="1"/>
      <c r="L36" s="1"/>
      <c r="M36" s="1"/>
      <c r="N36" s="1"/>
      <c r="O36" s="1"/>
      <c r="P36" s="1"/>
      <c r="Q36" s="1"/>
      <c r="R36" s="1"/>
      <c r="S36" s="1"/>
      <c r="T36" s="1"/>
      <c r="U36" s="1"/>
      <c r="V36" s="1"/>
      <c r="W36" s="1"/>
      <c r="X36" s="1"/>
      <c r="Y36" s="1"/>
      <c r="Z36" s="1"/>
      <c r="AA36" s="1"/>
      <c r="AB36" s="1"/>
      <c r="AC36" s="1"/>
      <c r="AD36" s="1"/>
    </row>
    <row r="37">
      <c r="A37" s="55" t="s">
        <v>115</v>
      </c>
      <c r="B37" s="56" t="s">
        <v>116</v>
      </c>
      <c r="C37" s="56" t="s">
        <v>117</v>
      </c>
      <c r="D37" s="57">
        <v>0.02</v>
      </c>
      <c r="E37" s="58" t="s">
        <v>24</v>
      </c>
      <c r="F37" s="59" t="s">
        <v>118</v>
      </c>
      <c r="G37" s="59" t="s">
        <v>119</v>
      </c>
      <c r="H37" s="60" t="s">
        <v>120</v>
      </c>
      <c r="I37" s="61" t="s">
        <v>16</v>
      </c>
      <c r="J37" s="62" t="s">
        <v>121</v>
      </c>
      <c r="K37" s="63"/>
      <c r="L37" s="63"/>
      <c r="M37" s="63"/>
      <c r="N37" s="63"/>
      <c r="O37" s="63"/>
      <c r="P37" s="63"/>
      <c r="Q37" s="63"/>
      <c r="R37" s="63"/>
      <c r="S37" s="63"/>
      <c r="T37" s="63"/>
      <c r="U37" s="63"/>
      <c r="V37" s="63"/>
      <c r="W37" s="63"/>
      <c r="X37" s="63"/>
      <c r="Y37" s="63"/>
      <c r="Z37" s="63"/>
      <c r="AA37" s="63"/>
      <c r="AB37" s="63"/>
      <c r="AC37" s="63"/>
      <c r="AD37" s="63"/>
    </row>
    <row r="38">
      <c r="A38" s="55" t="s">
        <v>122</v>
      </c>
      <c r="B38" s="56" t="s">
        <v>123</v>
      </c>
      <c r="C38" s="56" t="s">
        <v>124</v>
      </c>
      <c r="D38" s="57">
        <v>0.02</v>
      </c>
      <c r="E38" s="58" t="s">
        <v>125</v>
      </c>
      <c r="F38" s="64" t="s">
        <v>126</v>
      </c>
      <c r="G38" s="64" t="s">
        <v>127</v>
      </c>
      <c r="H38" s="58" t="s">
        <v>15</v>
      </c>
      <c r="I38" s="65" t="s">
        <v>16</v>
      </c>
      <c r="J38" s="62" t="s">
        <v>128</v>
      </c>
      <c r="K38" s="63"/>
      <c r="L38" s="63"/>
      <c r="M38" s="63"/>
      <c r="N38" s="63"/>
      <c r="O38" s="63"/>
      <c r="P38" s="63"/>
      <c r="Q38" s="63"/>
      <c r="R38" s="63"/>
      <c r="S38" s="63"/>
      <c r="T38" s="63"/>
      <c r="U38" s="63"/>
      <c r="V38" s="63"/>
      <c r="W38" s="63"/>
      <c r="X38" s="63"/>
      <c r="Y38" s="63"/>
      <c r="Z38" s="63"/>
      <c r="AA38" s="63"/>
      <c r="AB38" s="63"/>
      <c r="AC38" s="63"/>
      <c r="AD38" s="63"/>
    </row>
    <row r="39">
      <c r="A39" s="55" t="s">
        <v>129</v>
      </c>
      <c r="B39" s="56" t="s">
        <v>130</v>
      </c>
      <c r="C39" s="56" t="s">
        <v>124</v>
      </c>
      <c r="D39" s="57">
        <v>0.0075</v>
      </c>
      <c r="E39" s="58" t="s">
        <v>125</v>
      </c>
      <c r="F39" s="64" t="s">
        <v>126</v>
      </c>
      <c r="G39" s="64" t="s">
        <v>131</v>
      </c>
      <c r="H39" s="58" t="s">
        <v>15</v>
      </c>
      <c r="I39" s="65" t="s">
        <v>16</v>
      </c>
      <c r="J39" s="62" t="s">
        <v>128</v>
      </c>
      <c r="K39" s="63"/>
      <c r="L39" s="63"/>
      <c r="M39" s="63"/>
      <c r="N39" s="63"/>
      <c r="O39" s="63"/>
      <c r="P39" s="63"/>
      <c r="Q39" s="63"/>
      <c r="R39" s="63"/>
      <c r="S39" s="63"/>
      <c r="T39" s="63"/>
      <c r="U39" s="63"/>
      <c r="V39" s="63"/>
      <c r="W39" s="63"/>
      <c r="X39" s="63"/>
      <c r="Y39" s="63"/>
      <c r="Z39" s="63"/>
      <c r="AA39" s="63"/>
      <c r="AB39" s="63"/>
      <c r="AC39" s="63"/>
      <c r="AD39" s="63"/>
    </row>
    <row r="40">
      <c r="A40" s="66" t="s">
        <v>132</v>
      </c>
      <c r="B40" s="56" t="s">
        <v>133</v>
      </c>
      <c r="C40" s="56" t="s">
        <v>124</v>
      </c>
      <c r="D40" s="67">
        <v>0.015</v>
      </c>
      <c r="E40" s="68" t="s">
        <v>125</v>
      </c>
      <c r="F40" s="64" t="s">
        <v>126</v>
      </c>
      <c r="G40" s="69" t="s">
        <v>134</v>
      </c>
      <c r="H40" s="68" t="s">
        <v>15</v>
      </c>
      <c r="I40" s="70" t="s">
        <v>16</v>
      </c>
      <c r="J40" s="62" t="s">
        <v>128</v>
      </c>
      <c r="K40" s="63"/>
      <c r="L40" s="63"/>
      <c r="M40" s="63"/>
      <c r="N40" s="63"/>
      <c r="O40" s="63"/>
      <c r="P40" s="63"/>
      <c r="Q40" s="63"/>
      <c r="R40" s="63"/>
      <c r="S40" s="63"/>
      <c r="T40" s="63"/>
      <c r="U40" s="63"/>
      <c r="V40" s="63"/>
      <c r="W40" s="63"/>
      <c r="X40" s="63"/>
      <c r="Y40" s="63"/>
      <c r="Z40" s="63"/>
      <c r="AA40" s="63"/>
      <c r="AB40" s="63"/>
      <c r="AC40" s="63"/>
      <c r="AD40" s="63"/>
    </row>
    <row r="41">
      <c r="A41" s="66" t="s">
        <v>135</v>
      </c>
      <c r="B41" s="56" t="s">
        <v>136</v>
      </c>
      <c r="C41" s="56" t="s">
        <v>124</v>
      </c>
      <c r="D41" s="67">
        <v>0.015</v>
      </c>
      <c r="E41" s="68" t="s">
        <v>125</v>
      </c>
      <c r="F41" s="64" t="s">
        <v>126</v>
      </c>
      <c r="G41" s="69" t="s">
        <v>134</v>
      </c>
      <c r="H41" s="68" t="s">
        <v>15</v>
      </c>
      <c r="I41" s="70" t="s">
        <v>16</v>
      </c>
      <c r="J41" s="62" t="s">
        <v>128</v>
      </c>
      <c r="K41" s="63"/>
      <c r="L41" s="63"/>
      <c r="M41" s="63"/>
      <c r="N41" s="63"/>
      <c r="O41" s="63"/>
      <c r="P41" s="63"/>
      <c r="Q41" s="63"/>
      <c r="R41" s="63"/>
      <c r="S41" s="63"/>
      <c r="T41" s="63"/>
      <c r="U41" s="63"/>
      <c r="V41" s="63"/>
      <c r="W41" s="63"/>
      <c r="X41" s="63"/>
      <c r="Y41" s="63"/>
      <c r="Z41" s="63"/>
      <c r="AA41" s="63"/>
      <c r="AB41" s="63"/>
      <c r="AC41" s="63"/>
      <c r="AD41" s="63"/>
    </row>
    <row r="42">
      <c r="A42" s="66" t="s">
        <v>137</v>
      </c>
      <c r="B42" s="56" t="s">
        <v>138</v>
      </c>
      <c r="C42" s="56" t="s">
        <v>124</v>
      </c>
      <c r="D42" s="67">
        <v>0.015</v>
      </c>
      <c r="E42" s="68" t="s">
        <v>125</v>
      </c>
      <c r="F42" s="64" t="s">
        <v>126</v>
      </c>
      <c r="G42" s="69" t="s">
        <v>134</v>
      </c>
      <c r="H42" s="68" t="s">
        <v>15</v>
      </c>
      <c r="I42" s="70" t="s">
        <v>16</v>
      </c>
      <c r="J42" s="62" t="s">
        <v>128</v>
      </c>
      <c r="K42" s="1"/>
      <c r="L42" s="1"/>
      <c r="M42" s="1"/>
      <c r="N42" s="1"/>
      <c r="O42" s="1"/>
      <c r="P42" s="1"/>
      <c r="Q42" s="1"/>
      <c r="R42" s="1"/>
      <c r="S42" s="1"/>
      <c r="T42" s="1"/>
      <c r="U42" s="1"/>
      <c r="V42" s="1"/>
      <c r="W42" s="1"/>
      <c r="X42" s="1"/>
      <c r="Y42" s="1"/>
      <c r="Z42" s="1"/>
      <c r="AA42" s="1"/>
      <c r="AB42" s="1"/>
      <c r="AC42" s="1"/>
      <c r="AD42" s="1"/>
    </row>
    <row r="43">
      <c r="A43" s="71" t="s">
        <v>139</v>
      </c>
      <c r="B43" s="72" t="s">
        <v>140</v>
      </c>
      <c r="C43" s="72" t="s">
        <v>23</v>
      </c>
      <c r="D43" s="73" t="s">
        <v>141</v>
      </c>
      <c r="E43" s="37" t="s">
        <v>24</v>
      </c>
      <c r="F43" s="74" t="s">
        <v>142</v>
      </c>
      <c r="G43" s="75">
        <v>0.005</v>
      </c>
      <c r="H43" s="76" t="s">
        <v>143</v>
      </c>
      <c r="I43" s="77" t="s">
        <v>16</v>
      </c>
      <c r="J43" s="78" t="s">
        <v>144</v>
      </c>
      <c r="K43" s="1"/>
      <c r="L43" s="1"/>
      <c r="M43" s="1"/>
      <c r="N43" s="1"/>
      <c r="O43" s="1"/>
      <c r="P43" s="1"/>
      <c r="Q43" s="1"/>
      <c r="R43" s="1"/>
      <c r="S43" s="1"/>
      <c r="T43" s="1"/>
      <c r="U43" s="1"/>
      <c r="V43" s="1"/>
      <c r="W43" s="1"/>
      <c r="X43" s="1"/>
      <c r="Y43" s="1"/>
      <c r="Z43" s="1"/>
      <c r="AA43" s="1"/>
      <c r="AB43" s="1"/>
      <c r="AC43" s="1"/>
      <c r="AD43" s="1"/>
    </row>
    <row r="44">
      <c r="A44" s="71" t="s">
        <v>145</v>
      </c>
      <c r="B44" s="72" t="s">
        <v>146</v>
      </c>
      <c r="C44" s="72" t="s">
        <v>147</v>
      </c>
      <c r="D44" s="73">
        <v>0.04</v>
      </c>
      <c r="E44" s="37" t="s">
        <v>24</v>
      </c>
      <c r="F44" s="74">
        <v>0.03</v>
      </c>
      <c r="G44" s="75">
        <v>0.01</v>
      </c>
      <c r="H44" s="76" t="s">
        <v>148</v>
      </c>
      <c r="I44" s="77" t="s">
        <v>16</v>
      </c>
      <c r="J44" s="78" t="s">
        <v>17</v>
      </c>
      <c r="K44" s="1"/>
      <c r="L44" s="1"/>
      <c r="M44" s="1"/>
      <c r="N44" s="1"/>
      <c r="O44" s="1"/>
      <c r="P44" s="1"/>
      <c r="Q44" s="1"/>
      <c r="R44" s="1"/>
      <c r="S44" s="1"/>
      <c r="T44" s="1"/>
      <c r="U44" s="1"/>
      <c r="V44" s="1"/>
      <c r="W44" s="1"/>
      <c r="X44" s="1"/>
      <c r="Y44" s="1"/>
      <c r="Z44" s="1"/>
      <c r="AA44" s="1"/>
      <c r="AB44" s="1"/>
      <c r="AC44" s="1"/>
      <c r="AD44" s="1"/>
    </row>
    <row r="45">
      <c r="A45" s="79" t="s">
        <v>149</v>
      </c>
      <c r="B45" s="80" t="s">
        <v>150</v>
      </c>
      <c r="C45" s="80" t="s">
        <v>91</v>
      </c>
      <c r="D45" s="81">
        <v>0.005</v>
      </c>
      <c r="E45" s="82" t="s">
        <v>24</v>
      </c>
      <c r="F45" s="83" t="s">
        <v>151</v>
      </c>
      <c r="G45" s="84">
        <v>0.0</v>
      </c>
      <c r="H45" s="85" t="s">
        <v>152</v>
      </c>
      <c r="I45" s="86" t="s">
        <v>16</v>
      </c>
      <c r="J45" s="87"/>
      <c r="K45" s="1"/>
      <c r="L45" s="1"/>
      <c r="M45" s="1"/>
      <c r="N45" s="1"/>
      <c r="O45" s="1"/>
      <c r="P45" s="1"/>
      <c r="Q45" s="1"/>
      <c r="R45" s="1"/>
      <c r="S45" s="1"/>
      <c r="T45" s="1"/>
      <c r="U45" s="1"/>
      <c r="V45" s="1"/>
      <c r="W45" s="1"/>
      <c r="X45" s="1"/>
      <c r="Y45" s="1"/>
      <c r="Z45" s="1"/>
      <c r="AA45" s="1"/>
      <c r="AB45" s="1"/>
      <c r="AC45" s="1"/>
      <c r="AD45" s="1"/>
    </row>
    <row r="46">
      <c r="A46" s="88" t="s">
        <v>153</v>
      </c>
      <c r="B46" s="89" t="s">
        <v>154</v>
      </c>
      <c r="C46" s="89" t="s">
        <v>155</v>
      </c>
      <c r="D46" s="90">
        <v>0.0</v>
      </c>
      <c r="E46" s="91" t="s">
        <v>24</v>
      </c>
      <c r="F46" s="92" t="s">
        <v>151</v>
      </c>
      <c r="G46" s="93">
        <v>0.0</v>
      </c>
      <c r="H46" s="94" t="s">
        <v>92</v>
      </c>
      <c r="I46" s="95" t="s">
        <v>16</v>
      </c>
      <c r="J46" s="96" t="s">
        <v>156</v>
      </c>
      <c r="K46" s="1"/>
      <c r="L46" s="1"/>
      <c r="M46" s="1"/>
      <c r="N46" s="1"/>
      <c r="O46" s="1"/>
      <c r="P46" s="1"/>
      <c r="Q46" s="1"/>
      <c r="R46" s="1"/>
      <c r="S46" s="1"/>
      <c r="T46" s="1"/>
      <c r="U46" s="1"/>
      <c r="V46" s="1"/>
      <c r="W46" s="1"/>
      <c r="X46" s="1"/>
      <c r="Y46" s="1"/>
      <c r="Z46" s="1"/>
      <c r="AA46" s="1"/>
      <c r="AB46" s="1"/>
      <c r="AC46" s="1"/>
      <c r="AD46" s="1"/>
    </row>
    <row r="47">
      <c r="A47" s="97" t="s">
        <v>157</v>
      </c>
      <c r="B47" s="98" t="s">
        <v>158</v>
      </c>
      <c r="C47" s="98" t="s">
        <v>158</v>
      </c>
      <c r="D47" s="99">
        <v>0.0</v>
      </c>
      <c r="E47" s="99" t="s">
        <v>24</v>
      </c>
      <c r="F47" s="100" t="s">
        <v>159</v>
      </c>
      <c r="G47" s="101">
        <v>0.0</v>
      </c>
      <c r="H47" s="102" t="s">
        <v>160</v>
      </c>
      <c r="I47" s="103" t="s">
        <v>16</v>
      </c>
      <c r="J47" s="103" t="s">
        <v>156</v>
      </c>
      <c r="K47" s="1"/>
      <c r="L47" s="1"/>
      <c r="M47" s="1"/>
      <c r="N47" s="1"/>
      <c r="O47" s="1"/>
      <c r="P47" s="1"/>
      <c r="Q47" s="1"/>
      <c r="R47" s="1"/>
      <c r="S47" s="1"/>
      <c r="T47" s="1"/>
      <c r="U47" s="1"/>
      <c r="V47" s="1"/>
      <c r="W47" s="1"/>
      <c r="X47" s="1"/>
      <c r="Y47" s="1"/>
      <c r="Z47" s="1"/>
      <c r="AA47" s="1"/>
      <c r="AB47" s="1"/>
      <c r="AC47" s="1"/>
      <c r="AD47" s="1"/>
    </row>
    <row r="48">
      <c r="A48" s="1"/>
      <c r="B48" s="104"/>
      <c r="C48" s="1"/>
      <c r="D48" s="1"/>
      <c r="E48" s="1"/>
      <c r="F48" s="2"/>
      <c r="G48" s="2"/>
      <c r="H48" s="1"/>
      <c r="I48" s="1"/>
      <c r="J48" s="1"/>
      <c r="K48" s="1"/>
      <c r="L48" s="1"/>
      <c r="M48" s="1"/>
      <c r="N48" s="1"/>
      <c r="O48" s="1"/>
      <c r="P48" s="1"/>
      <c r="Q48" s="1"/>
      <c r="R48" s="1"/>
      <c r="S48" s="1"/>
      <c r="T48" s="1"/>
      <c r="U48" s="1"/>
      <c r="V48" s="1"/>
      <c r="W48" s="1"/>
      <c r="X48" s="1"/>
      <c r="Y48" s="1"/>
      <c r="Z48" s="1"/>
      <c r="AA48" s="1"/>
      <c r="AB48" s="1"/>
      <c r="AC48" s="1"/>
      <c r="AD48" s="1"/>
    </row>
    <row r="49">
      <c r="A49" s="1"/>
      <c r="B49" s="104"/>
      <c r="C49" s="1"/>
      <c r="D49" s="1"/>
      <c r="E49" s="1"/>
      <c r="F49" s="2"/>
      <c r="G49" s="2"/>
      <c r="H49" s="1"/>
      <c r="I49" s="1"/>
      <c r="J49" s="1"/>
      <c r="K49" s="1"/>
      <c r="L49" s="1"/>
      <c r="M49" s="1"/>
      <c r="N49" s="1"/>
      <c r="O49" s="1"/>
      <c r="P49" s="1"/>
      <c r="Q49" s="1"/>
      <c r="R49" s="1"/>
      <c r="S49" s="1"/>
      <c r="T49" s="1"/>
      <c r="U49" s="1"/>
      <c r="V49" s="1"/>
      <c r="W49" s="1"/>
      <c r="X49" s="1"/>
      <c r="Y49" s="1"/>
      <c r="Z49" s="1"/>
      <c r="AA49" s="1"/>
      <c r="AB49" s="1"/>
      <c r="AC49" s="1"/>
      <c r="AD49" s="1"/>
    </row>
    <row r="50">
      <c r="A50" s="104"/>
      <c r="B50" s="104"/>
      <c r="C50" s="1"/>
      <c r="D50" s="1"/>
      <c r="E50" s="1"/>
      <c r="F50" s="2"/>
      <c r="G50" s="2"/>
      <c r="H50" s="1"/>
      <c r="I50" s="1"/>
      <c r="J50" s="1"/>
      <c r="K50" s="1"/>
      <c r="L50" s="1"/>
      <c r="M50" s="1"/>
      <c r="N50" s="1"/>
      <c r="O50" s="1"/>
      <c r="P50" s="1"/>
      <c r="Q50" s="1"/>
      <c r="R50" s="1"/>
      <c r="S50" s="1"/>
      <c r="T50" s="1"/>
      <c r="U50" s="1"/>
      <c r="V50" s="1"/>
      <c r="W50" s="1"/>
      <c r="X50" s="1"/>
      <c r="Y50" s="1"/>
      <c r="Z50" s="1"/>
      <c r="AA50" s="1"/>
      <c r="AB50" s="1"/>
      <c r="AC50" s="1"/>
      <c r="AD50" s="1"/>
    </row>
    <row r="51">
      <c r="A51" s="104"/>
      <c r="B51" s="104"/>
      <c r="C51" s="1"/>
      <c r="D51" s="1"/>
      <c r="E51" s="1"/>
      <c r="F51" s="2"/>
      <c r="G51" s="2"/>
      <c r="H51" s="1"/>
      <c r="I51" s="1"/>
      <c r="J51" s="1"/>
      <c r="K51" s="1"/>
      <c r="L51" s="1"/>
      <c r="M51" s="1"/>
      <c r="N51" s="1"/>
      <c r="O51" s="1"/>
      <c r="P51" s="1"/>
      <c r="Q51" s="1"/>
      <c r="R51" s="1"/>
      <c r="S51" s="1"/>
      <c r="T51" s="1"/>
      <c r="U51" s="1"/>
      <c r="V51" s="1"/>
      <c r="W51" s="1"/>
      <c r="X51" s="1"/>
      <c r="Y51" s="1"/>
      <c r="Z51" s="1"/>
      <c r="AA51" s="1"/>
      <c r="AB51" s="1"/>
      <c r="AC51" s="1"/>
      <c r="AD51" s="1"/>
    </row>
    <row r="52">
      <c r="A52" s="1"/>
      <c r="B52" s="104"/>
      <c r="C52" s="1"/>
      <c r="D52" s="1"/>
      <c r="E52" s="1"/>
      <c r="F52" s="2"/>
      <c r="G52" s="2"/>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2"/>
      <c r="G53" s="2"/>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2"/>
      <c r="G54" s="2"/>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2"/>
      <c r="G55" s="2"/>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2"/>
      <c r="G56" s="2"/>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2"/>
      <c r="G57" s="2"/>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2"/>
      <c r="G58" s="2"/>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2"/>
      <c r="G59" s="2"/>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2"/>
      <c r="G60" s="2"/>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2"/>
      <c r="G61" s="2"/>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2"/>
      <c r="G62" s="2"/>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2"/>
      <c r="G63" s="2"/>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2"/>
      <c r="G64" s="2"/>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2"/>
      <c r="G65" s="2"/>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2"/>
      <c r="G66" s="2"/>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2"/>
      <c r="G67" s="2"/>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2"/>
      <c r="G68" s="2"/>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2"/>
      <c r="G69" s="2"/>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2"/>
      <c r="G70" s="2"/>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2"/>
      <c r="G71" s="2"/>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2"/>
      <c r="G72" s="2"/>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2"/>
      <c r="G73" s="2"/>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2"/>
      <c r="G74" s="2"/>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2"/>
      <c r="G75" s="2"/>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2"/>
      <c r="G76" s="2"/>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2"/>
      <c r="G77" s="2"/>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2"/>
      <c r="G78" s="2"/>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2"/>
      <c r="G79" s="2"/>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2"/>
      <c r="G80" s="2"/>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2"/>
      <c r="G81" s="2"/>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2"/>
      <c r="G82" s="2"/>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2"/>
      <c r="G83" s="2"/>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2"/>
      <c r="G84" s="2"/>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2"/>
      <c r="G85" s="2"/>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2"/>
      <c r="G86" s="2"/>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2"/>
      <c r="G87" s="2"/>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2"/>
      <c r="G88" s="2"/>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2"/>
      <c r="G89" s="2"/>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2"/>
      <c r="G90" s="2"/>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2"/>
      <c r="G91" s="2"/>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2"/>
      <c r="G92" s="2"/>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2"/>
      <c r="G93" s="2"/>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2"/>
      <c r="G94" s="2"/>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2"/>
      <c r="G95" s="2"/>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2"/>
      <c r="G96" s="2"/>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2"/>
      <c r="G97" s="2"/>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2"/>
      <c r="G98" s="2"/>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2"/>
      <c r="G99" s="2"/>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2"/>
      <c r="G100" s="2"/>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2"/>
      <c r="G101" s="2"/>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2"/>
      <c r="G102" s="2"/>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2"/>
      <c r="G103" s="2"/>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2"/>
      <c r="G104" s="2"/>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2"/>
      <c r="G105" s="2"/>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2"/>
      <c r="G106" s="2"/>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2"/>
      <c r="G107" s="2"/>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2"/>
      <c r="G108" s="2"/>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2"/>
      <c r="G109" s="2"/>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2"/>
      <c r="G110" s="2"/>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2"/>
      <c r="G111" s="2"/>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2"/>
      <c r="G112" s="2"/>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2"/>
      <c r="G113" s="2"/>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2"/>
      <c r="G114" s="2"/>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2"/>
      <c r="G115" s="2"/>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2"/>
      <c r="G116" s="2"/>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2"/>
      <c r="G117" s="2"/>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2"/>
      <c r="G118" s="2"/>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2"/>
      <c r="G119" s="2"/>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2"/>
      <c r="G120" s="2"/>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2"/>
      <c r="G121" s="2"/>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2"/>
      <c r="G122" s="2"/>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2"/>
      <c r="G123" s="2"/>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2"/>
      <c r="G124" s="2"/>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2"/>
      <c r="G125" s="2"/>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2"/>
      <c r="G126" s="2"/>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2"/>
      <c r="G127" s="2"/>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2"/>
      <c r="G128" s="2"/>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2"/>
      <c r="G129" s="2"/>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2"/>
      <c r="G130" s="2"/>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2"/>
      <c r="G131" s="2"/>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2"/>
      <c r="G132" s="2"/>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2"/>
      <c r="G133" s="2"/>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2"/>
      <c r="G134" s="2"/>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2"/>
      <c r="G135" s="2"/>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2"/>
      <c r="G136" s="2"/>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2"/>
      <c r="G137" s="2"/>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2"/>
      <c r="G138" s="2"/>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2"/>
      <c r="G139" s="2"/>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2"/>
      <c r="G140" s="2"/>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2"/>
      <c r="G141" s="2"/>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2"/>
      <c r="G142" s="2"/>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2"/>
      <c r="G143" s="2"/>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2"/>
      <c r="G144" s="2"/>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2"/>
      <c r="G145" s="2"/>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2"/>
      <c r="G146" s="2"/>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2"/>
      <c r="G147" s="2"/>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2"/>
      <c r="G148" s="2"/>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2"/>
      <c r="G149" s="2"/>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2"/>
      <c r="G150" s="2"/>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2"/>
      <c r="G151" s="2"/>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2"/>
      <c r="G152" s="2"/>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2"/>
      <c r="G153" s="2"/>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2"/>
      <c r="G154" s="2"/>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2"/>
      <c r="G155" s="2"/>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2"/>
      <c r="G156" s="2"/>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2"/>
      <c r="G157" s="2"/>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2"/>
      <c r="G158" s="2"/>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2"/>
      <c r="G159" s="2"/>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2"/>
      <c r="G160" s="2"/>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2"/>
      <c r="G161" s="2"/>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2"/>
      <c r="G162" s="2"/>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2"/>
      <c r="G163" s="2"/>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2"/>
      <c r="G164" s="2"/>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2"/>
      <c r="G165" s="2"/>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2"/>
      <c r="G166" s="2"/>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2"/>
      <c r="G167" s="2"/>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2"/>
      <c r="G168" s="2"/>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2"/>
      <c r="G169" s="2"/>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2"/>
      <c r="G170" s="2"/>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2"/>
      <c r="G171" s="2"/>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2"/>
      <c r="G172" s="2"/>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2"/>
      <c r="G173" s="2"/>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2"/>
      <c r="G174" s="2"/>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2"/>
      <c r="G175" s="2"/>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2"/>
      <c r="G176" s="2"/>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2"/>
      <c r="G177" s="2"/>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2"/>
      <c r="G178" s="2"/>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2"/>
      <c r="G179" s="2"/>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2"/>
      <c r="G180" s="2"/>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2"/>
      <c r="G181" s="2"/>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2"/>
      <c r="G182" s="2"/>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2"/>
      <c r="G183" s="2"/>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2"/>
      <c r="G184" s="2"/>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2"/>
      <c r="G185" s="2"/>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2"/>
      <c r="G186" s="2"/>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2"/>
      <c r="G187" s="2"/>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2"/>
      <c r="G188" s="2"/>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2"/>
      <c r="G189" s="2"/>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2"/>
      <c r="G190" s="2"/>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2"/>
      <c r="G191" s="2"/>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2"/>
      <c r="G192" s="2"/>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2"/>
      <c r="G193" s="2"/>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2"/>
      <c r="G194" s="2"/>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2"/>
      <c r="G195" s="2"/>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2"/>
      <c r="G196" s="2"/>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2"/>
      <c r="G197" s="2"/>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2"/>
      <c r="G198" s="2"/>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2"/>
      <c r="G199" s="2"/>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2"/>
      <c r="G200" s="2"/>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2"/>
      <c r="G201" s="2"/>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2"/>
      <c r="G202" s="2"/>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2"/>
      <c r="G203" s="2"/>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2"/>
      <c r="G204" s="2"/>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2"/>
      <c r="G205" s="2"/>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2"/>
      <c r="G206" s="2"/>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2"/>
      <c r="G207" s="2"/>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2"/>
      <c r="G208" s="2"/>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2"/>
      <c r="G209" s="2"/>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2"/>
      <c r="G210" s="2"/>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2"/>
      <c r="G211" s="2"/>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2"/>
      <c r="G212" s="2"/>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2"/>
      <c r="G213" s="2"/>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2"/>
      <c r="G214" s="2"/>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2"/>
      <c r="G215" s="2"/>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2"/>
      <c r="G216" s="2"/>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2"/>
      <c r="G217" s="2"/>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2"/>
      <c r="G218" s="2"/>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2"/>
      <c r="G219" s="2"/>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2"/>
      <c r="G220" s="2"/>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2"/>
      <c r="G221" s="2"/>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2"/>
      <c r="G222" s="2"/>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2"/>
      <c r="G223" s="2"/>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2"/>
      <c r="G224" s="2"/>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2"/>
      <c r="G225" s="2"/>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2"/>
      <c r="G226" s="2"/>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2"/>
      <c r="G227" s="2"/>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2"/>
      <c r="G228" s="2"/>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2"/>
      <c r="G229" s="2"/>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2"/>
      <c r="G230" s="2"/>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2"/>
      <c r="G231" s="2"/>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2"/>
      <c r="G232" s="2"/>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2"/>
      <c r="G233" s="2"/>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2"/>
      <c r="G234" s="2"/>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2"/>
      <c r="G235" s="2"/>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2"/>
      <c r="G236" s="2"/>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2"/>
      <c r="G237" s="2"/>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2"/>
      <c r="G238" s="2"/>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2"/>
      <c r="G239" s="2"/>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2"/>
      <c r="G240" s="2"/>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2"/>
      <c r="G241" s="2"/>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2"/>
      <c r="G242" s="2"/>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2"/>
      <c r="G243" s="2"/>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2"/>
      <c r="G244" s="2"/>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2"/>
      <c r="G245" s="2"/>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2"/>
      <c r="G246" s="2"/>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2"/>
      <c r="G247" s="2"/>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2"/>
      <c r="G248" s="2"/>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2"/>
      <c r="G249" s="2"/>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2"/>
      <c r="G250" s="2"/>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2"/>
      <c r="G251" s="2"/>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2"/>
      <c r="G252" s="2"/>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2"/>
      <c r="G253" s="2"/>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2"/>
      <c r="G254" s="2"/>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2"/>
      <c r="G255" s="2"/>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2"/>
      <c r="G256" s="2"/>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2"/>
      <c r="G257" s="2"/>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2"/>
      <c r="G258" s="2"/>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2"/>
      <c r="G259" s="2"/>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2"/>
      <c r="G260" s="2"/>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2"/>
      <c r="G261" s="2"/>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2"/>
      <c r="G262" s="2"/>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2"/>
      <c r="G263" s="2"/>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2"/>
      <c r="G264" s="2"/>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2"/>
      <c r="G265" s="2"/>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2"/>
      <c r="G266" s="2"/>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2"/>
      <c r="G267" s="2"/>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2"/>
      <c r="G268" s="2"/>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2"/>
      <c r="G269" s="2"/>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2"/>
      <c r="G270" s="2"/>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2"/>
      <c r="G271" s="2"/>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2"/>
      <c r="G272" s="2"/>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2"/>
      <c r="G273" s="2"/>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2"/>
      <c r="G274" s="2"/>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2"/>
      <c r="G275" s="2"/>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2"/>
      <c r="G276" s="2"/>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2"/>
      <c r="G277" s="2"/>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2"/>
      <c r="G278" s="2"/>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2"/>
      <c r="G279" s="2"/>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2"/>
      <c r="G280" s="2"/>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2"/>
      <c r="G281" s="2"/>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2"/>
      <c r="G282" s="2"/>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2"/>
      <c r="G283" s="2"/>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2"/>
      <c r="G284" s="2"/>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2"/>
      <c r="G285" s="2"/>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2"/>
      <c r="G286" s="2"/>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2"/>
      <c r="G287" s="2"/>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2"/>
      <c r="G288" s="2"/>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2"/>
      <c r="G289" s="2"/>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2"/>
      <c r="G290" s="2"/>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2"/>
      <c r="G291" s="2"/>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2"/>
      <c r="G292" s="2"/>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2"/>
      <c r="G293" s="2"/>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2"/>
      <c r="G294" s="2"/>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2"/>
      <c r="G295" s="2"/>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2"/>
      <c r="G296" s="2"/>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2"/>
      <c r="G297" s="2"/>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2"/>
      <c r="G298" s="2"/>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2"/>
      <c r="G299" s="2"/>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2"/>
      <c r="G300" s="2"/>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2"/>
      <c r="G301" s="2"/>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2"/>
      <c r="G302" s="2"/>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2"/>
      <c r="G303" s="2"/>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2"/>
      <c r="G304" s="2"/>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2"/>
      <c r="G305" s="2"/>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2"/>
      <c r="G306" s="2"/>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2"/>
      <c r="G307" s="2"/>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2"/>
      <c r="G308" s="2"/>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2"/>
      <c r="G309" s="2"/>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2"/>
      <c r="G310" s="2"/>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2"/>
      <c r="G311" s="2"/>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2"/>
      <c r="G312" s="2"/>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2"/>
      <c r="G313" s="2"/>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2"/>
      <c r="G314" s="2"/>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2"/>
      <c r="G315" s="2"/>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2"/>
      <c r="G316" s="2"/>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2"/>
      <c r="G317" s="2"/>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2"/>
      <c r="G318" s="2"/>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2"/>
      <c r="G319" s="2"/>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2"/>
      <c r="G320" s="2"/>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2"/>
      <c r="G321" s="2"/>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2"/>
      <c r="G322" s="2"/>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2"/>
      <c r="G323" s="2"/>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2"/>
      <c r="G324" s="2"/>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2"/>
      <c r="G325" s="2"/>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2"/>
      <c r="G326" s="2"/>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2"/>
      <c r="G327" s="2"/>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2"/>
      <c r="G328" s="2"/>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2"/>
      <c r="G329" s="2"/>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2"/>
      <c r="G330" s="2"/>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2"/>
      <c r="G331" s="2"/>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2"/>
      <c r="G332" s="2"/>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2"/>
      <c r="G333" s="2"/>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2"/>
      <c r="G334" s="2"/>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2"/>
      <c r="G335" s="2"/>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2"/>
      <c r="G336" s="2"/>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2"/>
      <c r="G337" s="2"/>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2"/>
      <c r="G338" s="2"/>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2"/>
      <c r="G339" s="2"/>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2"/>
      <c r="G340" s="2"/>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2"/>
      <c r="G341" s="2"/>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2"/>
      <c r="G342" s="2"/>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2"/>
      <c r="G343" s="2"/>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2"/>
      <c r="G344" s="2"/>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2"/>
      <c r="G345" s="2"/>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2"/>
      <c r="G346" s="2"/>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2"/>
      <c r="G347" s="2"/>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2"/>
      <c r="G348" s="2"/>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2"/>
      <c r="G349" s="2"/>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2"/>
      <c r="G350" s="2"/>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2"/>
      <c r="G351" s="2"/>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2"/>
      <c r="G352" s="2"/>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2"/>
      <c r="G353" s="2"/>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2"/>
      <c r="G354" s="2"/>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2"/>
      <c r="G355" s="2"/>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2"/>
      <c r="G356" s="2"/>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2"/>
      <c r="G357" s="2"/>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2"/>
      <c r="G358" s="2"/>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2"/>
      <c r="G359" s="2"/>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2"/>
      <c r="G360" s="2"/>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2"/>
      <c r="G361" s="2"/>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2"/>
      <c r="G362" s="2"/>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2"/>
      <c r="G363" s="2"/>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2"/>
      <c r="G364" s="2"/>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2"/>
      <c r="G365" s="2"/>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2"/>
      <c r="G366" s="2"/>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2"/>
      <c r="G367" s="2"/>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2"/>
      <c r="G368" s="2"/>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2"/>
      <c r="G369" s="2"/>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2"/>
      <c r="G370" s="2"/>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2"/>
      <c r="G371" s="2"/>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2"/>
      <c r="G372" s="2"/>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2"/>
      <c r="G373" s="2"/>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2"/>
      <c r="G374" s="2"/>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2"/>
      <c r="G375" s="2"/>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2"/>
      <c r="G376" s="2"/>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2"/>
      <c r="G377" s="2"/>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2"/>
      <c r="G378" s="2"/>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2"/>
      <c r="G379" s="2"/>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2"/>
      <c r="G380" s="2"/>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2"/>
      <c r="G381" s="2"/>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2"/>
      <c r="G382" s="2"/>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2"/>
      <c r="G383" s="2"/>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2"/>
      <c r="G384" s="2"/>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2"/>
      <c r="G385" s="2"/>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2"/>
      <c r="G386" s="2"/>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2"/>
      <c r="G387" s="2"/>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2"/>
      <c r="G388" s="2"/>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2"/>
      <c r="G389" s="2"/>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2"/>
      <c r="G390" s="2"/>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2"/>
      <c r="G391" s="2"/>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2"/>
      <c r="G392" s="2"/>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2"/>
      <c r="G393" s="2"/>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2"/>
      <c r="G394" s="2"/>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2"/>
      <c r="G395" s="2"/>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2"/>
      <c r="G396" s="2"/>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2"/>
      <c r="G397" s="2"/>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2"/>
      <c r="G398" s="2"/>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2"/>
      <c r="G399" s="2"/>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2"/>
      <c r="G400" s="2"/>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2"/>
      <c r="G401" s="2"/>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2"/>
      <c r="G402" s="2"/>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2"/>
      <c r="G403" s="2"/>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2"/>
      <c r="G404" s="2"/>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2"/>
      <c r="G405" s="2"/>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2"/>
      <c r="G406" s="2"/>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2"/>
      <c r="G407" s="2"/>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2"/>
      <c r="G408" s="2"/>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2"/>
      <c r="G409" s="2"/>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2"/>
      <c r="G410" s="2"/>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2"/>
      <c r="G411" s="2"/>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2"/>
      <c r="G412" s="2"/>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2"/>
      <c r="G413" s="2"/>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2"/>
      <c r="G414" s="2"/>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2"/>
      <c r="G415" s="2"/>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2"/>
      <c r="G416" s="2"/>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2"/>
      <c r="G417" s="2"/>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2"/>
      <c r="G418" s="2"/>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2"/>
      <c r="G419" s="2"/>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2"/>
      <c r="G420" s="2"/>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2"/>
      <c r="G421" s="2"/>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2"/>
      <c r="G422" s="2"/>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2"/>
      <c r="G423" s="2"/>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2"/>
      <c r="G424" s="2"/>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2"/>
      <c r="G425" s="2"/>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2"/>
      <c r="G426" s="2"/>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2"/>
      <c r="G427" s="2"/>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2"/>
      <c r="G428" s="2"/>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2"/>
      <c r="G429" s="2"/>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2"/>
      <c r="G430" s="2"/>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2"/>
      <c r="G431" s="2"/>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2"/>
      <c r="G432" s="2"/>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2"/>
      <c r="G433" s="2"/>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2"/>
      <c r="G434" s="2"/>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2"/>
      <c r="G435" s="2"/>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2"/>
      <c r="G436" s="2"/>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2"/>
      <c r="G437" s="2"/>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2"/>
      <c r="G438" s="2"/>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2"/>
      <c r="G439" s="2"/>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2"/>
      <c r="G440" s="2"/>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2"/>
      <c r="G441" s="2"/>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2"/>
      <c r="G442" s="2"/>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2"/>
      <c r="G443" s="2"/>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2"/>
      <c r="G444" s="2"/>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2"/>
      <c r="G445" s="2"/>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2"/>
      <c r="G446" s="2"/>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2"/>
      <c r="G447" s="2"/>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2"/>
      <c r="G448" s="2"/>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2"/>
      <c r="G449" s="2"/>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2"/>
      <c r="G450" s="2"/>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2"/>
      <c r="G451" s="2"/>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2"/>
      <c r="G452" s="2"/>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2"/>
      <c r="G453" s="2"/>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2"/>
      <c r="G454" s="2"/>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2"/>
      <c r="G455" s="2"/>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2"/>
      <c r="G456" s="2"/>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2"/>
      <c r="G457" s="2"/>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2"/>
      <c r="G458" s="2"/>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2"/>
      <c r="G459" s="2"/>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2"/>
      <c r="G460" s="2"/>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2"/>
      <c r="G461" s="2"/>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2"/>
      <c r="G462" s="2"/>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2"/>
      <c r="G463" s="2"/>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2"/>
      <c r="G464" s="2"/>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2"/>
      <c r="G465" s="2"/>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2"/>
      <c r="G466" s="2"/>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2"/>
      <c r="G467" s="2"/>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2"/>
      <c r="G468" s="2"/>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2"/>
      <c r="G469" s="2"/>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2"/>
      <c r="G470" s="2"/>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2"/>
      <c r="G471" s="2"/>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2"/>
      <c r="G472" s="2"/>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2"/>
      <c r="G473" s="2"/>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2"/>
      <c r="G474" s="2"/>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2"/>
      <c r="G475" s="2"/>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2"/>
      <c r="G476" s="2"/>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2"/>
      <c r="G477" s="2"/>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2"/>
      <c r="G478" s="2"/>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2"/>
      <c r="G479" s="2"/>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2"/>
      <c r="G480" s="2"/>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2"/>
      <c r="G481" s="2"/>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2"/>
      <c r="G482" s="2"/>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2"/>
      <c r="G483" s="2"/>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2"/>
      <c r="G484" s="2"/>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2"/>
      <c r="G485" s="2"/>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2"/>
      <c r="G486" s="2"/>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2"/>
      <c r="G487" s="2"/>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2"/>
      <c r="G488" s="2"/>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2"/>
      <c r="G489" s="2"/>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2"/>
      <c r="G490" s="2"/>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2"/>
      <c r="G491" s="2"/>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2"/>
      <c r="G492" s="2"/>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2"/>
      <c r="G493" s="2"/>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2"/>
      <c r="G494" s="2"/>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2"/>
      <c r="G495" s="2"/>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2"/>
      <c r="G496" s="2"/>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2"/>
      <c r="G497" s="2"/>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2"/>
      <c r="G498" s="2"/>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2"/>
      <c r="G499" s="2"/>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2"/>
      <c r="G500" s="2"/>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2"/>
      <c r="G501" s="2"/>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2"/>
      <c r="G502" s="2"/>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2"/>
      <c r="G503" s="2"/>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2"/>
      <c r="G504" s="2"/>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2"/>
      <c r="G505" s="2"/>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2"/>
      <c r="G506" s="2"/>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2"/>
      <c r="G507" s="2"/>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2"/>
      <c r="G508" s="2"/>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2"/>
      <c r="G509" s="2"/>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2"/>
      <c r="G510" s="2"/>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2"/>
      <c r="G511" s="2"/>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2"/>
      <c r="G512" s="2"/>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2"/>
      <c r="G513" s="2"/>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2"/>
      <c r="G514" s="2"/>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2"/>
      <c r="G515" s="2"/>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2"/>
      <c r="G516" s="2"/>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2"/>
      <c r="G517" s="2"/>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2"/>
      <c r="G518" s="2"/>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2"/>
      <c r="G519" s="2"/>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2"/>
      <c r="G520" s="2"/>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2"/>
      <c r="G521" s="2"/>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2"/>
      <c r="G522" s="2"/>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2"/>
      <c r="G523" s="2"/>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2"/>
      <c r="G524" s="2"/>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2"/>
      <c r="G525" s="2"/>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2"/>
      <c r="G526" s="2"/>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2"/>
      <c r="G527" s="2"/>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2"/>
      <c r="G528" s="2"/>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2"/>
      <c r="G529" s="2"/>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2"/>
      <c r="G530" s="2"/>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2"/>
      <c r="G531" s="2"/>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2"/>
      <c r="G532" s="2"/>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2"/>
      <c r="G533" s="2"/>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2"/>
      <c r="G534" s="2"/>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2"/>
      <c r="G535" s="2"/>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2"/>
      <c r="G536" s="2"/>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2"/>
      <c r="G537" s="2"/>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2"/>
      <c r="G538" s="2"/>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2"/>
      <c r="G539" s="2"/>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2"/>
      <c r="G540" s="2"/>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2"/>
      <c r="G541" s="2"/>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2"/>
      <c r="G542" s="2"/>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2"/>
      <c r="G543" s="2"/>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2"/>
      <c r="G544" s="2"/>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2"/>
      <c r="G545" s="2"/>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2"/>
      <c r="G546" s="2"/>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2"/>
      <c r="G547" s="2"/>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2"/>
      <c r="G548" s="2"/>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2"/>
      <c r="G549" s="2"/>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2"/>
      <c r="G550" s="2"/>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2"/>
      <c r="G551" s="2"/>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2"/>
      <c r="G552" s="2"/>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2"/>
      <c r="G553" s="2"/>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2"/>
      <c r="G554" s="2"/>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2"/>
      <c r="G555" s="2"/>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2"/>
      <c r="G556" s="2"/>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2"/>
      <c r="G557" s="2"/>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2"/>
      <c r="G558" s="2"/>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2"/>
      <c r="G559" s="2"/>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2"/>
      <c r="G560" s="2"/>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2"/>
      <c r="G561" s="2"/>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2"/>
      <c r="G562" s="2"/>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2"/>
      <c r="G563" s="2"/>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2"/>
      <c r="G564" s="2"/>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2"/>
      <c r="G565" s="2"/>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2"/>
      <c r="G566" s="2"/>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2"/>
      <c r="G567" s="2"/>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2"/>
      <c r="G568" s="2"/>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2"/>
      <c r="G569" s="2"/>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2"/>
      <c r="G570" s="2"/>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2"/>
      <c r="G571" s="2"/>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2"/>
      <c r="G572" s="2"/>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2"/>
      <c r="G573" s="2"/>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2"/>
      <c r="G574" s="2"/>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2"/>
      <c r="G575" s="2"/>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2"/>
      <c r="G576" s="2"/>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2"/>
      <c r="G577" s="2"/>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2"/>
      <c r="G578" s="2"/>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2"/>
      <c r="G579" s="2"/>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2"/>
      <c r="G580" s="2"/>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2"/>
      <c r="G581" s="2"/>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2"/>
      <c r="G582" s="2"/>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2"/>
      <c r="G583" s="2"/>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2"/>
      <c r="G584" s="2"/>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2"/>
      <c r="G585" s="2"/>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2"/>
      <c r="G586" s="2"/>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2"/>
      <c r="G587" s="2"/>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2"/>
      <c r="G588" s="2"/>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2"/>
      <c r="G589" s="2"/>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2"/>
      <c r="G590" s="2"/>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2"/>
      <c r="G591" s="2"/>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2"/>
      <c r="G592" s="2"/>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2"/>
      <c r="G593" s="2"/>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2"/>
      <c r="G594" s="2"/>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2"/>
      <c r="G595" s="2"/>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2"/>
      <c r="G596" s="2"/>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2"/>
      <c r="G597" s="2"/>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2"/>
      <c r="G598" s="2"/>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2"/>
      <c r="G599" s="2"/>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2"/>
      <c r="G600" s="2"/>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2"/>
      <c r="G601" s="2"/>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2"/>
      <c r="G602" s="2"/>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2"/>
      <c r="G603" s="2"/>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2"/>
      <c r="G604" s="2"/>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2"/>
      <c r="G605" s="2"/>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2"/>
      <c r="G606" s="2"/>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2"/>
      <c r="G607" s="2"/>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2"/>
      <c r="G608" s="2"/>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2"/>
      <c r="G609" s="2"/>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2"/>
      <c r="G610" s="2"/>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2"/>
      <c r="G611" s="2"/>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2"/>
      <c r="G612" s="2"/>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2"/>
      <c r="G613" s="2"/>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2"/>
      <c r="G614" s="2"/>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2"/>
      <c r="G615" s="2"/>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2"/>
      <c r="G616" s="2"/>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2"/>
      <c r="G617" s="2"/>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2"/>
      <c r="G618" s="2"/>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2"/>
      <c r="G619" s="2"/>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2"/>
      <c r="G620" s="2"/>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2"/>
      <c r="G621" s="2"/>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2"/>
      <c r="G622" s="2"/>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2"/>
      <c r="G623" s="2"/>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2"/>
      <c r="G624" s="2"/>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2"/>
      <c r="G625" s="2"/>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2"/>
      <c r="G626" s="2"/>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2"/>
      <c r="G627" s="2"/>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2"/>
      <c r="G628" s="2"/>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2"/>
      <c r="G629" s="2"/>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2"/>
      <c r="G630" s="2"/>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2"/>
      <c r="G631" s="2"/>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2"/>
      <c r="G632" s="2"/>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2"/>
      <c r="G633" s="2"/>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2"/>
      <c r="G634" s="2"/>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2"/>
      <c r="G635" s="2"/>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2"/>
      <c r="G636" s="2"/>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2"/>
      <c r="G637" s="2"/>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2"/>
      <c r="G638" s="2"/>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2"/>
      <c r="G639" s="2"/>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2"/>
      <c r="G640" s="2"/>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2"/>
      <c r="G641" s="2"/>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2"/>
      <c r="G642" s="2"/>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2"/>
      <c r="G643" s="2"/>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2"/>
      <c r="G644" s="2"/>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2"/>
      <c r="G645" s="2"/>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2"/>
      <c r="G646" s="2"/>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2"/>
      <c r="G647" s="2"/>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2"/>
      <c r="G648" s="2"/>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2"/>
      <c r="G649" s="2"/>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2"/>
      <c r="G650" s="2"/>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2"/>
      <c r="G651" s="2"/>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2"/>
      <c r="G652" s="2"/>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2"/>
      <c r="G653" s="2"/>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2"/>
      <c r="G654" s="2"/>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2"/>
      <c r="G655" s="2"/>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2"/>
      <c r="G656" s="2"/>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2"/>
      <c r="G657" s="2"/>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2"/>
      <c r="G658" s="2"/>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2"/>
      <c r="G659" s="2"/>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2"/>
      <c r="G660" s="2"/>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2"/>
      <c r="G661" s="2"/>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2"/>
      <c r="G662" s="2"/>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2"/>
      <c r="G663" s="2"/>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2"/>
      <c r="G664" s="2"/>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2"/>
      <c r="G665" s="2"/>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2"/>
      <c r="G666" s="2"/>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2"/>
      <c r="G667" s="2"/>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2"/>
      <c r="G668" s="2"/>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2"/>
      <c r="G669" s="2"/>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2"/>
      <c r="G670" s="2"/>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2"/>
      <c r="G671" s="2"/>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2"/>
      <c r="G672" s="2"/>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2"/>
      <c r="G673" s="2"/>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2"/>
      <c r="G674" s="2"/>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2"/>
      <c r="G675" s="2"/>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2"/>
      <c r="G676" s="2"/>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2"/>
      <c r="G677" s="2"/>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2"/>
      <c r="G678" s="2"/>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2"/>
      <c r="G679" s="2"/>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2"/>
      <c r="G680" s="2"/>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2"/>
      <c r="G681" s="2"/>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2"/>
      <c r="G682" s="2"/>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2"/>
      <c r="G683" s="2"/>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2"/>
      <c r="G684" s="2"/>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2"/>
      <c r="G685" s="2"/>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2"/>
      <c r="G686" s="2"/>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2"/>
      <c r="G687" s="2"/>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2"/>
      <c r="G688" s="2"/>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2"/>
      <c r="G689" s="2"/>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2"/>
      <c r="G690" s="2"/>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2"/>
      <c r="G691" s="2"/>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2"/>
      <c r="G692" s="2"/>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2"/>
      <c r="G693" s="2"/>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2"/>
      <c r="G694" s="2"/>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2"/>
      <c r="G695" s="2"/>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2"/>
      <c r="G696" s="2"/>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2"/>
      <c r="G697" s="2"/>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2"/>
      <c r="G698" s="2"/>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2"/>
      <c r="G699" s="2"/>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2"/>
      <c r="G700" s="2"/>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2"/>
      <c r="G701" s="2"/>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2"/>
      <c r="G702" s="2"/>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2"/>
      <c r="G703" s="2"/>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2"/>
      <c r="G704" s="2"/>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2"/>
      <c r="G705" s="2"/>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2"/>
      <c r="G706" s="2"/>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2"/>
      <c r="G707" s="2"/>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2"/>
      <c r="G708" s="2"/>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2"/>
      <c r="G709" s="2"/>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2"/>
      <c r="G710" s="2"/>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2"/>
      <c r="G711" s="2"/>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2"/>
      <c r="G712" s="2"/>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2"/>
      <c r="G713" s="2"/>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2"/>
      <c r="G714" s="2"/>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2"/>
      <c r="G715" s="2"/>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2"/>
      <c r="G716" s="2"/>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2"/>
      <c r="G717" s="2"/>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2"/>
      <c r="G718" s="2"/>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2"/>
      <c r="G719" s="2"/>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2"/>
      <c r="G720" s="2"/>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2"/>
      <c r="G721" s="2"/>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2"/>
      <c r="G722" s="2"/>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2"/>
      <c r="G723" s="2"/>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2"/>
      <c r="G724" s="2"/>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2"/>
      <c r="G725" s="2"/>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2"/>
      <c r="G726" s="2"/>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2"/>
      <c r="G727" s="2"/>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2"/>
      <c r="G728" s="2"/>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2"/>
      <c r="G729" s="2"/>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2"/>
      <c r="G730" s="2"/>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2"/>
      <c r="G731" s="2"/>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2"/>
      <c r="G732" s="2"/>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2"/>
      <c r="G733" s="2"/>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2"/>
      <c r="G734" s="2"/>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2"/>
      <c r="G735" s="2"/>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2"/>
      <c r="G736" s="2"/>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2"/>
      <c r="G737" s="2"/>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2"/>
      <c r="G738" s="2"/>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2"/>
      <c r="G739" s="2"/>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2"/>
      <c r="G740" s="2"/>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2"/>
      <c r="G741" s="2"/>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2"/>
      <c r="G742" s="2"/>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2"/>
      <c r="G743" s="2"/>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2"/>
      <c r="G744" s="2"/>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2"/>
      <c r="G745" s="2"/>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2"/>
      <c r="G746" s="2"/>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2"/>
      <c r="G747" s="2"/>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2"/>
      <c r="G748" s="2"/>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2"/>
      <c r="G749" s="2"/>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2"/>
      <c r="G750" s="2"/>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2"/>
      <c r="G751" s="2"/>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2"/>
      <c r="G752" s="2"/>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2"/>
      <c r="G753" s="2"/>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2"/>
      <c r="G754" s="2"/>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2"/>
      <c r="G755" s="2"/>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2"/>
      <c r="G756" s="2"/>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2"/>
      <c r="G757" s="2"/>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2"/>
      <c r="G758" s="2"/>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2"/>
      <c r="G759" s="2"/>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2"/>
      <c r="G760" s="2"/>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2"/>
      <c r="G761" s="2"/>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2"/>
      <c r="G762" s="2"/>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2"/>
      <c r="G763" s="2"/>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2"/>
      <c r="G764" s="2"/>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2"/>
      <c r="G765" s="2"/>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2"/>
      <c r="G766" s="2"/>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2"/>
      <c r="G767" s="2"/>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2"/>
      <c r="G768" s="2"/>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2"/>
      <c r="G769" s="2"/>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2"/>
      <c r="G770" s="2"/>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2"/>
      <c r="G771" s="2"/>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2"/>
      <c r="G772" s="2"/>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2"/>
      <c r="G773" s="2"/>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2"/>
      <c r="G774" s="2"/>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2"/>
      <c r="G775" s="2"/>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2"/>
      <c r="G776" s="2"/>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2"/>
      <c r="G777" s="2"/>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2"/>
      <c r="G778" s="2"/>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2"/>
      <c r="G779" s="2"/>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2"/>
      <c r="G780" s="2"/>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2"/>
      <c r="G781" s="2"/>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2"/>
      <c r="G782" s="2"/>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2"/>
      <c r="G783" s="2"/>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2"/>
      <c r="G784" s="2"/>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2"/>
      <c r="G785" s="2"/>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2"/>
      <c r="G786" s="2"/>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2"/>
      <c r="G787" s="2"/>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2"/>
      <c r="G788" s="2"/>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2"/>
      <c r="G789" s="2"/>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2"/>
      <c r="G790" s="2"/>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2"/>
      <c r="G791" s="2"/>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2"/>
      <c r="G792" s="2"/>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2"/>
      <c r="G793" s="2"/>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2"/>
      <c r="G794" s="2"/>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2"/>
      <c r="G795" s="2"/>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2"/>
      <c r="G796" s="2"/>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2"/>
      <c r="G797" s="2"/>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2"/>
      <c r="G798" s="2"/>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2"/>
      <c r="G799" s="2"/>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2"/>
      <c r="G800" s="2"/>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2"/>
      <c r="G801" s="2"/>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2"/>
      <c r="G802" s="2"/>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2"/>
      <c r="G803" s="2"/>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2"/>
      <c r="G804" s="2"/>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2"/>
      <c r="G805" s="2"/>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2"/>
      <c r="G806" s="2"/>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2"/>
      <c r="G807" s="2"/>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2"/>
      <c r="G808" s="2"/>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2"/>
      <c r="G809" s="2"/>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2"/>
      <c r="G810" s="2"/>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2"/>
      <c r="G811" s="2"/>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2"/>
      <c r="G812" s="2"/>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2"/>
      <c r="G813" s="2"/>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2"/>
      <c r="G814" s="2"/>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2"/>
      <c r="G815" s="2"/>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2"/>
      <c r="G816" s="2"/>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2"/>
      <c r="G817" s="2"/>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2"/>
      <c r="G818" s="2"/>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2"/>
      <c r="G819" s="2"/>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2"/>
      <c r="G820" s="2"/>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2"/>
      <c r="G821" s="2"/>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2"/>
      <c r="G822" s="2"/>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2"/>
      <c r="G823" s="2"/>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2"/>
      <c r="G824" s="2"/>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2"/>
      <c r="G825" s="2"/>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2"/>
      <c r="G826" s="2"/>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2"/>
      <c r="G827" s="2"/>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2"/>
      <c r="G828" s="2"/>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2"/>
      <c r="G829" s="2"/>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2"/>
      <c r="G830" s="2"/>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2"/>
      <c r="G831" s="2"/>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2"/>
      <c r="G832" s="2"/>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2"/>
      <c r="G833" s="2"/>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2"/>
      <c r="G834" s="2"/>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2"/>
      <c r="G835" s="2"/>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2"/>
      <c r="G836" s="2"/>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2"/>
      <c r="G837" s="2"/>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2"/>
      <c r="G838" s="2"/>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2"/>
      <c r="G839" s="2"/>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2"/>
      <c r="G840" s="2"/>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2"/>
      <c r="G841" s="2"/>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2"/>
      <c r="G842" s="2"/>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2"/>
      <c r="G843" s="2"/>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2"/>
      <c r="G844" s="2"/>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2"/>
      <c r="G845" s="2"/>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2"/>
      <c r="G846" s="2"/>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2"/>
      <c r="G847" s="2"/>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2"/>
      <c r="G848" s="2"/>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2"/>
      <c r="G849" s="2"/>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2"/>
      <c r="G850" s="2"/>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2"/>
      <c r="G851" s="2"/>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2"/>
      <c r="G852" s="2"/>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2"/>
      <c r="G853" s="2"/>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2"/>
      <c r="G854" s="2"/>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2"/>
      <c r="G855" s="2"/>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2"/>
      <c r="G856" s="2"/>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2"/>
      <c r="G857" s="2"/>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2"/>
      <c r="G858" s="2"/>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2"/>
      <c r="G859" s="2"/>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2"/>
      <c r="G860" s="2"/>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2"/>
      <c r="G861" s="2"/>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2"/>
      <c r="G862" s="2"/>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2"/>
      <c r="G863" s="2"/>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2"/>
      <c r="G864" s="2"/>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2"/>
      <c r="G865" s="2"/>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2"/>
      <c r="G866" s="2"/>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2"/>
      <c r="G867" s="2"/>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2"/>
      <c r="G868" s="2"/>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2"/>
      <c r="G869" s="2"/>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2"/>
      <c r="G870" s="2"/>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2"/>
      <c r="G871" s="2"/>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2"/>
      <c r="G872" s="2"/>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2"/>
      <c r="G873" s="2"/>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2"/>
      <c r="G874" s="2"/>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2"/>
      <c r="G875" s="2"/>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2"/>
      <c r="G876" s="2"/>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2"/>
      <c r="G877" s="2"/>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2"/>
      <c r="G878" s="2"/>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2"/>
      <c r="G879" s="2"/>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2"/>
      <c r="G880" s="2"/>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2"/>
      <c r="G881" s="2"/>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2"/>
      <c r="G882" s="2"/>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2"/>
      <c r="G883" s="2"/>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2"/>
      <c r="G884" s="2"/>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2"/>
      <c r="G885" s="2"/>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2"/>
      <c r="G886" s="2"/>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2"/>
      <c r="G887" s="2"/>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2"/>
      <c r="G888" s="2"/>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2"/>
      <c r="G889" s="2"/>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2"/>
      <c r="G890" s="2"/>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2"/>
      <c r="G891" s="2"/>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2"/>
      <c r="G892" s="2"/>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2"/>
      <c r="G893" s="2"/>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2"/>
      <c r="G894" s="2"/>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2"/>
      <c r="G895" s="2"/>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2"/>
      <c r="G896" s="2"/>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2"/>
      <c r="G897" s="2"/>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2"/>
      <c r="G898" s="2"/>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2"/>
      <c r="G899" s="2"/>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2"/>
      <c r="G900" s="2"/>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2"/>
      <c r="G901" s="2"/>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2"/>
      <c r="G902" s="2"/>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2"/>
      <c r="G903" s="2"/>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2"/>
      <c r="G904" s="2"/>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2"/>
      <c r="G905" s="2"/>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2"/>
      <c r="G906" s="2"/>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2"/>
      <c r="G907" s="2"/>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2"/>
      <c r="G908" s="2"/>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2"/>
      <c r="G909" s="2"/>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2"/>
      <c r="G910" s="2"/>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2"/>
      <c r="G911" s="2"/>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2"/>
      <c r="G912" s="2"/>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2"/>
      <c r="G913" s="2"/>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2"/>
      <c r="G914" s="2"/>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2"/>
      <c r="G915" s="2"/>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2"/>
      <c r="G916" s="2"/>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2"/>
      <c r="G917" s="2"/>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2"/>
      <c r="G918" s="2"/>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2"/>
      <c r="G919" s="2"/>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2"/>
      <c r="G920" s="2"/>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2"/>
      <c r="G921" s="2"/>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2"/>
      <c r="G922" s="2"/>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2"/>
      <c r="G923" s="2"/>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2"/>
      <c r="G924" s="2"/>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2"/>
      <c r="G925" s="2"/>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2"/>
      <c r="G926" s="2"/>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2"/>
      <c r="G927" s="2"/>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2"/>
      <c r="G928" s="2"/>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2"/>
      <c r="G929" s="2"/>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2"/>
      <c r="G930" s="2"/>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2"/>
      <c r="G931" s="2"/>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2"/>
      <c r="G932" s="2"/>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2"/>
      <c r="G933" s="2"/>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2"/>
      <c r="G934" s="2"/>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2"/>
      <c r="G935" s="2"/>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2"/>
      <c r="G936" s="2"/>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2"/>
      <c r="G937" s="2"/>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2"/>
      <c r="G938" s="2"/>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2"/>
      <c r="G939" s="2"/>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2"/>
      <c r="G940" s="2"/>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2"/>
      <c r="G941" s="2"/>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2"/>
      <c r="G942" s="2"/>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2"/>
      <c r="G943" s="2"/>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2"/>
      <c r="G944" s="2"/>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2"/>
      <c r="G945" s="2"/>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2"/>
      <c r="G946" s="2"/>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2"/>
      <c r="G947" s="2"/>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2"/>
      <c r="G948" s="2"/>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2"/>
      <c r="G949" s="2"/>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2"/>
      <c r="G950" s="2"/>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2"/>
      <c r="G951" s="2"/>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2"/>
      <c r="G952" s="2"/>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2"/>
      <c r="G953" s="2"/>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2"/>
      <c r="G954" s="2"/>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2"/>
      <c r="G955" s="2"/>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2"/>
      <c r="G956" s="2"/>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2"/>
      <c r="G957" s="2"/>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2"/>
      <c r="G958" s="2"/>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2"/>
      <c r="G959" s="2"/>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2"/>
      <c r="G960" s="2"/>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2"/>
      <c r="G961" s="2"/>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2"/>
      <c r="G962" s="2"/>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2"/>
      <c r="G963" s="2"/>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2"/>
      <c r="G964" s="2"/>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2"/>
      <c r="G965" s="2"/>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2"/>
      <c r="G966" s="2"/>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2"/>
      <c r="G967" s="2"/>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2"/>
      <c r="G968" s="2"/>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2"/>
      <c r="G969" s="2"/>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2"/>
      <c r="G970" s="2"/>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2"/>
      <c r="G971" s="2"/>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2"/>
      <c r="G972" s="2"/>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2"/>
      <c r="G973" s="2"/>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2"/>
      <c r="G974" s="2"/>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2"/>
      <c r="G975" s="2"/>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2"/>
      <c r="G976" s="2"/>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2"/>
      <c r="G977" s="2"/>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2"/>
      <c r="G978" s="2"/>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2"/>
      <c r="G979" s="2"/>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2"/>
      <c r="G980" s="2"/>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2"/>
      <c r="G981" s="2"/>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2"/>
      <c r="G982" s="2"/>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2"/>
      <c r="G983" s="2"/>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2"/>
      <c r="G984" s="2"/>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2"/>
      <c r="G985" s="2"/>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2"/>
      <c r="G986" s="2"/>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2"/>
      <c r="G987" s="2"/>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2"/>
      <c r="G988" s="2"/>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2"/>
      <c r="G989" s="2"/>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2"/>
      <c r="G990" s="2"/>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2"/>
      <c r="G991" s="2"/>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2"/>
      <c r="G992" s="2"/>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2"/>
      <c r="G993" s="2"/>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2"/>
      <c r="G994" s="2"/>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2"/>
      <c r="G995" s="2"/>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2"/>
      <c r="G996" s="2"/>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2"/>
      <c r="G997" s="2"/>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1"/>
      <c r="C998" s="1"/>
      <c r="D998" s="1"/>
      <c r="E998" s="1"/>
      <c r="F998" s="2"/>
      <c r="G998" s="2"/>
      <c r="H998" s="1"/>
      <c r="I998" s="1"/>
      <c r="J998" s="1"/>
      <c r="K998" s="1"/>
      <c r="L998" s="1"/>
      <c r="M998" s="1"/>
      <c r="N998" s="1"/>
      <c r="O998" s="1"/>
      <c r="P998" s="1"/>
      <c r="Q998" s="1"/>
      <c r="R998" s="1"/>
      <c r="S998" s="1"/>
      <c r="T998" s="1"/>
      <c r="U998" s="1"/>
      <c r="V998" s="1"/>
      <c r="W998" s="1"/>
      <c r="X998" s="1"/>
      <c r="Y998" s="1"/>
      <c r="Z998" s="1"/>
      <c r="AA998" s="1"/>
      <c r="AB998" s="1"/>
      <c r="AC998" s="1"/>
      <c r="AD998" s="1"/>
    </row>
    <row r="999">
      <c r="A999" s="1"/>
      <c r="B999" s="1"/>
      <c r="C999" s="1"/>
      <c r="D999" s="1"/>
      <c r="E999" s="1"/>
      <c r="F999" s="2"/>
      <c r="G999" s="2"/>
      <c r="H999" s="1"/>
      <c r="I999" s="1"/>
      <c r="J999" s="1"/>
      <c r="K999" s="1"/>
      <c r="L999" s="1"/>
      <c r="M999" s="1"/>
      <c r="N999" s="1"/>
      <c r="O999" s="1"/>
      <c r="P999" s="1"/>
      <c r="Q999" s="1"/>
      <c r="R999" s="1"/>
      <c r="S999" s="1"/>
      <c r="T999" s="1"/>
      <c r="U999" s="1"/>
      <c r="V999" s="1"/>
      <c r="W999" s="1"/>
      <c r="X999" s="1"/>
      <c r="Y999" s="1"/>
      <c r="Z999" s="1"/>
      <c r="AA999" s="1"/>
      <c r="AB999" s="1"/>
      <c r="AC999" s="1"/>
      <c r="AD999" s="1"/>
    </row>
    <row r="1000">
      <c r="A1000" s="1"/>
      <c r="B1000" s="1"/>
      <c r="C1000" s="1"/>
      <c r="D1000" s="1"/>
      <c r="E1000" s="1"/>
      <c r="F1000" s="2"/>
      <c r="G1000" s="2"/>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c r="A1001" s="1"/>
      <c r="B1001" s="1"/>
      <c r="C1001" s="1"/>
      <c r="D1001" s="1"/>
      <c r="E1001" s="1"/>
      <c r="F1001" s="2"/>
      <c r="G1001" s="2"/>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c r="A1002" s="1"/>
      <c r="B1002" s="1"/>
      <c r="C1002" s="1"/>
      <c r="D1002" s="1"/>
      <c r="E1002" s="1"/>
      <c r="F1002" s="2"/>
      <c r="G1002" s="2"/>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row r="1003">
      <c r="A1003" s="1"/>
      <c r="B1003" s="1"/>
      <c r="C1003" s="1"/>
      <c r="D1003" s="1"/>
      <c r="E1003" s="1"/>
      <c r="F1003" s="2"/>
      <c r="G1003" s="2"/>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row>
    <row r="1004">
      <c r="A1004" s="1"/>
      <c r="B1004" s="1"/>
      <c r="C1004" s="1"/>
      <c r="D1004" s="1"/>
      <c r="E1004" s="1"/>
      <c r="F1004" s="2"/>
      <c r="G1004" s="2"/>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row>
    <row r="1005">
      <c r="A1005" s="1"/>
      <c r="B1005" s="1"/>
      <c r="C1005" s="1"/>
      <c r="D1005" s="1"/>
      <c r="E1005" s="1"/>
      <c r="F1005" s="2"/>
      <c r="G1005" s="2"/>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row>
    <row r="1006">
      <c r="A1006" s="1"/>
      <c r="B1006" s="1"/>
      <c r="C1006" s="1"/>
      <c r="D1006" s="1"/>
      <c r="E1006" s="1"/>
      <c r="F1006" s="2"/>
      <c r="G1006" s="2"/>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row>
    <row r="1007">
      <c r="A1007" s="1"/>
      <c r="B1007" s="1"/>
      <c r="C1007" s="1"/>
      <c r="D1007" s="1"/>
      <c r="E1007" s="1"/>
      <c r="F1007" s="2"/>
      <c r="G1007" s="2"/>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row>
    <row r="1008">
      <c r="A1008" s="1"/>
      <c r="B1008" s="1"/>
      <c r="C1008" s="1"/>
      <c r="D1008" s="1"/>
      <c r="E1008" s="1"/>
      <c r="F1008" s="2"/>
      <c r="G1008" s="2"/>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row>
    <row r="1009">
      <c r="A1009" s="1"/>
      <c r="B1009" s="1"/>
      <c r="C1009" s="1"/>
      <c r="D1009" s="1"/>
      <c r="E1009" s="1"/>
      <c r="F1009" s="2"/>
      <c r="G1009" s="2"/>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row>
    <row r="1010">
      <c r="A1010" s="1"/>
      <c r="B1010" s="1"/>
      <c r="C1010" s="1"/>
      <c r="D1010" s="1"/>
      <c r="E1010" s="1"/>
      <c r="F1010" s="2"/>
      <c r="G1010" s="2"/>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row>
    <row r="1011">
      <c r="A1011" s="1"/>
      <c r="B1011" s="1"/>
      <c r="C1011" s="1"/>
      <c r="D1011" s="1"/>
      <c r="E1011" s="1"/>
      <c r="F1011" s="2"/>
      <c r="G1011" s="2"/>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row>
    <row r="1012">
      <c r="A1012" s="1"/>
      <c r="B1012" s="1"/>
      <c r="C1012" s="1"/>
      <c r="D1012" s="1"/>
      <c r="E1012" s="1"/>
      <c r="F1012" s="2"/>
      <c r="G1012" s="2"/>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row>
    <row r="1013">
      <c r="A1013" s="1"/>
      <c r="B1013" s="1"/>
      <c r="C1013" s="1"/>
      <c r="D1013" s="1"/>
      <c r="E1013" s="1"/>
      <c r="F1013" s="2"/>
      <c r="G1013" s="2"/>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row>
    <row r="1014">
      <c r="A1014" s="1"/>
      <c r="B1014" s="1"/>
      <c r="C1014" s="1"/>
      <c r="D1014" s="1"/>
      <c r="E1014" s="1"/>
      <c r="F1014" s="2"/>
      <c r="G1014" s="2"/>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row>
    <row r="1015">
      <c r="A1015" s="1"/>
      <c r="B1015" s="1"/>
      <c r="C1015" s="1"/>
      <c r="D1015" s="1"/>
      <c r="E1015" s="1"/>
      <c r="F1015" s="2"/>
      <c r="G1015" s="2"/>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row>
    <row r="1016">
      <c r="A1016" s="1"/>
      <c r="B1016" s="1"/>
      <c r="C1016" s="1"/>
      <c r="D1016" s="1"/>
      <c r="E1016" s="1"/>
      <c r="F1016" s="2"/>
      <c r="G1016" s="2"/>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row>
  </sheetData>
  <drawing r:id="rId1"/>
</worksheet>
</file>